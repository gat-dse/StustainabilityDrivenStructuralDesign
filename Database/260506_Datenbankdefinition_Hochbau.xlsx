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Database\"/>
    </mc:Choice>
  </mc:AlternateContent>
  <xr:revisionPtr revIDLastSave="0" documentId="13_ncr:1_{B0A73C98-0ADD-464B-88E3-7692537D075C}" xr6:coauthVersionLast="47" xr6:coauthVersionMax="47" xr10:uidLastSave="{00000000-0000-0000-0000-000000000000}"/>
  <bookViews>
    <workbookView xWindow="-98" yWindow="-98" windowWidth="21795" windowHeight="12975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8" i="7" l="1"/>
  <c r="AF96" i="7"/>
  <c r="AF120" i="7"/>
  <c r="AF195" i="7"/>
  <c r="AF7" i="7"/>
  <c r="AF8" i="7"/>
  <c r="AF9" i="7"/>
  <c r="AF10" i="7"/>
  <c r="AF11" i="7"/>
  <c r="Q265" i="7"/>
  <c r="AA265" i="7" s="1"/>
  <c r="Q264" i="7"/>
  <c r="AA264" i="7" s="1"/>
  <c r="AA263" i="7"/>
  <c r="V263" i="7" s="1"/>
  <c r="AF263" i="7" s="1"/>
  <c r="AA262" i="7"/>
  <c r="V262" i="7" s="1"/>
  <c r="AF262" i="7" s="1"/>
  <c r="Z261" i="7"/>
  <c r="V261" i="7" s="1"/>
  <c r="AF261" i="7" s="1"/>
  <c r="AA260" i="7"/>
  <c r="Z260" i="7"/>
  <c r="AA259" i="7"/>
  <c r="Z259" i="7"/>
  <c r="AA258" i="7"/>
  <c r="Z258" i="7"/>
  <c r="AA257" i="7"/>
  <c r="Z257" i="7"/>
  <c r="Z256" i="7"/>
  <c r="V256" i="7" s="1"/>
  <c r="AF256" i="7" s="1"/>
  <c r="Z255" i="7"/>
  <c r="V255" i="7" s="1"/>
  <c r="AF255" i="7" s="1"/>
  <c r="AA254" i="7"/>
  <c r="V254" i="7" s="1"/>
  <c r="AF254" i="7" s="1"/>
  <c r="AA253" i="7"/>
  <c r="V253" i="7" s="1"/>
  <c r="AF253" i="7" s="1"/>
  <c r="AA252" i="7"/>
  <c r="Z252" i="7"/>
  <c r="AA251" i="7"/>
  <c r="V251" i="7" s="1"/>
  <c r="Y251" i="7" s="1"/>
  <c r="AA250" i="7"/>
  <c r="V250" i="7" s="1"/>
  <c r="AF250" i="7" s="1"/>
  <c r="AA249" i="7"/>
  <c r="V249" i="7" s="1"/>
  <c r="AF249" i="7" s="1"/>
  <c r="AA248" i="7"/>
  <c r="V248" i="7" s="1"/>
  <c r="AF248" i="7" s="1"/>
  <c r="AA247" i="7"/>
  <c r="V247" i="7" s="1"/>
  <c r="AF247" i="7" s="1"/>
  <c r="AA246" i="7"/>
  <c r="V246" i="7" s="1"/>
  <c r="Y246" i="7" s="1"/>
  <c r="AA245" i="7"/>
  <c r="V245" i="7" s="1"/>
  <c r="AF245" i="7" s="1"/>
  <c r="AA244" i="7"/>
  <c r="V244" i="7" s="1"/>
  <c r="W244" i="7" s="1"/>
  <c r="AA243" i="7"/>
  <c r="V243" i="7" s="1"/>
  <c r="AF243" i="7" s="1"/>
  <c r="AA242" i="7"/>
  <c r="V242" i="7" s="1"/>
  <c r="Y242" i="7" s="1"/>
  <c r="AA241" i="7"/>
  <c r="Z241" i="7"/>
  <c r="AA240" i="7"/>
  <c r="Z240" i="7"/>
  <c r="AA239" i="7"/>
  <c r="Z239" i="7"/>
  <c r="V238" i="7"/>
  <c r="X238" i="7" s="1"/>
  <c r="V237" i="7"/>
  <c r="W237" i="7" s="1"/>
  <c r="V236" i="7"/>
  <c r="AF236" i="7" s="1"/>
  <c r="V235" i="7"/>
  <c r="AF235" i="7" s="1"/>
  <c r="V234" i="7"/>
  <c r="W234" i="7" s="1"/>
  <c r="V233" i="7"/>
  <c r="AF233" i="7" s="1"/>
  <c r="V232" i="7"/>
  <c r="AF232" i="7" s="1"/>
  <c r="AA231" i="7"/>
  <c r="Z231" i="7"/>
  <c r="AA230" i="7"/>
  <c r="Z230" i="7"/>
  <c r="V229" i="7"/>
  <c r="Y229" i="7" s="1"/>
  <c r="V228" i="7"/>
  <c r="AF228" i="7" s="1"/>
  <c r="V227" i="7"/>
  <c r="AF227" i="7" s="1"/>
  <c r="V226" i="7"/>
  <c r="Y226" i="7" s="1"/>
  <c r="AA225" i="7"/>
  <c r="V225" i="7" s="1"/>
  <c r="AF225" i="7" s="1"/>
  <c r="AA224" i="7"/>
  <c r="V224" i="7" s="1"/>
  <c r="Y224" i="7" s="1"/>
  <c r="AA223" i="7"/>
  <c r="V223" i="7" s="1"/>
  <c r="X223" i="7" s="1"/>
  <c r="AA222" i="7"/>
  <c r="V222" i="7" s="1"/>
  <c r="AF222" i="7" s="1"/>
  <c r="AA221" i="7"/>
  <c r="V221" i="7" s="1"/>
  <c r="AF221" i="7" s="1"/>
  <c r="AA220" i="7"/>
  <c r="V220" i="7" s="1"/>
  <c r="AF220" i="7" s="1"/>
  <c r="AA219" i="7"/>
  <c r="V219" i="7" s="1"/>
  <c r="AF219" i="7" s="1"/>
  <c r="AA218" i="7"/>
  <c r="V218" i="7" s="1"/>
  <c r="AF218" i="7" s="1"/>
  <c r="Z217" i="7"/>
  <c r="V217" i="7" s="1"/>
  <c r="AF217" i="7" s="1"/>
  <c r="V216" i="7"/>
  <c r="AF216" i="7" s="1"/>
  <c r="V215" i="7"/>
  <c r="AF215" i="7" s="1"/>
  <c r="V214" i="7"/>
  <c r="AF214" i="7" s="1"/>
  <c r="V213" i="7"/>
  <c r="AF213" i="7" s="1"/>
  <c r="V212" i="7"/>
  <c r="AF212" i="7" s="1"/>
  <c r="Q211" i="7"/>
  <c r="Q210" i="7"/>
  <c r="AE210" i="7" s="1"/>
  <c r="Q209" i="7"/>
  <c r="Q208" i="7"/>
  <c r="AE208" i="7" s="1"/>
  <c r="AE207" i="7"/>
  <c r="AD207" i="7"/>
  <c r="AA207" i="7"/>
  <c r="Z207" i="7"/>
  <c r="AE206" i="7"/>
  <c r="AD206" i="7"/>
  <c r="AA206" i="7"/>
  <c r="Z206" i="7"/>
  <c r="AE205" i="7"/>
  <c r="AD205" i="7"/>
  <c r="AA205" i="7"/>
  <c r="Z205" i="7"/>
  <c r="AE204" i="7"/>
  <c r="AD204" i="7"/>
  <c r="AA204" i="7"/>
  <c r="Z204" i="7"/>
  <c r="AE203" i="7"/>
  <c r="AD203" i="7"/>
  <c r="AA203" i="7"/>
  <c r="Z203" i="7"/>
  <c r="AE202" i="7"/>
  <c r="AD202" i="7"/>
  <c r="AA202" i="7"/>
  <c r="Z202" i="7"/>
  <c r="AE201" i="7"/>
  <c r="AD201" i="7"/>
  <c r="AA201" i="7"/>
  <c r="Z201" i="7"/>
  <c r="AE200" i="7"/>
  <c r="AD200" i="7"/>
  <c r="AA200" i="7"/>
  <c r="Z200" i="7"/>
  <c r="AE199" i="7"/>
  <c r="AD199" i="7"/>
  <c r="AA199" i="7"/>
  <c r="Z199" i="7"/>
  <c r="AE198" i="7"/>
  <c r="AD198" i="7"/>
  <c r="AA198" i="7"/>
  <c r="Z198" i="7"/>
  <c r="Q197" i="7"/>
  <c r="AE197" i="7" s="1"/>
  <c r="Q196" i="7"/>
  <c r="Z196" i="7" s="1"/>
  <c r="AE195" i="7"/>
  <c r="AD195" i="7"/>
  <c r="AA195" i="7"/>
  <c r="Z195" i="7"/>
  <c r="X195" i="7"/>
  <c r="W195" i="7"/>
  <c r="Q194" i="7"/>
  <c r="Z194" i="7" s="1"/>
  <c r="Q193" i="7"/>
  <c r="AE192" i="7"/>
  <c r="AD192" i="7"/>
  <c r="AA192" i="7"/>
  <c r="Z192" i="7"/>
  <c r="AE191" i="7"/>
  <c r="AD191" i="7"/>
  <c r="AA191" i="7"/>
  <c r="Z191" i="7"/>
  <c r="AE190" i="7"/>
  <c r="AD190" i="7"/>
  <c r="AA190" i="7"/>
  <c r="Z190" i="7"/>
  <c r="AE189" i="7"/>
  <c r="AD189" i="7"/>
  <c r="AA189" i="7"/>
  <c r="Z189" i="7"/>
  <c r="AE188" i="7"/>
  <c r="AD188" i="7"/>
  <c r="AA188" i="7"/>
  <c r="Z188" i="7"/>
  <c r="AE187" i="7"/>
  <c r="AD187" i="7"/>
  <c r="AA187" i="7"/>
  <c r="Z187" i="7"/>
  <c r="AE186" i="7"/>
  <c r="AD186" i="7"/>
  <c r="AA186" i="7"/>
  <c r="Z186" i="7"/>
  <c r="AE185" i="7"/>
  <c r="AD185" i="7"/>
  <c r="AA185" i="7"/>
  <c r="Z185" i="7"/>
  <c r="AE184" i="7"/>
  <c r="AD184" i="7"/>
  <c r="AA184" i="7"/>
  <c r="Z184" i="7"/>
  <c r="AE183" i="7"/>
  <c r="AD183" i="7"/>
  <c r="AA183" i="7"/>
  <c r="Z183" i="7"/>
  <c r="AB182" i="7"/>
  <c r="AC182" i="7" s="1"/>
  <c r="AA182" i="7"/>
  <c r="Z182" i="7"/>
  <c r="AB181" i="7"/>
  <c r="AC181" i="7" s="1"/>
  <c r="AA181" i="7"/>
  <c r="Z181" i="7"/>
  <c r="AB180" i="7"/>
  <c r="AC180" i="7" s="1"/>
  <c r="AA180" i="7"/>
  <c r="Z180" i="7"/>
  <c r="AE179" i="7"/>
  <c r="AD179" i="7"/>
  <c r="AA179" i="7"/>
  <c r="Z179" i="7"/>
  <c r="AE178" i="7"/>
  <c r="AD178" i="7"/>
  <c r="AA178" i="7"/>
  <c r="Z178" i="7"/>
  <c r="AB177" i="7"/>
  <c r="AC177" i="7" s="1"/>
  <c r="AA177" i="7"/>
  <c r="Z177" i="7"/>
  <c r="AB176" i="7"/>
  <c r="AC176" i="7" s="1"/>
  <c r="AA176" i="7"/>
  <c r="Z176" i="7"/>
  <c r="AB175" i="7"/>
  <c r="AC175" i="7" s="1"/>
  <c r="AA175" i="7"/>
  <c r="Z175" i="7"/>
  <c r="AB174" i="7"/>
  <c r="AC174" i="7" s="1"/>
  <c r="Z174" i="7"/>
  <c r="V174" i="7" s="1"/>
  <c r="Y174" i="7" s="1"/>
  <c r="AE173" i="7"/>
  <c r="AD173" i="7"/>
  <c r="AA173" i="7"/>
  <c r="Z173" i="7"/>
  <c r="AB172" i="7"/>
  <c r="AC172" i="7" s="1"/>
  <c r="AA172" i="7"/>
  <c r="Z172" i="7"/>
  <c r="AD171" i="7"/>
  <c r="AB171" i="7" s="1"/>
  <c r="AC171" i="7" s="1"/>
  <c r="Z171" i="7"/>
  <c r="V171" i="7" s="1"/>
  <c r="AF171" i="7" s="1"/>
  <c r="AE170" i="7"/>
  <c r="AD170" i="7"/>
  <c r="AA170" i="7"/>
  <c r="Z170" i="7"/>
  <c r="AB169" i="7"/>
  <c r="AC169" i="7" s="1"/>
  <c r="AA169" i="7"/>
  <c r="Z169" i="7"/>
  <c r="AB168" i="7"/>
  <c r="AC168" i="7" s="1"/>
  <c r="AA168" i="7"/>
  <c r="Z168" i="7"/>
  <c r="AB167" i="7"/>
  <c r="AC167" i="7" s="1"/>
  <c r="AA167" i="7"/>
  <c r="Z167" i="7"/>
  <c r="AE166" i="7"/>
  <c r="AD166" i="7"/>
  <c r="AA166" i="7"/>
  <c r="Z166" i="7"/>
  <c r="AE165" i="7"/>
  <c r="AD165" i="7"/>
  <c r="AA165" i="7"/>
  <c r="Z165" i="7"/>
  <c r="AE164" i="7"/>
  <c r="AD164" i="7"/>
  <c r="AA164" i="7"/>
  <c r="Z164" i="7"/>
  <c r="AE163" i="7"/>
  <c r="AD163" i="7"/>
  <c r="AA163" i="7"/>
  <c r="Z163" i="7"/>
  <c r="AE162" i="7"/>
  <c r="AD162" i="7"/>
  <c r="AA162" i="7"/>
  <c r="Z162" i="7"/>
  <c r="AE161" i="7"/>
  <c r="AD161" i="7"/>
  <c r="AA161" i="7"/>
  <c r="Z161" i="7"/>
  <c r="AE160" i="7"/>
  <c r="AD160" i="7"/>
  <c r="AA160" i="7"/>
  <c r="Z160" i="7"/>
  <c r="AB159" i="7"/>
  <c r="AC159" i="7" s="1"/>
  <c r="AA159" i="7"/>
  <c r="Z159" i="7"/>
  <c r="AE158" i="7"/>
  <c r="AD158" i="7"/>
  <c r="AA158" i="7"/>
  <c r="Z158" i="7"/>
  <c r="AE157" i="7"/>
  <c r="AD157" i="7"/>
  <c r="AA157" i="7"/>
  <c r="Z157" i="7"/>
  <c r="AE156" i="7"/>
  <c r="AD156" i="7"/>
  <c r="AA156" i="7"/>
  <c r="Z156" i="7"/>
  <c r="AE155" i="7"/>
  <c r="AD155" i="7"/>
  <c r="AA155" i="7"/>
  <c r="Z155" i="7"/>
  <c r="AE154" i="7"/>
  <c r="AD154" i="7"/>
  <c r="AA154" i="7"/>
  <c r="Z154" i="7"/>
  <c r="AE153" i="7"/>
  <c r="AD153" i="7"/>
  <c r="AA153" i="7"/>
  <c r="Z153" i="7"/>
  <c r="AE152" i="7"/>
  <c r="AD152" i="7"/>
  <c r="AA152" i="7"/>
  <c r="Z152" i="7"/>
  <c r="AE151" i="7"/>
  <c r="AD151" i="7"/>
  <c r="AA151" i="7"/>
  <c r="Z151" i="7"/>
  <c r="AB150" i="7"/>
  <c r="AC150" i="7" s="1"/>
  <c r="AA150" i="7"/>
  <c r="Z150" i="7"/>
  <c r="AB149" i="7"/>
  <c r="AC149" i="7" s="1"/>
  <c r="AA149" i="7"/>
  <c r="Z149" i="7"/>
  <c r="AB148" i="7"/>
  <c r="AC148" i="7" s="1"/>
  <c r="AA148" i="7"/>
  <c r="Z148" i="7"/>
  <c r="AB147" i="7"/>
  <c r="AC147" i="7" s="1"/>
  <c r="AA147" i="7"/>
  <c r="Z147" i="7"/>
  <c r="AE146" i="7"/>
  <c r="AD146" i="7"/>
  <c r="AA146" i="7"/>
  <c r="Z146" i="7"/>
  <c r="AE145" i="7"/>
  <c r="AD145" i="7"/>
  <c r="AA145" i="7"/>
  <c r="Z145" i="7"/>
  <c r="AE144" i="7"/>
  <c r="AD144" i="7"/>
  <c r="AA144" i="7"/>
  <c r="Z144" i="7"/>
  <c r="AE143" i="7"/>
  <c r="AD143" i="7"/>
  <c r="AA143" i="7"/>
  <c r="Z143" i="7"/>
  <c r="AE142" i="7"/>
  <c r="AD142" i="7"/>
  <c r="AA142" i="7"/>
  <c r="Z142" i="7"/>
  <c r="AE141" i="7"/>
  <c r="AD141" i="7"/>
  <c r="AA141" i="7"/>
  <c r="Z141" i="7"/>
  <c r="AE140" i="7"/>
  <c r="AD140" i="7"/>
  <c r="AA140" i="7"/>
  <c r="Z140" i="7"/>
  <c r="AB139" i="7"/>
  <c r="AC139" i="7" s="1"/>
  <c r="AA139" i="7"/>
  <c r="Z139" i="7"/>
  <c r="AE138" i="7"/>
  <c r="AD138" i="7"/>
  <c r="AA138" i="7"/>
  <c r="Z138" i="7"/>
  <c r="AE137" i="7"/>
  <c r="AD137" i="7"/>
  <c r="AA137" i="7"/>
  <c r="Z137" i="7"/>
  <c r="AE136" i="7"/>
  <c r="AD136" i="7"/>
  <c r="AA136" i="7"/>
  <c r="Z136" i="7"/>
  <c r="AB135" i="7"/>
  <c r="AC135" i="7" s="1"/>
  <c r="AA135" i="7"/>
  <c r="Z135" i="7"/>
  <c r="AB134" i="7"/>
  <c r="AC134" i="7" s="1"/>
  <c r="AA134" i="7"/>
  <c r="Z134" i="7"/>
  <c r="AB133" i="7"/>
  <c r="AC133" i="7" s="1"/>
  <c r="AA133" i="7"/>
  <c r="Z133" i="7"/>
  <c r="V132" i="7"/>
  <c r="Y132" i="7" s="1"/>
  <c r="V131" i="7"/>
  <c r="Y131" i="7" s="1"/>
  <c r="V130" i="7"/>
  <c r="AF130" i="7" s="1"/>
  <c r="V129" i="7"/>
  <c r="AF129" i="7" s="1"/>
  <c r="V128" i="7"/>
  <c r="AF128" i="7" s="1"/>
  <c r="V127" i="7"/>
  <c r="AF127" i="7" s="1"/>
  <c r="Z126" i="7"/>
  <c r="V126" i="7" s="1"/>
  <c r="AF126" i="7" s="1"/>
  <c r="Z125" i="7"/>
  <c r="V125" i="7" s="1"/>
  <c r="AF125" i="7" s="1"/>
  <c r="Z124" i="7"/>
  <c r="V124" i="7" s="1"/>
  <c r="AF124" i="7" s="1"/>
  <c r="Z123" i="7"/>
  <c r="V123" i="7" s="1"/>
  <c r="AF123" i="7" s="1"/>
  <c r="Z122" i="7"/>
  <c r="V122" i="7" s="1"/>
  <c r="AF122" i="7" s="1"/>
  <c r="Z121" i="7"/>
  <c r="V121" i="7" s="1"/>
  <c r="AF121" i="7" s="1"/>
  <c r="AA119" i="7"/>
  <c r="V119" i="7" s="1"/>
  <c r="Y119" i="7" s="1"/>
  <c r="AA118" i="7"/>
  <c r="V118" i="7" s="1"/>
  <c r="X118" i="7" s="1"/>
  <c r="AA117" i="7"/>
  <c r="V117" i="7" s="1"/>
  <c r="Y117" i="7" s="1"/>
  <c r="AA116" i="7"/>
  <c r="V116" i="7" s="1"/>
  <c r="AF116" i="7" s="1"/>
  <c r="AA115" i="7"/>
  <c r="V115" i="7" s="1"/>
  <c r="Y115" i="7" s="1"/>
  <c r="AA114" i="7"/>
  <c r="V114" i="7" s="1"/>
  <c r="Y114" i="7" s="1"/>
  <c r="Z113" i="7"/>
  <c r="V113" i="7" s="1"/>
  <c r="AF113" i="7" s="1"/>
  <c r="AA112" i="7"/>
  <c r="V112" i="7" s="1"/>
  <c r="W112" i="7" s="1"/>
  <c r="AA111" i="7"/>
  <c r="V111" i="7" s="1"/>
  <c r="X111" i="7" s="1"/>
  <c r="AA110" i="7"/>
  <c r="Z110" i="7"/>
  <c r="AA109" i="7"/>
  <c r="Z109" i="7"/>
  <c r="AA108" i="7"/>
  <c r="Z108" i="7"/>
  <c r="AA107" i="7"/>
  <c r="Z107" i="7"/>
  <c r="AA106" i="7"/>
  <c r="V106" i="7" s="1"/>
  <c r="AF106" i="7" s="1"/>
  <c r="AA105" i="7"/>
  <c r="V105" i="7" s="1"/>
  <c r="AF105" i="7" s="1"/>
  <c r="AA104" i="7"/>
  <c r="V104" i="7" s="1"/>
  <c r="AF104" i="7" s="1"/>
  <c r="AA103" i="7"/>
  <c r="Z103" i="7"/>
  <c r="AA102" i="7"/>
  <c r="Z102" i="7"/>
  <c r="AA101" i="7"/>
  <c r="V101" i="7" s="1"/>
  <c r="X101" i="7" s="1"/>
  <c r="AA100" i="7"/>
  <c r="Z100" i="7"/>
  <c r="AA99" i="7"/>
  <c r="Z99" i="7"/>
  <c r="AA98" i="7"/>
  <c r="V98" i="7" s="1"/>
  <c r="W98" i="7" s="1"/>
  <c r="AA97" i="7"/>
  <c r="Z97" i="7"/>
  <c r="Y96" i="7"/>
  <c r="V95" i="7"/>
  <c r="Y95" i="7" s="1"/>
  <c r="V94" i="7"/>
  <c r="Y94" i="7" s="1"/>
  <c r="V93" i="7"/>
  <c r="AF93" i="7" s="1"/>
  <c r="V92" i="7"/>
  <c r="Y92" i="7" s="1"/>
  <c r="V91" i="7"/>
  <c r="AF91" i="7" s="1"/>
  <c r="V90" i="7"/>
  <c r="AF90" i="7" s="1"/>
  <c r="V89" i="7"/>
  <c r="AF89" i="7" s="1"/>
  <c r="V88" i="7"/>
  <c r="AF88" i="7" s="1"/>
  <c r="V87" i="7"/>
  <c r="AF87" i="7" s="1"/>
  <c r="V86" i="7"/>
  <c r="Y86" i="7" s="1"/>
  <c r="V85" i="7"/>
  <c r="AF85" i="7" s="1"/>
  <c r="V84" i="7"/>
  <c r="Y84" i="7" s="1"/>
  <c r="V83" i="7"/>
  <c r="AF83" i="7" s="1"/>
  <c r="V82" i="7"/>
  <c r="Y82" i="7" s="1"/>
  <c r="V81" i="7"/>
  <c r="AF81" i="7" s="1"/>
  <c r="V80" i="7"/>
  <c r="Y80" i="7" s="1"/>
  <c r="V79" i="7"/>
  <c r="AF79" i="7" s="1"/>
  <c r="V78" i="7"/>
  <c r="Y78" i="7" s="1"/>
  <c r="V77" i="7"/>
  <c r="AF77" i="7" s="1"/>
  <c r="V76" i="7"/>
  <c r="Y76" i="7" s="1"/>
  <c r="V75" i="7"/>
  <c r="AF75" i="7" s="1"/>
  <c r="V74" i="7"/>
  <c r="Y74" i="7" s="1"/>
  <c r="V73" i="7"/>
  <c r="AF73" i="7" s="1"/>
  <c r="V72" i="7"/>
  <c r="Y72" i="7" s="1"/>
  <c r="V71" i="7"/>
  <c r="AF71" i="7" s="1"/>
  <c r="V70" i="7"/>
  <c r="Y70" i="7" s="1"/>
  <c r="V69" i="7"/>
  <c r="AF69" i="7" s="1"/>
  <c r="V68" i="7"/>
  <c r="Y68" i="7" s="1"/>
  <c r="V67" i="7"/>
  <c r="Y67" i="7" s="1"/>
  <c r="V66" i="7"/>
  <c r="Y66" i="7" s="1"/>
  <c r="V65" i="7"/>
  <c r="AF65" i="7" s="1"/>
  <c r="V64" i="7"/>
  <c r="Y64" i="7" s="1"/>
  <c r="V63" i="7"/>
  <c r="AF63" i="7" s="1"/>
  <c r="AE62" i="7"/>
  <c r="AD62" i="7"/>
  <c r="AA62" i="7"/>
  <c r="Z62" i="7"/>
  <c r="AE61" i="7"/>
  <c r="AD61" i="7"/>
  <c r="AA61" i="7"/>
  <c r="Z61" i="7"/>
  <c r="AE60" i="7"/>
  <c r="AD60" i="7"/>
  <c r="AA60" i="7"/>
  <c r="Z60" i="7"/>
  <c r="AE59" i="7"/>
  <c r="AD59" i="7"/>
  <c r="AA59" i="7"/>
  <c r="Z59" i="7"/>
  <c r="AE58" i="7"/>
  <c r="AD58" i="7"/>
  <c r="AA58" i="7"/>
  <c r="Z58" i="7"/>
  <c r="AE57" i="7"/>
  <c r="AD57" i="7"/>
  <c r="AA57" i="7"/>
  <c r="Z57" i="7"/>
  <c r="AE56" i="7"/>
  <c r="AD56" i="7"/>
  <c r="AA56" i="7"/>
  <c r="Z56" i="7"/>
  <c r="AE55" i="7"/>
  <c r="AD55" i="7"/>
  <c r="AA55" i="7"/>
  <c r="Z55" i="7"/>
  <c r="AE54" i="7"/>
  <c r="AD54" i="7"/>
  <c r="AA54" i="7"/>
  <c r="Z54" i="7"/>
  <c r="AE53" i="7"/>
  <c r="AD53" i="7"/>
  <c r="AA53" i="7"/>
  <c r="Z53" i="7"/>
  <c r="AE52" i="7"/>
  <c r="AD52" i="7"/>
  <c r="AA52" i="7"/>
  <c r="Z52" i="7"/>
  <c r="AE51" i="7"/>
  <c r="AD51" i="7"/>
  <c r="AA51" i="7"/>
  <c r="Z51" i="7"/>
  <c r="AE50" i="7"/>
  <c r="AD50" i="7"/>
  <c r="AA50" i="7"/>
  <c r="Z50" i="7"/>
  <c r="AE49" i="7"/>
  <c r="AD49" i="7"/>
  <c r="AA49" i="7"/>
  <c r="Z49" i="7"/>
  <c r="AE47" i="7"/>
  <c r="AD47" i="7"/>
  <c r="AA47" i="7"/>
  <c r="Z47" i="7"/>
  <c r="AE46" i="7"/>
  <c r="AD46" i="7"/>
  <c r="AA46" i="7"/>
  <c r="Z46" i="7"/>
  <c r="AE45" i="7"/>
  <c r="AD45" i="7"/>
  <c r="AA45" i="7"/>
  <c r="Z45" i="7"/>
  <c r="AE44" i="7"/>
  <c r="AD44" i="7"/>
  <c r="AA44" i="7"/>
  <c r="Z44" i="7"/>
  <c r="AE43" i="7"/>
  <c r="AD43" i="7"/>
  <c r="AA43" i="7"/>
  <c r="Z43" i="7"/>
  <c r="AE42" i="7"/>
  <c r="AD42" i="7"/>
  <c r="AA42" i="7"/>
  <c r="Z42" i="7"/>
  <c r="AE41" i="7"/>
  <c r="AD41" i="7"/>
  <c r="AA41" i="7"/>
  <c r="Z41" i="7"/>
  <c r="AE40" i="7"/>
  <c r="AD40" i="7"/>
  <c r="AA40" i="7"/>
  <c r="Z40" i="7"/>
  <c r="AE39" i="7"/>
  <c r="AD39" i="7"/>
  <c r="AA39" i="7"/>
  <c r="Z39" i="7"/>
  <c r="AE38" i="7"/>
  <c r="AD38" i="7"/>
  <c r="AA38" i="7"/>
  <c r="Z38" i="7"/>
  <c r="AE37" i="7"/>
  <c r="AD37" i="7"/>
  <c r="AA37" i="7"/>
  <c r="Z37" i="7"/>
  <c r="AE36" i="7"/>
  <c r="AD36" i="7"/>
  <c r="AA36" i="7"/>
  <c r="Z36" i="7"/>
  <c r="AE35" i="7"/>
  <c r="AD35" i="7"/>
  <c r="AA35" i="7"/>
  <c r="Z35" i="7"/>
  <c r="AE34" i="7"/>
  <c r="AD34" i="7"/>
  <c r="AA34" i="7"/>
  <c r="Z34" i="7"/>
  <c r="AE33" i="7"/>
  <c r="AD33" i="7"/>
  <c r="AA33" i="7"/>
  <c r="Z33" i="7"/>
  <c r="AE32" i="7"/>
  <c r="AD32" i="7"/>
  <c r="AA32" i="7"/>
  <c r="Z32" i="7"/>
  <c r="AE31" i="7"/>
  <c r="AD31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Z12" i="7"/>
  <c r="V12" i="7" s="1"/>
  <c r="Y12" i="7" s="1"/>
  <c r="Z6" i="7"/>
  <c r="V6" i="7" s="1"/>
  <c r="Y6" i="7" s="1"/>
  <c r="Z5" i="7"/>
  <c r="V5" i="7" s="1"/>
  <c r="AF5" i="7" s="1"/>
  <c r="Z4" i="7"/>
  <c r="V4" i="7" s="1"/>
  <c r="AF4" i="7" s="1"/>
  <c r="Z3" i="7"/>
  <c r="V3" i="7" s="1"/>
  <c r="AF3" i="7" s="1"/>
  <c r="Z2" i="7"/>
  <c r="V2" i="7" s="1"/>
  <c r="AF2" i="7" s="1"/>
  <c r="AH2" i="7" s="1"/>
  <c r="AI2" i="7" s="1" a="1"/>
  <c r="AI2" i="7" s="1"/>
  <c r="D5" i="2"/>
  <c r="C5" i="2"/>
  <c r="V259" i="7" l="1"/>
  <c r="X259" i="7" s="1"/>
  <c r="AH85" i="7"/>
  <c r="AI85" i="7" s="1" a="1"/>
  <c r="AI85" i="7" s="1"/>
  <c r="AH222" i="7"/>
  <c r="AH9" i="7"/>
  <c r="AI9" i="7" s="1" a="1"/>
  <c r="AI9" i="7" s="1"/>
  <c r="AH254" i="7"/>
  <c r="AH221" i="7"/>
  <c r="AH10" i="7"/>
  <c r="AI10" i="7" s="1" a="1"/>
  <c r="AI10" i="7" s="1"/>
  <c r="AH250" i="7"/>
  <c r="AH8" i="7"/>
  <c r="AI8" i="7" s="1" a="1"/>
  <c r="AI8" i="7" s="1"/>
  <c r="AH220" i="7"/>
  <c r="AI220" i="7" s="1" a="1"/>
  <c r="AI220" i="7" s="1"/>
  <c r="AH11" i="7"/>
  <c r="AI11" i="7" s="1" a="1"/>
  <c r="AI11" i="7" s="1"/>
  <c r="AH105" i="7"/>
  <c r="AI105" i="7" s="1" a="1"/>
  <c r="AI105" i="7" s="1"/>
  <c r="AH88" i="7"/>
  <c r="AI88" i="7" s="1" a="1"/>
  <c r="AI88" i="7" s="1"/>
  <c r="AH243" i="7"/>
  <c r="AH262" i="7"/>
  <c r="AI262" i="7" s="1" a="1"/>
  <c r="AI262" i="7" s="1"/>
  <c r="AH7" i="7"/>
  <c r="AI7" i="7" s="1" a="1"/>
  <c r="AI7" i="7" s="1"/>
  <c r="AH5" i="7"/>
  <c r="AI5" i="7" s="1" a="1"/>
  <c r="AI5" i="7" s="1"/>
  <c r="AH48" i="7"/>
  <c r="AI48" i="7" s="1" a="1"/>
  <c r="AI48" i="7" s="1"/>
  <c r="AH116" i="7"/>
  <c r="AI116" i="7" s="1" a="1"/>
  <c r="AI116" i="7" s="1"/>
  <c r="AH65" i="7"/>
  <c r="AI65" i="7" s="1" a="1"/>
  <c r="AI65" i="7" s="1"/>
  <c r="AH73" i="7"/>
  <c r="AI73" i="7" s="1" a="1"/>
  <c r="AI73" i="7" s="1"/>
  <c r="AH81" i="7"/>
  <c r="AI81" i="7" s="1" a="1"/>
  <c r="AI81" i="7" s="1"/>
  <c r="AH89" i="7"/>
  <c r="AI89" i="7" s="1" a="1"/>
  <c r="AI89" i="7" s="1"/>
  <c r="AH225" i="7"/>
  <c r="AI225" i="7" s="1" a="1"/>
  <c r="AI225" i="7" s="1"/>
  <c r="AH263" i="7"/>
  <c r="AI263" i="7" s="1" a="1"/>
  <c r="AI263" i="7" s="1"/>
  <c r="AH93" i="7"/>
  <c r="AI93" i="7" s="1" a="1"/>
  <c r="AI93" i="7" s="1"/>
  <c r="AH235" i="7"/>
  <c r="AI235" i="7" s="1" a="1"/>
  <c r="AI235" i="7" s="1"/>
  <c r="AH3" i="7"/>
  <c r="AI3" i="7" s="1" a="1"/>
  <c r="AI3" i="7" s="1"/>
  <c r="AH90" i="7"/>
  <c r="AI90" i="7" s="1" a="1"/>
  <c r="AI90" i="7" s="1"/>
  <c r="AH218" i="7"/>
  <c r="AH232" i="7"/>
  <c r="AH245" i="7"/>
  <c r="AI245" i="7" s="1" a="1"/>
  <c r="AI245" i="7" s="1"/>
  <c r="AH247" i="7"/>
  <c r="AH69" i="7"/>
  <c r="AI69" i="7" s="1" a="1"/>
  <c r="AI69" i="7" s="1"/>
  <c r="AH106" i="7"/>
  <c r="AI106" i="7" s="1" a="1"/>
  <c r="AI106" i="7" s="1"/>
  <c r="AH4" i="7"/>
  <c r="AI4" i="7" s="1" a="1"/>
  <c r="AI4" i="7" s="1"/>
  <c r="AH219" i="7"/>
  <c r="AH233" i="7"/>
  <c r="AH253" i="7"/>
  <c r="AH212" i="7"/>
  <c r="AI212" i="7" s="1" a="1"/>
  <c r="AI212" i="7" s="1"/>
  <c r="AH255" i="7"/>
  <c r="AI255" i="7" s="1" a="1"/>
  <c r="AI255" i="7" s="1"/>
  <c r="AH126" i="7"/>
  <c r="AI126" i="7" s="1" a="1"/>
  <c r="AI126" i="7" s="1"/>
  <c r="AH214" i="7"/>
  <c r="AI214" i="7" s="1" a="1"/>
  <c r="AI214" i="7" s="1"/>
  <c r="AH236" i="7"/>
  <c r="AI236" i="7" s="1" a="1"/>
  <c r="AI236" i="7" s="1"/>
  <c r="AH249" i="7"/>
  <c r="AI249" i="7" s="1" a="1"/>
  <c r="AI249" i="7" s="1"/>
  <c r="AH256" i="7"/>
  <c r="AI256" i="7" s="1" a="1"/>
  <c r="AI256" i="7" s="1"/>
  <c r="AH79" i="7"/>
  <c r="AI79" i="7" s="1" a="1"/>
  <c r="AI79" i="7" s="1"/>
  <c r="AH215" i="7"/>
  <c r="AI215" i="7" s="1" a="1"/>
  <c r="AI215" i="7" s="1"/>
  <c r="AH261" i="7"/>
  <c r="AI261" i="7" s="1" a="1"/>
  <c r="AI261" i="7" s="1"/>
  <c r="AH228" i="7"/>
  <c r="AI228" i="7" s="1" a="1"/>
  <c r="AI228" i="7" s="1"/>
  <c r="AH77" i="7"/>
  <c r="AI77" i="7" s="1" a="1"/>
  <c r="AI77" i="7" s="1"/>
  <c r="AH248" i="7"/>
  <c r="AI248" i="7" s="1" a="1"/>
  <c r="AI248" i="7" s="1"/>
  <c r="AH63" i="7"/>
  <c r="AI63" i="7" s="1" a="1"/>
  <c r="AI63" i="7" s="1"/>
  <c r="AH71" i="7"/>
  <c r="AI71" i="7" s="1" a="1"/>
  <c r="AI71" i="7" s="1"/>
  <c r="AH87" i="7"/>
  <c r="AI87" i="7" s="1" a="1"/>
  <c r="AI87" i="7" s="1"/>
  <c r="AH127" i="7"/>
  <c r="AI127" i="7" s="1" a="1"/>
  <c r="AI127" i="7" s="1"/>
  <c r="AH128" i="7"/>
  <c r="AI128" i="7" s="1" a="1"/>
  <c r="AI128" i="7" s="1"/>
  <c r="AH216" i="7"/>
  <c r="AI216" i="7" s="1" a="1"/>
  <c r="AI216" i="7" s="1"/>
  <c r="AH124" i="7"/>
  <c r="AI124" i="7" s="1" a="1"/>
  <c r="AI124" i="7" s="1"/>
  <c r="AH125" i="7"/>
  <c r="AI125" i="7" s="1" a="1"/>
  <c r="AI125" i="7" s="1"/>
  <c r="AH121" i="7"/>
  <c r="AI121" i="7" s="1" a="1"/>
  <c r="AI121" i="7" s="1"/>
  <c r="AH129" i="7"/>
  <c r="AI129" i="7" s="1" a="1"/>
  <c r="AI129" i="7" s="1"/>
  <c r="AH171" i="7"/>
  <c r="AI171" i="7" s="1" a="1"/>
  <c r="AI171" i="7" s="1"/>
  <c r="AH217" i="7"/>
  <c r="AI217" i="7" s="1" a="1"/>
  <c r="AI217" i="7" s="1"/>
  <c r="AH195" i="7"/>
  <c r="AI195" i="7" s="1" a="1"/>
  <c r="AI195" i="7" s="1"/>
  <c r="AH113" i="7"/>
  <c r="AI113" i="7" s="1" a="1"/>
  <c r="AI113" i="7" s="1"/>
  <c r="AH122" i="7"/>
  <c r="AI122" i="7" s="1" a="1"/>
  <c r="AI122" i="7" s="1"/>
  <c r="AH130" i="7"/>
  <c r="AI130" i="7" s="1" a="1"/>
  <c r="AI130" i="7" s="1"/>
  <c r="AH120" i="7"/>
  <c r="AI120" i="7" s="1" a="1"/>
  <c r="AI120" i="7" s="1"/>
  <c r="AH104" i="7"/>
  <c r="AI104" i="7" s="1" a="1"/>
  <c r="AI104" i="7" s="1"/>
  <c r="AH213" i="7"/>
  <c r="AI213" i="7" s="1" a="1"/>
  <c r="AI213" i="7" s="1"/>
  <c r="AH75" i="7"/>
  <c r="AI75" i="7" s="1" a="1"/>
  <c r="AI75" i="7" s="1"/>
  <c r="AH83" i="7"/>
  <c r="AI83" i="7" s="1" a="1"/>
  <c r="AI83" i="7" s="1"/>
  <c r="AH91" i="7"/>
  <c r="AI91" i="7" s="1" a="1"/>
  <c r="AI91" i="7" s="1"/>
  <c r="AH123" i="7"/>
  <c r="AI123" i="7" s="1" a="1"/>
  <c r="AI123" i="7" s="1"/>
  <c r="AH227" i="7"/>
  <c r="AI227" i="7" s="1" a="1"/>
  <c r="AI227" i="7" s="1"/>
  <c r="AH96" i="7"/>
  <c r="AI96" i="7" s="1" a="1"/>
  <c r="AI96" i="7" s="1"/>
  <c r="Y2" i="7"/>
  <c r="V103" i="7"/>
  <c r="Y103" i="7" s="1"/>
  <c r="V110" i="7"/>
  <c r="AF110" i="7" s="1"/>
  <c r="V15" i="7"/>
  <c r="AF15" i="7" s="1"/>
  <c r="V19" i="7"/>
  <c r="Y19" i="7" s="1"/>
  <c r="V52" i="7"/>
  <c r="AF52" i="7" s="1"/>
  <c r="AB141" i="7"/>
  <c r="AC141" i="7" s="1"/>
  <c r="V108" i="7"/>
  <c r="X108" i="7" s="1"/>
  <c r="V231" i="7"/>
  <c r="AF231" i="7" s="1"/>
  <c r="V109" i="7"/>
  <c r="AF109" i="7" s="1"/>
  <c r="V230" i="7"/>
  <c r="AF230" i="7" s="1"/>
  <c r="V136" i="7"/>
  <c r="W136" i="7" s="1"/>
  <c r="V153" i="7"/>
  <c r="W153" i="7" s="1"/>
  <c r="V100" i="7"/>
  <c r="W100" i="7" s="1"/>
  <c r="AB166" i="7"/>
  <c r="AC166" i="7" s="1"/>
  <c r="V184" i="7"/>
  <c r="X184" i="7" s="1"/>
  <c r="V186" i="7"/>
  <c r="AF186" i="7" s="1"/>
  <c r="V188" i="7"/>
  <c r="W188" i="7" s="1"/>
  <c r="V192" i="7"/>
  <c r="AF192" i="7" s="1"/>
  <c r="AB206" i="7"/>
  <c r="AC206" i="7" s="1"/>
  <c r="V258" i="7"/>
  <c r="AF258" i="7" s="1"/>
  <c r="AA210" i="7"/>
  <c r="V107" i="7"/>
  <c r="AF107" i="7" s="1"/>
  <c r="AD210" i="7"/>
  <c r="AB210" i="7" s="1"/>
  <c r="AC210" i="7" s="1"/>
  <c r="V99" i="7"/>
  <c r="W99" i="7" s="1"/>
  <c r="AF95" i="7"/>
  <c r="V140" i="7"/>
  <c r="AF140" i="7" s="1"/>
  <c r="V142" i="7"/>
  <c r="X142" i="7" s="1"/>
  <c r="V144" i="7"/>
  <c r="AF144" i="7" s="1"/>
  <c r="V146" i="7"/>
  <c r="AF146" i="7" s="1"/>
  <c r="V151" i="7"/>
  <c r="AF151" i="7" s="1"/>
  <c r="V22" i="7"/>
  <c r="AF22" i="7" s="1"/>
  <c r="V26" i="7"/>
  <c r="AF26" i="7" s="1"/>
  <c r="AB32" i="7"/>
  <c r="AC32" i="7" s="1"/>
  <c r="AB34" i="7"/>
  <c r="AC34" i="7" s="1"/>
  <c r="AB36" i="7"/>
  <c r="AC36" i="7" s="1"/>
  <c r="V143" i="7"/>
  <c r="AF143" i="7" s="1"/>
  <c r="V145" i="7"/>
  <c r="Y145" i="7" s="1"/>
  <c r="V160" i="7"/>
  <c r="AF160" i="7" s="1"/>
  <c r="AB160" i="7"/>
  <c r="AC160" i="7" s="1"/>
  <c r="AB55" i="7"/>
  <c r="AC55" i="7" s="1"/>
  <c r="AB143" i="7"/>
  <c r="AC143" i="7" s="1"/>
  <c r="AB152" i="7"/>
  <c r="AC152" i="7" s="1"/>
  <c r="V169" i="7"/>
  <c r="AF169" i="7" s="1"/>
  <c r="V29" i="7"/>
  <c r="AF29" i="7" s="1"/>
  <c r="V32" i="7"/>
  <c r="AF32" i="7" s="1"/>
  <c r="V34" i="7"/>
  <c r="Y34" i="7" s="1"/>
  <c r="V36" i="7"/>
  <c r="AF36" i="7" s="1"/>
  <c r="V40" i="7"/>
  <c r="Y40" i="7" s="1"/>
  <c r="V42" i="7"/>
  <c r="AF42" i="7" s="1"/>
  <c r="V44" i="7"/>
  <c r="Y44" i="7" s="1"/>
  <c r="V49" i="7"/>
  <c r="AF49" i="7" s="1"/>
  <c r="V57" i="7"/>
  <c r="AF57" i="7" s="1"/>
  <c r="V59" i="7"/>
  <c r="AF59" i="7" s="1"/>
  <c r="V61" i="7"/>
  <c r="Y61" i="7" s="1"/>
  <c r="V170" i="7"/>
  <c r="AF170" i="7" s="1"/>
  <c r="AB39" i="7"/>
  <c r="AC39" i="7" s="1"/>
  <c r="V134" i="7"/>
  <c r="Y134" i="7" s="1"/>
  <c r="AB142" i="7"/>
  <c r="AC142" i="7" s="1"/>
  <c r="AB146" i="7"/>
  <c r="AC146" i="7" s="1"/>
  <c r="AB151" i="7"/>
  <c r="AC151" i="7" s="1"/>
  <c r="AB179" i="7"/>
  <c r="AC179" i="7" s="1"/>
  <c r="AB46" i="7"/>
  <c r="AC46" i="7" s="1"/>
  <c r="AB51" i="7"/>
  <c r="AC51" i="7" s="1"/>
  <c r="V205" i="7"/>
  <c r="X205" i="7" s="1"/>
  <c r="AF103" i="7"/>
  <c r="V56" i="7"/>
  <c r="AF56" i="7" s="1"/>
  <c r="V16" i="7"/>
  <c r="AF16" i="7" s="1"/>
  <c r="V28" i="7"/>
  <c r="AF28" i="7" s="1"/>
  <c r="AB31" i="7"/>
  <c r="AC31" i="7" s="1"/>
  <c r="AB33" i="7"/>
  <c r="AC33" i="7" s="1"/>
  <c r="AB62" i="7"/>
  <c r="AC62" i="7" s="1"/>
  <c r="Y104" i="7"/>
  <c r="AB137" i="7"/>
  <c r="AC137" i="7" s="1"/>
  <c r="V148" i="7"/>
  <c r="AF148" i="7" s="1"/>
  <c r="AB162" i="7"/>
  <c r="AC162" i="7" s="1"/>
  <c r="AB164" i="7"/>
  <c r="AC164" i="7" s="1"/>
  <c r="V181" i="7"/>
  <c r="AF181" i="7" s="1"/>
  <c r="AB187" i="7"/>
  <c r="AC187" i="7" s="1"/>
  <c r="AB54" i="7"/>
  <c r="AC54" i="7" s="1"/>
  <c r="V13" i="7"/>
  <c r="AF13" i="7" s="1"/>
  <c r="V24" i="7"/>
  <c r="AF24" i="7" s="1"/>
  <c r="AB43" i="7"/>
  <c r="AC43" i="7" s="1"/>
  <c r="AB45" i="7"/>
  <c r="AC45" i="7" s="1"/>
  <c r="AB47" i="7"/>
  <c r="AC47" i="7" s="1"/>
  <c r="AB50" i="7"/>
  <c r="AC50" i="7" s="1"/>
  <c r="AB170" i="7"/>
  <c r="AC170" i="7" s="1"/>
  <c r="V183" i="7"/>
  <c r="AF183" i="7" s="1"/>
  <c r="V185" i="7"/>
  <c r="X185" i="7" s="1"/>
  <c r="V187" i="7"/>
  <c r="Y187" i="7" s="1"/>
  <c r="AB203" i="7"/>
  <c r="AC203" i="7" s="1"/>
  <c r="V202" i="7"/>
  <c r="AF202" i="7" s="1"/>
  <c r="V53" i="7"/>
  <c r="AF53" i="7" s="1"/>
  <c r="AB40" i="7"/>
  <c r="AC40" i="7" s="1"/>
  <c r="V190" i="7"/>
  <c r="Y190" i="7" s="1"/>
  <c r="AB38" i="7"/>
  <c r="AC38" i="7" s="1"/>
  <c r="V35" i="7"/>
  <c r="AF35" i="7" s="1"/>
  <c r="V43" i="7"/>
  <c r="AF43" i="7" s="1"/>
  <c r="V47" i="7"/>
  <c r="AF47" i="7" s="1"/>
  <c r="AB57" i="7"/>
  <c r="AC57" i="7" s="1"/>
  <c r="V167" i="7"/>
  <c r="AB188" i="7"/>
  <c r="AC188" i="7" s="1"/>
  <c r="V199" i="7"/>
  <c r="AF199" i="7" s="1"/>
  <c r="V203" i="7"/>
  <c r="AF203" i="7" s="1"/>
  <c r="AB58" i="7"/>
  <c r="AC58" i="7" s="1"/>
  <c r="AF101" i="7"/>
  <c r="V14" i="7"/>
  <c r="AF14" i="7" s="1"/>
  <c r="V18" i="7"/>
  <c r="AF18" i="7" s="1"/>
  <c r="V25" i="7"/>
  <c r="AF25" i="7" s="1"/>
  <c r="V39" i="7"/>
  <c r="Y39" i="7" s="1"/>
  <c r="V137" i="7"/>
  <c r="W137" i="7" s="1"/>
  <c r="V154" i="7"/>
  <c r="Y154" i="7" s="1"/>
  <c r="V156" i="7"/>
  <c r="AF156" i="7" s="1"/>
  <c r="V162" i="7"/>
  <c r="AF162" i="7" s="1"/>
  <c r="V166" i="7"/>
  <c r="AF166" i="7" s="1"/>
  <c r="V168" i="7"/>
  <c r="AF168" i="7" s="1"/>
  <c r="V173" i="7"/>
  <c r="X173" i="7" s="1"/>
  <c r="V178" i="7"/>
  <c r="AF178" i="7" s="1"/>
  <c r="V180" i="7"/>
  <c r="AF180" i="7" s="1"/>
  <c r="AB200" i="7"/>
  <c r="AC200" i="7" s="1"/>
  <c r="AB202" i="7"/>
  <c r="AC202" i="7" s="1"/>
  <c r="AB204" i="7"/>
  <c r="AC204" i="7" s="1"/>
  <c r="AF98" i="7"/>
  <c r="AB37" i="7"/>
  <c r="AC37" i="7" s="1"/>
  <c r="V20" i="7"/>
  <c r="AF20" i="7" s="1"/>
  <c r="AB41" i="7"/>
  <c r="AC41" i="7" s="1"/>
  <c r="V54" i="7"/>
  <c r="Y54" i="7" s="1"/>
  <c r="Y101" i="7"/>
  <c r="V138" i="7"/>
  <c r="AF138" i="7" s="1"/>
  <c r="V155" i="7"/>
  <c r="AF155" i="7" s="1"/>
  <c r="V157" i="7"/>
  <c r="Y157" i="7" s="1"/>
  <c r="V191" i="7"/>
  <c r="Y191" i="7" s="1"/>
  <c r="V201" i="7"/>
  <c r="X201" i="7" s="1"/>
  <c r="V207" i="7"/>
  <c r="AF207" i="7" s="1"/>
  <c r="AF112" i="7"/>
  <c r="AF111" i="7"/>
  <c r="AB61" i="7"/>
  <c r="AC61" i="7" s="1"/>
  <c r="AB138" i="7"/>
  <c r="AC138" i="7" s="1"/>
  <c r="AB155" i="7"/>
  <c r="AC155" i="7" s="1"/>
  <c r="AB161" i="7"/>
  <c r="AC161" i="7" s="1"/>
  <c r="V177" i="7"/>
  <c r="Y177" i="7" s="1"/>
  <c r="AB189" i="7"/>
  <c r="AC189" i="7" s="1"/>
  <c r="AB191" i="7"/>
  <c r="AC191" i="7" s="1"/>
  <c r="AF119" i="7"/>
  <c r="AF229" i="7"/>
  <c r="AF237" i="7"/>
  <c r="AF223" i="7"/>
  <c r="AF246" i="7"/>
  <c r="AF238" i="7"/>
  <c r="AF174" i="7"/>
  <c r="AF118" i="7"/>
  <c r="AF94" i="7"/>
  <c r="AF86" i="7"/>
  <c r="AF78" i="7"/>
  <c r="AF70" i="7"/>
  <c r="AF117" i="7"/>
  <c r="AF244" i="7"/>
  <c r="AF132" i="7"/>
  <c r="AF92" i="7"/>
  <c r="AF84" i="7"/>
  <c r="AF76" i="7"/>
  <c r="AF68" i="7"/>
  <c r="AF259" i="7"/>
  <c r="AF251" i="7"/>
  <c r="AF131" i="7"/>
  <c r="AF115" i="7"/>
  <c r="AF67" i="7"/>
  <c r="AF242" i="7"/>
  <c r="AF234" i="7"/>
  <c r="AF226" i="7"/>
  <c r="AF114" i="7"/>
  <c r="AF82" i="7"/>
  <c r="AF74" i="7"/>
  <c r="AF66" i="7"/>
  <c r="AF224" i="7"/>
  <c r="AF80" i="7"/>
  <c r="AF72" i="7"/>
  <c r="AF64" i="7"/>
  <c r="AF6" i="7"/>
  <c r="AF12" i="7"/>
  <c r="Z197" i="7"/>
  <c r="AB190" i="7"/>
  <c r="AC190" i="7" s="1"/>
  <c r="AA197" i="7"/>
  <c r="V45" i="7"/>
  <c r="AF45" i="7" s="1"/>
  <c r="AD197" i="7"/>
  <c r="AB197" i="7" s="1"/>
  <c r="AC197" i="7" s="1"/>
  <c r="V38" i="7"/>
  <c r="AF38" i="7" s="1"/>
  <c r="AB35" i="7"/>
  <c r="AC35" i="7" s="1"/>
  <c r="AB49" i="7"/>
  <c r="AC49" i="7" s="1"/>
  <c r="V51" i="7"/>
  <c r="AF51" i="7" s="1"/>
  <c r="Y81" i="7"/>
  <c r="AA196" i="7"/>
  <c r="V196" i="7" s="1"/>
  <c r="AF196" i="7" s="1"/>
  <c r="V257" i="7"/>
  <c r="AF257" i="7" s="1"/>
  <c r="Z265" i="7"/>
  <c r="V265" i="7" s="1"/>
  <c r="AF265" i="7" s="1"/>
  <c r="AE196" i="7"/>
  <c r="AB44" i="7"/>
  <c r="AC44" i="7" s="1"/>
  <c r="V60" i="7"/>
  <c r="AF60" i="7" s="1"/>
  <c r="V102" i="7"/>
  <c r="V135" i="7"/>
  <c r="AF135" i="7" s="1"/>
  <c r="AB144" i="7"/>
  <c r="AC144" i="7" s="1"/>
  <c r="AB157" i="7"/>
  <c r="AC157" i="7" s="1"/>
  <c r="V159" i="7"/>
  <c r="AF159" i="7" s="1"/>
  <c r="AB165" i="7"/>
  <c r="AC165" i="7" s="1"/>
  <c r="V172" i="7"/>
  <c r="AF172" i="7" s="1"/>
  <c r="AB205" i="7"/>
  <c r="AC205" i="7" s="1"/>
  <c r="V260" i="7"/>
  <c r="AF260" i="7" s="1"/>
  <c r="X216" i="7"/>
  <c r="X242" i="7"/>
  <c r="Y85" i="7"/>
  <c r="Y216" i="7"/>
  <c r="X246" i="7"/>
  <c r="Y118" i="7"/>
  <c r="W248" i="7"/>
  <c r="Y248" i="7"/>
  <c r="Y83" i="7"/>
  <c r="Y91" i="7"/>
  <c r="Y237" i="7"/>
  <c r="Y75" i="7"/>
  <c r="W119" i="7"/>
  <c r="X119" i="7"/>
  <c r="X235" i="7"/>
  <c r="Y235" i="7"/>
  <c r="W235" i="7"/>
  <c r="X251" i="7"/>
  <c r="W251" i="7"/>
  <c r="Y126" i="7"/>
  <c r="W263" i="7"/>
  <c r="X218" i="7"/>
  <c r="W218" i="7"/>
  <c r="Y212" i="7"/>
  <c r="Y73" i="7"/>
  <c r="Y129" i="7"/>
  <c r="X232" i="7"/>
  <c r="W232" i="7"/>
  <c r="Y232" i="7"/>
  <c r="AB52" i="7"/>
  <c r="AC52" i="7" s="1"/>
  <c r="Y89" i="7"/>
  <c r="V46" i="7"/>
  <c r="V50" i="7"/>
  <c r="AF50" i="7" s="1"/>
  <c r="V55" i="7"/>
  <c r="AF55" i="7" s="1"/>
  <c r="AB136" i="7"/>
  <c r="AC136" i="7" s="1"/>
  <c r="AB156" i="7"/>
  <c r="AC156" i="7" s="1"/>
  <c r="V158" i="7"/>
  <c r="AF158" i="7" s="1"/>
  <c r="V161" i="7"/>
  <c r="AF161" i="7" s="1"/>
  <c r="AB183" i="7"/>
  <c r="AC183" i="7" s="1"/>
  <c r="Y4" i="7"/>
  <c r="Y79" i="7"/>
  <c r="X106" i="7"/>
  <c r="Y106" i="7"/>
  <c r="W106" i="7"/>
  <c r="Y127" i="7"/>
  <c r="V33" i="7"/>
  <c r="AF33" i="7" s="1"/>
  <c r="AB42" i="7"/>
  <c r="AC42" i="7" s="1"/>
  <c r="Y65" i="7"/>
  <c r="W118" i="7"/>
  <c r="Y121" i="7"/>
  <c r="V163" i="7"/>
  <c r="AF163" i="7" s="1"/>
  <c r="V182" i="7"/>
  <c r="AF182" i="7" s="1"/>
  <c r="AB198" i="7"/>
  <c r="AC198" i="7" s="1"/>
  <c r="Y234" i="7"/>
  <c r="X234" i="7"/>
  <c r="W253" i="7"/>
  <c r="V23" i="7"/>
  <c r="X215" i="7"/>
  <c r="V30" i="7"/>
  <c r="AF30" i="7" s="1"/>
  <c r="Y71" i="7"/>
  <c r="Y87" i="7"/>
  <c r="Y130" i="7"/>
  <c r="AB178" i="7"/>
  <c r="AC178" i="7" s="1"/>
  <c r="AB207" i="7"/>
  <c r="AC207" i="7" s="1"/>
  <c r="W227" i="7"/>
  <c r="V17" i="7"/>
  <c r="AF17" i="7" s="1"/>
  <c r="V31" i="7"/>
  <c r="AF31" i="7" s="1"/>
  <c r="V41" i="7"/>
  <c r="AF41" i="7" s="1"/>
  <c r="AB53" i="7"/>
  <c r="AC53" i="7" s="1"/>
  <c r="V58" i="7"/>
  <c r="AF58" i="7" s="1"/>
  <c r="V62" i="7"/>
  <c r="AF62" i="7" s="1"/>
  <c r="Y69" i="7"/>
  <c r="Y77" i="7"/>
  <c r="AB145" i="7"/>
  <c r="AC145" i="7" s="1"/>
  <c r="V152" i="7"/>
  <c r="AF152" i="7" s="1"/>
  <c r="AB153" i="7"/>
  <c r="AC153" i="7" s="1"/>
  <c r="AB173" i="7"/>
  <c r="AC173" i="7" s="1"/>
  <c r="AB184" i="7"/>
  <c r="AC184" i="7" s="1"/>
  <c r="V189" i="7"/>
  <c r="AF189" i="7" s="1"/>
  <c r="AB201" i="7"/>
  <c r="AC201" i="7" s="1"/>
  <c r="V204" i="7"/>
  <c r="AF204" i="7" s="1"/>
  <c r="W216" i="7"/>
  <c r="W220" i="7"/>
  <c r="Y227" i="7"/>
  <c r="W246" i="7"/>
  <c r="X263" i="7"/>
  <c r="W229" i="7"/>
  <c r="W238" i="7"/>
  <c r="AB56" i="7"/>
  <c r="AC56" i="7" s="1"/>
  <c r="AB185" i="7"/>
  <c r="AC185" i="7" s="1"/>
  <c r="V200" i="7"/>
  <c r="AF200" i="7" s="1"/>
  <c r="V206" i="7"/>
  <c r="AF206" i="7" s="1"/>
  <c r="X229" i="7"/>
  <c r="AB60" i="7"/>
  <c r="AC60" i="7" s="1"/>
  <c r="Y63" i="7"/>
  <c r="V27" i="7"/>
  <c r="AF27" i="7" s="1"/>
  <c r="AB59" i="7"/>
  <c r="AC59" i="7" s="1"/>
  <c r="V147" i="7"/>
  <c r="AF147" i="7" s="1"/>
  <c r="V149" i="7"/>
  <c r="AF149" i="7" s="1"/>
  <c r="V175" i="7"/>
  <c r="AF175" i="7" s="1"/>
  <c r="V179" i="7"/>
  <c r="AF179" i="7" s="1"/>
  <c r="AB192" i="7"/>
  <c r="AC192" i="7" s="1"/>
  <c r="V198" i="7"/>
  <c r="AF198" i="7" s="1"/>
  <c r="AB199" i="7"/>
  <c r="AC199" i="7" s="1"/>
  <c r="X220" i="7"/>
  <c r="W242" i="7"/>
  <c r="W114" i="7"/>
  <c r="X114" i="7"/>
  <c r="W117" i="7"/>
  <c r="X117" i="7"/>
  <c r="Y3" i="7"/>
  <c r="Y5" i="7"/>
  <c r="V21" i="7"/>
  <c r="AF21" i="7" s="1"/>
  <c r="Y90" i="7"/>
  <c r="V37" i="7"/>
  <c r="AF37" i="7" s="1"/>
  <c r="X98" i="7"/>
  <c r="W110" i="7"/>
  <c r="Y122" i="7"/>
  <c r="Y98" i="7"/>
  <c r="Y113" i="7"/>
  <c r="X113" i="7"/>
  <c r="W113" i="7"/>
  <c r="Y116" i="7"/>
  <c r="X116" i="7"/>
  <c r="W116" i="7"/>
  <c r="W105" i="7"/>
  <c r="Y105" i="7"/>
  <c r="X105" i="7"/>
  <c r="Y124" i="7"/>
  <c r="Y93" i="7"/>
  <c r="Y125" i="7"/>
  <c r="Y128" i="7"/>
  <c r="Y88" i="7"/>
  <c r="W103" i="7"/>
  <c r="X104" i="7"/>
  <c r="W104" i="7"/>
  <c r="X112" i="7"/>
  <c r="Y112" i="7"/>
  <c r="V97" i="7"/>
  <c r="AF97" i="7" s="1"/>
  <c r="W101" i="7"/>
  <c r="Y111" i="7"/>
  <c r="W111" i="7"/>
  <c r="X115" i="7"/>
  <c r="W115" i="7"/>
  <c r="V133" i="7"/>
  <c r="AF133" i="7" s="1"/>
  <c r="V139" i="7"/>
  <c r="AF139" i="7" s="1"/>
  <c r="V164" i="7"/>
  <c r="AF164" i="7" s="1"/>
  <c r="V165" i="7"/>
  <c r="AF165" i="7" s="1"/>
  <c r="W171" i="7"/>
  <c r="Y171" i="7"/>
  <c r="X171" i="7"/>
  <c r="V150" i="7"/>
  <c r="AF150" i="7" s="1"/>
  <c r="AB154" i="7"/>
  <c r="AC154" i="7" s="1"/>
  <c r="Y123" i="7"/>
  <c r="AB158" i="7"/>
  <c r="AC158" i="7" s="1"/>
  <c r="AB163" i="7"/>
  <c r="AC163" i="7" s="1"/>
  <c r="V141" i="7"/>
  <c r="AF141" i="7" s="1"/>
  <c r="AB140" i="7"/>
  <c r="AC140" i="7" s="1"/>
  <c r="AC194" i="7"/>
  <c r="AA194" i="7"/>
  <c r="V194" i="7" s="1"/>
  <c r="AF194" i="7" s="1"/>
  <c r="V176" i="7"/>
  <c r="AF176" i="7" s="1"/>
  <c r="Y184" i="7"/>
  <c r="Z193" i="7"/>
  <c r="AC193" i="7"/>
  <c r="AA193" i="7"/>
  <c r="AD209" i="7"/>
  <c r="AA209" i="7"/>
  <c r="Z209" i="7"/>
  <c r="Z211" i="7"/>
  <c r="AD211" i="7"/>
  <c r="AA211" i="7"/>
  <c r="AE209" i="7"/>
  <c r="AE211" i="7"/>
  <c r="W217" i="7"/>
  <c r="Y217" i="7"/>
  <c r="X217" i="7"/>
  <c r="AB186" i="7"/>
  <c r="AC186" i="7" s="1"/>
  <c r="AD196" i="7"/>
  <c r="W225" i="7"/>
  <c r="Y225" i="7"/>
  <c r="X225" i="7"/>
  <c r="W213" i="7"/>
  <c r="Y213" i="7"/>
  <c r="Y223" i="7"/>
  <c r="W223" i="7"/>
  <c r="X236" i="7"/>
  <c r="Y236" i="7"/>
  <c r="W250" i="7"/>
  <c r="Y250" i="7"/>
  <c r="W262" i="7"/>
  <c r="X262" i="7"/>
  <c r="Z208" i="7"/>
  <c r="X213" i="7"/>
  <c r="Y214" i="7"/>
  <c r="W214" i="7"/>
  <c r="Y218" i="7"/>
  <c r="Y219" i="7"/>
  <c r="X219" i="7"/>
  <c r="W219" i="7"/>
  <c r="W221" i="7"/>
  <c r="Y221" i="7"/>
  <c r="X222" i="7"/>
  <c r="W222" i="7"/>
  <c r="Y222" i="7"/>
  <c r="W224" i="7"/>
  <c r="X224" i="7"/>
  <c r="W236" i="7"/>
  <c r="W243" i="7"/>
  <c r="Y243" i="7"/>
  <c r="X243" i="7"/>
  <c r="X248" i="7"/>
  <c r="X250" i="7"/>
  <c r="AA208" i="7"/>
  <c r="Z210" i="7"/>
  <c r="X214" i="7"/>
  <c r="W215" i="7"/>
  <c r="Y220" i="7"/>
  <c r="X221" i="7"/>
  <c r="Y233" i="7"/>
  <c r="X233" i="7"/>
  <c r="W233" i="7"/>
  <c r="V239" i="7"/>
  <c r="AF239" i="7" s="1"/>
  <c r="Y247" i="7"/>
  <c r="X247" i="7"/>
  <c r="W247" i="7"/>
  <c r="V252" i="7"/>
  <c r="AF252" i="7" s="1"/>
  <c r="W256" i="7"/>
  <c r="X256" i="7"/>
  <c r="Y228" i="7"/>
  <c r="X228" i="7"/>
  <c r="X254" i="7"/>
  <c r="W254" i="7"/>
  <c r="AD208" i="7"/>
  <c r="AB208" i="7" s="1"/>
  <c r="AC208" i="7" s="1"/>
  <c r="Y215" i="7"/>
  <c r="W228" i="7"/>
  <c r="X226" i="7"/>
  <c r="W226" i="7"/>
  <c r="Y245" i="7"/>
  <c r="X245" i="7"/>
  <c r="W245" i="7"/>
  <c r="Y249" i="7"/>
  <c r="X249" i="7"/>
  <c r="W249" i="7"/>
  <c r="X261" i="7"/>
  <c r="W261" i="7"/>
  <c r="W259" i="7"/>
  <c r="X244" i="7"/>
  <c r="Y244" i="7"/>
  <c r="X255" i="7"/>
  <c r="W255" i="7"/>
  <c r="Y238" i="7"/>
  <c r="X253" i="7"/>
  <c r="V241" i="7"/>
  <c r="AF241" i="7" s="1"/>
  <c r="Z264" i="7"/>
  <c r="V264" i="7" s="1"/>
  <c r="AF264" i="7" s="1"/>
  <c r="X227" i="7"/>
  <c r="X237" i="7"/>
  <c r="V240" i="7"/>
  <c r="AF240" i="7" s="1"/>
  <c r="AI250" i="7" l="1" a="1"/>
  <c r="AI250" i="7" s="1"/>
  <c r="AI253" i="7" a="1"/>
  <c r="AI253" i="7" s="1"/>
  <c r="AI232" i="7" a="1"/>
  <c r="AI232" i="7" s="1"/>
  <c r="AI233" i="7" a="1"/>
  <c r="AI233" i="7" s="1"/>
  <c r="AI218" i="7" a="1"/>
  <c r="AI218" i="7" s="1"/>
  <c r="AI243" i="7" a="1"/>
  <c r="AI243" i="7" s="1"/>
  <c r="AI221" i="7" a="1"/>
  <c r="AI221" i="7" s="1"/>
  <c r="AI219" i="7" a="1"/>
  <c r="AI219" i="7" s="1"/>
  <c r="AI254" i="7" a="1"/>
  <c r="AI254" i="7" s="1"/>
  <c r="AI222" i="7" a="1"/>
  <c r="AI222" i="7" s="1"/>
  <c r="AI247" i="7" a="1"/>
  <c r="AI247" i="7" s="1"/>
  <c r="Y22" i="7"/>
  <c r="AH176" i="7"/>
  <c r="AI176" i="7" s="1" a="1"/>
  <c r="AI176" i="7" s="1"/>
  <c r="AH240" i="7"/>
  <c r="AI240" i="7" s="1" a="1"/>
  <c r="AI240" i="7" s="1"/>
  <c r="AH17" i="7"/>
  <c r="AI17" i="7" s="1" a="1"/>
  <c r="AI17" i="7" s="1"/>
  <c r="AH203" i="7"/>
  <c r="AI203" i="7" s="1" a="1"/>
  <c r="AI203" i="7" s="1"/>
  <c r="AH36" i="7"/>
  <c r="AI36" i="7" s="1" a="1"/>
  <c r="AI36" i="7" s="1"/>
  <c r="AH50" i="7"/>
  <c r="AI50" i="7" s="1" a="1"/>
  <c r="AI50" i="7" s="1"/>
  <c r="AH199" i="7"/>
  <c r="AH151" i="7"/>
  <c r="AH55" i="7"/>
  <c r="AI55" i="7" s="1" a="1"/>
  <c r="AI55" i="7" s="1"/>
  <c r="AH196" i="7"/>
  <c r="AI196" i="7" s="1" a="1"/>
  <c r="AI196" i="7" s="1"/>
  <c r="AH224" i="7"/>
  <c r="AI224" i="7" s="1" a="1"/>
  <c r="AI224" i="7" s="1"/>
  <c r="AH118" i="7"/>
  <c r="AI118" i="7" s="1" a="1"/>
  <c r="AI118" i="7" s="1"/>
  <c r="AH22" i="7"/>
  <c r="AI22" i="7" s="1" a="1"/>
  <c r="AI22" i="7" s="1"/>
  <c r="AH194" i="7"/>
  <c r="AI194" i="7" s="1" a="1"/>
  <c r="AI194" i="7" s="1"/>
  <c r="AH21" i="7"/>
  <c r="AI21" i="7" s="1" a="1"/>
  <c r="AI21" i="7" s="1"/>
  <c r="AH204" i="7"/>
  <c r="AH115" i="7"/>
  <c r="AI115" i="7" s="1" a="1"/>
  <c r="AI115" i="7" s="1"/>
  <c r="AH160" i="7"/>
  <c r="AH107" i="7"/>
  <c r="AI107" i="7" s="1" a="1"/>
  <c r="AI107" i="7" s="1"/>
  <c r="AH51" i="7"/>
  <c r="AI51" i="7" s="1" a="1"/>
  <c r="AI51" i="7" s="1"/>
  <c r="AH244" i="7"/>
  <c r="AI244" i="7" s="1" a="1"/>
  <c r="AI244" i="7" s="1"/>
  <c r="AH207" i="7"/>
  <c r="AH178" i="7"/>
  <c r="AI178" i="7" s="1" a="1"/>
  <c r="AI178" i="7" s="1"/>
  <c r="AH59" i="7"/>
  <c r="AI59" i="7" s="1" a="1"/>
  <c r="AI59" i="7" s="1"/>
  <c r="AH32" i="7"/>
  <c r="AI32" i="7" s="1" a="1"/>
  <c r="AI32" i="7" s="1"/>
  <c r="AH146" i="7"/>
  <c r="AI146" i="7" s="1" a="1"/>
  <c r="AI146" i="7" s="1"/>
  <c r="AH52" i="7"/>
  <c r="AI52" i="7" s="1" a="1"/>
  <c r="AI52" i="7" s="1"/>
  <c r="AH200" i="7"/>
  <c r="AI200" i="7" s="1" a="1"/>
  <c r="AI200" i="7" s="1"/>
  <c r="AH152" i="7"/>
  <c r="AI152" i="7" s="1" a="1"/>
  <c r="AI152" i="7" s="1"/>
  <c r="AH163" i="7"/>
  <c r="AI163" i="7" s="1" a="1"/>
  <c r="AI163" i="7" s="1"/>
  <c r="AH257" i="7"/>
  <c r="AI257" i="7" s="1" a="1"/>
  <c r="AI257" i="7" s="1"/>
  <c r="AH26" i="7"/>
  <c r="AI26" i="7" s="1" a="1"/>
  <c r="AI26" i="7" s="1"/>
  <c r="AH31" i="7"/>
  <c r="AI31" i="7" s="1" a="1"/>
  <c r="AI31" i="7" s="1"/>
  <c r="AH242" i="7"/>
  <c r="AI242" i="7" s="1" a="1"/>
  <c r="AI242" i="7" s="1"/>
  <c r="AH119" i="7"/>
  <c r="AI119" i="7" s="1" a="1"/>
  <c r="AI119" i="7" s="1"/>
  <c r="AH13" i="7"/>
  <c r="AI13" i="7" s="1" a="1"/>
  <c r="AI13" i="7" s="1"/>
  <c r="AH12" i="7"/>
  <c r="AI12" i="7" s="1" a="1"/>
  <c r="AI12" i="7" s="1"/>
  <c r="AH117" i="7"/>
  <c r="AI117" i="7" s="1" a="1"/>
  <c r="AI117" i="7" s="1"/>
  <c r="AH20" i="7"/>
  <c r="AI20" i="7" s="1" a="1"/>
  <c r="AI20" i="7" s="1"/>
  <c r="AH241" i="7"/>
  <c r="AI241" i="7" s="1" a="1"/>
  <c r="AI241" i="7" s="1"/>
  <c r="AH141" i="7"/>
  <c r="AI141" i="7" s="1" a="1"/>
  <c r="AI141" i="7" s="1"/>
  <c r="AH58" i="7"/>
  <c r="AI58" i="7" s="1" a="1"/>
  <c r="AI58" i="7" s="1"/>
  <c r="AH33" i="7"/>
  <c r="AI33" i="7" s="1" a="1"/>
  <c r="AI33" i="7" s="1"/>
  <c r="AH161" i="7"/>
  <c r="AI161" i="7" s="1" a="1"/>
  <c r="AI161" i="7" s="1"/>
  <c r="AH172" i="7"/>
  <c r="AH6" i="7"/>
  <c r="AI6" i="7" s="1" a="1"/>
  <c r="AI6" i="7" s="1"/>
  <c r="AH114" i="7"/>
  <c r="AI114" i="7" s="1" a="1"/>
  <c r="AI114" i="7" s="1"/>
  <c r="AH223" i="7"/>
  <c r="AI223" i="7" s="1" a="1"/>
  <c r="AI223" i="7" s="1"/>
  <c r="AH18" i="7"/>
  <c r="AI18" i="7" s="1" a="1"/>
  <c r="AI18" i="7" s="1"/>
  <c r="AH202" i="7"/>
  <c r="AH16" i="7"/>
  <c r="AI16" i="7" s="1" a="1"/>
  <c r="AI16" i="7" s="1"/>
  <c r="AH49" i="7"/>
  <c r="AI49" i="7" s="1" a="1"/>
  <c r="AI49" i="7" s="1"/>
  <c r="AH15" i="7"/>
  <c r="AI15" i="7" s="1" a="1"/>
  <c r="AI15" i="7" s="1"/>
  <c r="AH45" i="7"/>
  <c r="AI45" i="7" s="1" a="1"/>
  <c r="AI45" i="7" s="1"/>
  <c r="AH138" i="7"/>
  <c r="AI138" i="7" s="1" a="1"/>
  <c r="AI138" i="7" s="1"/>
  <c r="AH35" i="7"/>
  <c r="AI35" i="7" s="1" a="1"/>
  <c r="AI35" i="7" s="1"/>
  <c r="AH231" i="7"/>
  <c r="AI231" i="7" s="1" a="1"/>
  <c r="AI231" i="7" s="1"/>
  <c r="AH62" i="7"/>
  <c r="AI62" i="7" s="1" a="1"/>
  <c r="AI62" i="7" s="1"/>
  <c r="AH246" i="7"/>
  <c r="AI246" i="7" s="1" a="1"/>
  <c r="AI246" i="7" s="1"/>
  <c r="AH53" i="7"/>
  <c r="AI53" i="7" s="1" a="1"/>
  <c r="AI53" i="7" s="1"/>
  <c r="AH57" i="7"/>
  <c r="AI57" i="7" s="1" a="1"/>
  <c r="AI57" i="7" s="1"/>
  <c r="AH144" i="7"/>
  <c r="AI144" i="7" s="1" a="1"/>
  <c r="AI144" i="7" s="1"/>
  <c r="AH237" i="7"/>
  <c r="AI237" i="7" s="1" a="1"/>
  <c r="AI237" i="7" s="1"/>
  <c r="AH14" i="7"/>
  <c r="AI14" i="7" s="1" a="1"/>
  <c r="AI14" i="7" s="1"/>
  <c r="AH230" i="7"/>
  <c r="AI230" i="7" s="1" a="1"/>
  <c r="AI230" i="7" s="1"/>
  <c r="AH239" i="7"/>
  <c r="AI239" i="7" s="1" a="1"/>
  <c r="AI239" i="7" s="1"/>
  <c r="AH198" i="7"/>
  <c r="AI198" i="7" s="1" a="1"/>
  <c r="AI198" i="7" s="1"/>
  <c r="AH60" i="7"/>
  <c r="AI60" i="7" s="1" a="1"/>
  <c r="AI60" i="7" s="1"/>
  <c r="AH251" i="7"/>
  <c r="AI251" i="7" s="1" a="1"/>
  <c r="AI251" i="7" s="1"/>
  <c r="AH25" i="7"/>
  <c r="AI25" i="7" s="1" a="1"/>
  <c r="AI25" i="7" s="1"/>
  <c r="AH143" i="7"/>
  <c r="AI143" i="7" s="1" a="1"/>
  <c r="AI143" i="7" s="1"/>
  <c r="AH258" i="7"/>
  <c r="AI258" i="7" s="1" a="1"/>
  <c r="AI258" i="7" s="1"/>
  <c r="AH165" i="7"/>
  <c r="AI165" i="7" s="1" a="1"/>
  <c r="AI165" i="7" s="1"/>
  <c r="AH179" i="7"/>
  <c r="AI179" i="7" s="1" a="1"/>
  <c r="AI179" i="7" s="1"/>
  <c r="AH158" i="7"/>
  <c r="AH38" i="7"/>
  <c r="AI38" i="7" s="1" a="1"/>
  <c r="AI38" i="7" s="1"/>
  <c r="AH98" i="7"/>
  <c r="AI98" i="7" s="1" a="1"/>
  <c r="AI98" i="7" s="1"/>
  <c r="AH166" i="7"/>
  <c r="AH47" i="7"/>
  <c r="AI47" i="7" s="1" a="1"/>
  <c r="AI47" i="7" s="1"/>
  <c r="AH56" i="7"/>
  <c r="AI56" i="7" s="1" a="1"/>
  <c r="AI56" i="7" s="1"/>
  <c r="AH140" i="7"/>
  <c r="AI140" i="7" s="1" a="1"/>
  <c r="AI140" i="7" s="1"/>
  <c r="AH192" i="7"/>
  <c r="AI192" i="7" s="1" a="1"/>
  <c r="AI192" i="7" s="1"/>
  <c r="AH164" i="7"/>
  <c r="AI164" i="7" s="1" a="1"/>
  <c r="AI164" i="7" s="1"/>
  <c r="AH97" i="7"/>
  <c r="AI97" i="7" s="1" a="1"/>
  <c r="AI97" i="7" s="1"/>
  <c r="AH37" i="7"/>
  <c r="AI37" i="7" s="1" a="1"/>
  <c r="AI37" i="7" s="1"/>
  <c r="AH175" i="7"/>
  <c r="AI175" i="7" s="1" a="1"/>
  <c r="AI175" i="7" s="1"/>
  <c r="AH206" i="7"/>
  <c r="AH41" i="7"/>
  <c r="AI41" i="7" s="1" a="1"/>
  <c r="AI41" i="7" s="1"/>
  <c r="AH234" i="7"/>
  <c r="AI234" i="7" s="1" a="1"/>
  <c r="AI234" i="7" s="1"/>
  <c r="AH229" i="7"/>
  <c r="AI229" i="7" s="1" a="1"/>
  <c r="AI229" i="7" s="1"/>
  <c r="AH155" i="7"/>
  <c r="AH162" i="7"/>
  <c r="AI162" i="7" s="1" a="1"/>
  <c r="AI162" i="7" s="1"/>
  <c r="AH101" i="7"/>
  <c r="AI101" i="7" s="1" a="1"/>
  <c r="AI101" i="7" s="1"/>
  <c r="AH43" i="7"/>
  <c r="AI43" i="7" s="1" a="1"/>
  <c r="AI43" i="7" s="1"/>
  <c r="AH24" i="7"/>
  <c r="AI24" i="7" s="1" a="1"/>
  <c r="AI24" i="7" s="1"/>
  <c r="AH103" i="7"/>
  <c r="AI103" i="7" s="1" a="1"/>
  <c r="AI103" i="7" s="1"/>
  <c r="AH42" i="7"/>
  <c r="AI42" i="7" s="1" a="1"/>
  <c r="AI42" i="7" s="1"/>
  <c r="AH109" i="7"/>
  <c r="AI109" i="7" s="1" a="1"/>
  <c r="AI109" i="7" s="1"/>
  <c r="AH94" i="7"/>
  <c r="AI94" i="7" s="1" a="1"/>
  <c r="AI94" i="7" s="1"/>
  <c r="AH156" i="7"/>
  <c r="AI156" i="7" s="1" a="1"/>
  <c r="AI156" i="7" s="1"/>
  <c r="AH133" i="7"/>
  <c r="AI133" i="7" s="1" a="1"/>
  <c r="AI133" i="7" s="1"/>
  <c r="AH147" i="7"/>
  <c r="AI147" i="7" s="1" a="1"/>
  <c r="AI147" i="7" s="1"/>
  <c r="AH67" i="7"/>
  <c r="AI67" i="7" s="1" a="1"/>
  <c r="AI67" i="7" s="1"/>
  <c r="AH92" i="7"/>
  <c r="AI92" i="7" s="1" a="1"/>
  <c r="AI92" i="7" s="1"/>
  <c r="AH111" i="7"/>
  <c r="AI111" i="7" s="1" a="1"/>
  <c r="AI111" i="7" s="1"/>
  <c r="AH183" i="7"/>
  <c r="AI183" i="7" s="1" a="1"/>
  <c r="AI183" i="7" s="1"/>
  <c r="AH170" i="7"/>
  <c r="AI170" i="7" s="1" a="1"/>
  <c r="AI170" i="7" s="1"/>
  <c r="AH30" i="7"/>
  <c r="AI30" i="7" s="1" a="1"/>
  <c r="AI30" i="7" s="1"/>
  <c r="AH150" i="7"/>
  <c r="AI150" i="7" s="1" a="1"/>
  <c r="AI150" i="7" s="1"/>
  <c r="AH135" i="7"/>
  <c r="AI135" i="7" s="1" a="1"/>
  <c r="AI135" i="7" s="1"/>
  <c r="AH66" i="7"/>
  <c r="AI66" i="7" s="1" a="1"/>
  <c r="AI66" i="7" s="1"/>
  <c r="AH132" i="7"/>
  <c r="AI132" i="7" s="1" a="1"/>
  <c r="AI132" i="7" s="1"/>
  <c r="AH174" i="7"/>
  <c r="AI174" i="7" s="1" a="1"/>
  <c r="AI174" i="7" s="1"/>
  <c r="AH112" i="7"/>
  <c r="AI112" i="7" s="1" a="1"/>
  <c r="AI112" i="7" s="1"/>
  <c r="AH180" i="7"/>
  <c r="AI180" i="7" s="1" a="1"/>
  <c r="AI180" i="7" s="1"/>
  <c r="AH186" i="7"/>
  <c r="AI186" i="7" s="1" a="1"/>
  <c r="AI186" i="7" s="1"/>
  <c r="AH27" i="7"/>
  <c r="AI27" i="7" s="1" a="1"/>
  <c r="AI27" i="7" s="1"/>
  <c r="AH260" i="7"/>
  <c r="AI260" i="7" s="1" a="1"/>
  <c r="AI260" i="7" s="1"/>
  <c r="AH74" i="7"/>
  <c r="AI74" i="7" s="1" a="1"/>
  <c r="AI74" i="7" s="1"/>
  <c r="AH131" i="7"/>
  <c r="AI131" i="7" s="1" a="1"/>
  <c r="AI131" i="7" s="1"/>
  <c r="AH238" i="7"/>
  <c r="AI238" i="7" s="1" a="1"/>
  <c r="AI238" i="7" s="1"/>
  <c r="AH181" i="7"/>
  <c r="AI181" i="7" s="1" a="1"/>
  <c r="AI181" i="7" s="1"/>
  <c r="AH252" i="7"/>
  <c r="AI252" i="7" s="1" a="1"/>
  <c r="AI252" i="7" s="1"/>
  <c r="AH149" i="7"/>
  <c r="AI149" i="7" s="1" a="1"/>
  <c r="AI149" i="7" s="1"/>
  <c r="AH80" i="7"/>
  <c r="AI80" i="7" s="1" a="1"/>
  <c r="AI80" i="7" s="1"/>
  <c r="AH189" i="7"/>
  <c r="AI189" i="7" s="1" a="1"/>
  <c r="AI189" i="7" s="1"/>
  <c r="AH82" i="7"/>
  <c r="AI82" i="7" s="1" a="1"/>
  <c r="AI82" i="7" s="1"/>
  <c r="AH28" i="7"/>
  <c r="AI28" i="7" s="1" a="1"/>
  <c r="AI28" i="7" s="1"/>
  <c r="AH29" i="7"/>
  <c r="AI29" i="7" s="1" a="1"/>
  <c r="AI29" i="7" s="1"/>
  <c r="AH259" i="7"/>
  <c r="AI259" i="7" s="1" a="1"/>
  <c r="AI259" i="7" s="1"/>
  <c r="AH70" i="7"/>
  <c r="AI70" i="7" s="1" a="1"/>
  <c r="AI70" i="7" s="1"/>
  <c r="AH168" i="7"/>
  <c r="AI168" i="7" s="1" a="1"/>
  <c r="AI168" i="7" s="1"/>
  <c r="AH169" i="7"/>
  <c r="AI169" i="7" s="1" a="1"/>
  <c r="AI169" i="7" s="1"/>
  <c r="AH84" i="7"/>
  <c r="AI84" i="7" s="1" a="1"/>
  <c r="AI84" i="7" s="1"/>
  <c r="AH264" i="7"/>
  <c r="AI264" i="7" s="1" a="1"/>
  <c r="AI264" i="7" s="1"/>
  <c r="AH64" i="7"/>
  <c r="AI64" i="7" s="1" a="1"/>
  <c r="AI64" i="7" s="1"/>
  <c r="AH226" i="7"/>
  <c r="AI226" i="7" s="1" a="1"/>
  <c r="AI226" i="7" s="1"/>
  <c r="AH68" i="7"/>
  <c r="AI68" i="7" s="1" a="1"/>
  <c r="AI68" i="7" s="1"/>
  <c r="AH78" i="7"/>
  <c r="AI78" i="7" s="1" a="1"/>
  <c r="AI78" i="7" s="1"/>
  <c r="AH148" i="7"/>
  <c r="AI148" i="7" s="1" a="1"/>
  <c r="AI148" i="7" s="1"/>
  <c r="AH110" i="7"/>
  <c r="AI110" i="7" s="1" a="1"/>
  <c r="AI110" i="7" s="1"/>
  <c r="AH139" i="7"/>
  <c r="AI139" i="7" s="1" a="1"/>
  <c r="AI139" i="7" s="1"/>
  <c r="AH182" i="7"/>
  <c r="AI182" i="7" s="1" a="1"/>
  <c r="AI182" i="7" s="1"/>
  <c r="AH159" i="7"/>
  <c r="AI159" i="7" s="1" a="1"/>
  <c r="AI159" i="7" s="1"/>
  <c r="AH265" i="7"/>
  <c r="AI265" i="7" s="1" a="1"/>
  <c r="AI265" i="7" s="1"/>
  <c r="AH72" i="7"/>
  <c r="AI72" i="7" s="1" a="1"/>
  <c r="AI72" i="7" s="1"/>
  <c r="AH76" i="7"/>
  <c r="AI76" i="7" s="1" a="1"/>
  <c r="AI76" i="7" s="1"/>
  <c r="AH86" i="7"/>
  <c r="AI86" i="7" s="1" a="1"/>
  <c r="AI86" i="7" s="1"/>
  <c r="AH95" i="7"/>
  <c r="AI95" i="7" s="1" a="1"/>
  <c r="AI95" i="7" s="1"/>
  <c r="X153" i="7"/>
  <c r="AF167" i="7"/>
  <c r="X109" i="7"/>
  <c r="X103" i="7"/>
  <c r="X110" i="7"/>
  <c r="Y15" i="7"/>
  <c r="W184" i="7"/>
  <c r="AF19" i="7"/>
  <c r="W108" i="7"/>
  <c r="W205" i="7"/>
  <c r="Y110" i="7"/>
  <c r="X186" i="7"/>
  <c r="Y186" i="7"/>
  <c r="Y36" i="7"/>
  <c r="Y108" i="7"/>
  <c r="Y52" i="7"/>
  <c r="W231" i="7"/>
  <c r="Y231" i="7"/>
  <c r="X231" i="7"/>
  <c r="Y99" i="7"/>
  <c r="AF184" i="7"/>
  <c r="AF108" i="7"/>
  <c r="X230" i="7"/>
  <c r="Y140" i="7"/>
  <c r="W109" i="7"/>
  <c r="X188" i="7"/>
  <c r="Y188" i="7"/>
  <c r="Y185" i="7"/>
  <c r="X99" i="7"/>
  <c r="Y153" i="7"/>
  <c r="X136" i="7"/>
  <c r="X258" i="7"/>
  <c r="AF153" i="7"/>
  <c r="W230" i="7"/>
  <c r="X203" i="7"/>
  <c r="X192" i="7"/>
  <c r="W144" i="7"/>
  <c r="Y230" i="7"/>
  <c r="W186" i="7"/>
  <c r="Y109" i="7"/>
  <c r="X140" i="7"/>
  <c r="W258" i="7"/>
  <c r="Y29" i="7"/>
  <c r="X143" i="7"/>
  <c r="X144" i="7"/>
  <c r="Y144" i="7"/>
  <c r="W146" i="7"/>
  <c r="W143" i="7"/>
  <c r="W192" i="7"/>
  <c r="Y167" i="7"/>
  <c r="Y24" i="7"/>
  <c r="AF136" i="7"/>
  <c r="X156" i="7"/>
  <c r="AF188" i="7"/>
  <c r="X138" i="7"/>
  <c r="Y136" i="7"/>
  <c r="Y192" i="7"/>
  <c r="Y107" i="7"/>
  <c r="W145" i="7"/>
  <c r="Y183" i="7"/>
  <c r="W180" i="7"/>
  <c r="V210" i="7"/>
  <c r="AF210" i="7" s="1"/>
  <c r="Y146" i="7"/>
  <c r="X100" i="7"/>
  <c r="AF100" i="7"/>
  <c r="X146" i="7"/>
  <c r="X155" i="7"/>
  <c r="W140" i="7"/>
  <c r="Y100" i="7"/>
  <c r="Y151" i="7"/>
  <c r="X107" i="7"/>
  <c r="X151" i="7"/>
  <c r="W107" i="7"/>
  <c r="Y180" i="7"/>
  <c r="AF40" i="7"/>
  <c r="AF185" i="7"/>
  <c r="X162" i="7"/>
  <c r="Y138" i="7"/>
  <c r="Y142" i="7"/>
  <c r="W169" i="7"/>
  <c r="Y14" i="7"/>
  <c r="W142" i="7"/>
  <c r="AF99" i="7"/>
  <c r="Y42" i="7"/>
  <c r="W151" i="7"/>
  <c r="X134" i="7"/>
  <c r="Y203" i="7"/>
  <c r="Y169" i="7"/>
  <c r="Y13" i="7"/>
  <c r="Y35" i="7"/>
  <c r="AF134" i="7"/>
  <c r="AF187" i="7"/>
  <c r="AF142" i="7"/>
  <c r="X202" i="7"/>
  <c r="Y155" i="7"/>
  <c r="Y49" i="7"/>
  <c r="W181" i="7"/>
  <c r="X181" i="7"/>
  <c r="Y181" i="7"/>
  <c r="X157" i="7"/>
  <c r="Y59" i="7"/>
  <c r="W167" i="7"/>
  <c r="X145" i="7"/>
  <c r="X167" i="7"/>
  <c r="W157" i="7"/>
  <c r="Y25" i="7"/>
  <c r="Y205" i="7"/>
  <c r="W202" i="7"/>
  <c r="Y53" i="7"/>
  <c r="AF54" i="7"/>
  <c r="AF145" i="7"/>
  <c r="AB196" i="7"/>
  <c r="AC196" i="7" s="1"/>
  <c r="X159" i="7"/>
  <c r="W203" i="7"/>
  <c r="X180" i="7"/>
  <c r="W138" i="7"/>
  <c r="W159" i="7"/>
  <c r="Y56" i="7"/>
  <c r="Y32" i="7"/>
  <c r="Y16" i="7"/>
  <c r="W134" i="7"/>
  <c r="Y143" i="7"/>
  <c r="X169" i="7"/>
  <c r="Y156" i="7"/>
  <c r="Y18" i="7"/>
  <c r="W166" i="7"/>
  <c r="Y57" i="7"/>
  <c r="Y162" i="7"/>
  <c r="W187" i="7"/>
  <c r="X148" i="7"/>
  <c r="Y47" i="7"/>
  <c r="X187" i="7"/>
  <c r="Y148" i="7"/>
  <c r="W156" i="7"/>
  <c r="X166" i="7"/>
  <c r="W162" i="7"/>
  <c r="Y43" i="7"/>
  <c r="AF44" i="7"/>
  <c r="AF205" i="7"/>
  <c r="W148" i="7"/>
  <c r="W185" i="7"/>
  <c r="W155" i="7"/>
  <c r="Y26" i="7"/>
  <c r="Y28" i="7"/>
  <c r="Y202" i="7"/>
  <c r="W160" i="7"/>
  <c r="Y160" i="7"/>
  <c r="X160" i="7"/>
  <c r="AF177" i="7"/>
  <c r="X137" i="7"/>
  <c r="W190" i="7"/>
  <c r="AF190" i="7"/>
  <c r="W201" i="7"/>
  <c r="X190" i="7"/>
  <c r="X199" i="7"/>
  <c r="X260" i="7"/>
  <c r="Y199" i="7"/>
  <c r="W170" i="7"/>
  <c r="X177" i="7"/>
  <c r="W177" i="7"/>
  <c r="W173" i="7"/>
  <c r="X170" i="7"/>
  <c r="Y137" i="7"/>
  <c r="W183" i="7"/>
  <c r="W199" i="7"/>
  <c r="AF61" i="7"/>
  <c r="AF34" i="7"/>
  <c r="Y20" i="7"/>
  <c r="Y170" i="7"/>
  <c r="X183" i="7"/>
  <c r="AF173" i="7"/>
  <c r="Y201" i="7"/>
  <c r="AF137" i="7"/>
  <c r="Y173" i="7"/>
  <c r="AF39" i="7"/>
  <c r="X168" i="7"/>
  <c r="Y168" i="7"/>
  <c r="V209" i="7"/>
  <c r="AF209" i="7" s="1"/>
  <c r="X191" i="7"/>
  <c r="W168" i="7"/>
  <c r="W191" i="7"/>
  <c r="Y166" i="7"/>
  <c r="Y102" i="7"/>
  <c r="AF102" i="7"/>
  <c r="AF191" i="7"/>
  <c r="Y45" i="7"/>
  <c r="W178" i="7"/>
  <c r="Y30" i="7"/>
  <c r="W207" i="7"/>
  <c r="X178" i="7"/>
  <c r="Y207" i="7"/>
  <c r="AF154" i="7"/>
  <c r="AF157" i="7"/>
  <c r="X207" i="7"/>
  <c r="Y178" i="7"/>
  <c r="X257" i="7"/>
  <c r="AF201" i="7"/>
  <c r="Y159" i="7"/>
  <c r="Y38" i="7"/>
  <c r="Y135" i="7"/>
  <c r="X135" i="7"/>
  <c r="Y60" i="7"/>
  <c r="Y172" i="7"/>
  <c r="W149" i="7"/>
  <c r="X147" i="7"/>
  <c r="Y189" i="7"/>
  <c r="X161" i="7"/>
  <c r="W206" i="7"/>
  <c r="W182" i="7"/>
  <c r="W158" i="7"/>
  <c r="X172" i="7"/>
  <c r="X200" i="7"/>
  <c r="Y58" i="7"/>
  <c r="Y198" i="7"/>
  <c r="Y152" i="7"/>
  <c r="W172" i="7"/>
  <c r="W135" i="7"/>
  <c r="W257" i="7"/>
  <c r="Y51" i="7"/>
  <c r="W260" i="7"/>
  <c r="X175" i="7"/>
  <c r="Y204" i="7"/>
  <c r="Y23" i="7"/>
  <c r="AF23" i="7"/>
  <c r="Y46" i="7"/>
  <c r="AF46" i="7"/>
  <c r="Y196" i="7"/>
  <c r="X196" i="7"/>
  <c r="W196" i="7"/>
  <c r="W102" i="7"/>
  <c r="X102" i="7"/>
  <c r="Y27" i="7"/>
  <c r="V197" i="7"/>
  <c r="AF197" i="7" s="1"/>
  <c r="X158" i="7"/>
  <c r="Y206" i="7"/>
  <c r="W163" i="7"/>
  <c r="X198" i="7"/>
  <c r="W161" i="7"/>
  <c r="Y158" i="7"/>
  <c r="W189" i="7"/>
  <c r="Y200" i="7"/>
  <c r="Y161" i="7"/>
  <c r="X182" i="7"/>
  <c r="Y182" i="7"/>
  <c r="Y265" i="7"/>
  <c r="W204" i="7"/>
  <c r="X149" i="7"/>
  <c r="Y147" i="7"/>
  <c r="Y149" i="7"/>
  <c r="Y31" i="7"/>
  <c r="X189" i="7"/>
  <c r="X179" i="7"/>
  <c r="X163" i="7"/>
  <c r="Y175" i="7"/>
  <c r="Y55" i="7"/>
  <c r="Y179" i="7"/>
  <c r="Y163" i="7"/>
  <c r="Y50" i="7"/>
  <c r="W179" i="7"/>
  <c r="Y41" i="7"/>
  <c r="W200" i="7"/>
  <c r="AB209" i="7"/>
  <c r="AC209" i="7" s="1"/>
  <c r="X152" i="7"/>
  <c r="Y17" i="7"/>
  <c r="X204" i="7"/>
  <c r="W175" i="7"/>
  <c r="W147" i="7"/>
  <c r="Y33" i="7"/>
  <c r="Y62" i="7"/>
  <c r="W152" i="7"/>
  <c r="W198" i="7"/>
  <c r="X206" i="7"/>
  <c r="AB211" i="7"/>
  <c r="AC211" i="7" s="1"/>
  <c r="Y133" i="7"/>
  <c r="X133" i="7"/>
  <c r="W133" i="7"/>
  <c r="Y37" i="7"/>
  <c r="X239" i="7"/>
  <c r="W239" i="7"/>
  <c r="Y239" i="7"/>
  <c r="V211" i="7"/>
  <c r="AF211" i="7" s="1"/>
  <c r="V193" i="7"/>
  <c r="AF193" i="7" s="1"/>
  <c r="Y194" i="7"/>
  <c r="W194" i="7"/>
  <c r="X194" i="7"/>
  <c r="Y150" i="7"/>
  <c r="X150" i="7"/>
  <c r="W150" i="7"/>
  <c r="Y240" i="7"/>
  <c r="X240" i="7"/>
  <c r="W240" i="7"/>
  <c r="Y21" i="7"/>
  <c r="V208" i="7"/>
  <c r="AF208" i="7" s="1"/>
  <c r="Y165" i="7"/>
  <c r="X165" i="7"/>
  <c r="W165" i="7"/>
  <c r="W139" i="7"/>
  <c r="Y139" i="7"/>
  <c r="X139" i="7"/>
  <c r="W176" i="7"/>
  <c r="Y176" i="7"/>
  <c r="X176" i="7"/>
  <c r="Y164" i="7"/>
  <c r="X164" i="7"/>
  <c r="W164" i="7"/>
  <c r="Y252" i="7"/>
  <c r="X252" i="7"/>
  <c r="W252" i="7"/>
  <c r="Y97" i="7"/>
  <c r="X97" i="7"/>
  <c r="W97" i="7"/>
  <c r="Y264" i="7"/>
  <c r="Y241" i="7"/>
  <c r="W241" i="7"/>
  <c r="X241" i="7"/>
  <c r="Y141" i="7"/>
  <c r="X141" i="7"/>
  <c r="W141" i="7"/>
  <c r="AI155" i="7" l="1" a="1"/>
  <c r="AI155" i="7" s="1"/>
  <c r="AI158" i="7" a="1"/>
  <c r="AI158" i="7" s="1"/>
  <c r="AI202" i="7" a="1"/>
  <c r="AI202" i="7" s="1"/>
  <c r="AI160" i="7" a="1"/>
  <c r="AI160" i="7" s="1"/>
  <c r="AI204" i="7" a="1"/>
  <c r="AI204" i="7" s="1"/>
  <c r="AI151" i="7" a="1"/>
  <c r="AI151" i="7" s="1"/>
  <c r="AI206" i="7" a="1"/>
  <c r="AI206" i="7" s="1"/>
  <c r="AI199" i="7" a="1"/>
  <c r="AI199" i="7" s="1"/>
  <c r="AI166" i="7" a="1"/>
  <c r="AI166" i="7" s="1"/>
  <c r="AI207" i="7" a="1"/>
  <c r="AI207" i="7" s="1"/>
  <c r="AI172" i="7" a="1"/>
  <c r="AI172" i="7" s="1"/>
  <c r="AH211" i="7"/>
  <c r="AI211" i="7" s="1" a="1"/>
  <c r="AI211" i="7" s="1"/>
  <c r="AH23" i="7"/>
  <c r="AI23" i="7" s="1" a="1"/>
  <c r="AI23" i="7" s="1"/>
  <c r="AH209" i="7"/>
  <c r="AI209" i="7" s="1" a="1"/>
  <c r="AI209" i="7" s="1"/>
  <c r="AH153" i="7"/>
  <c r="AI153" i="7" s="1" a="1"/>
  <c r="AI153" i="7" s="1"/>
  <c r="AH154" i="7"/>
  <c r="AI154" i="7" s="1" a="1"/>
  <c r="AI154" i="7" s="1"/>
  <c r="AH190" i="7"/>
  <c r="AI190" i="7" s="1" a="1"/>
  <c r="AI190" i="7" s="1"/>
  <c r="AH19" i="7"/>
  <c r="AI19" i="7" s="1" a="1"/>
  <c r="AI19" i="7" s="1"/>
  <c r="AH145" i="7"/>
  <c r="AI145" i="7" s="1" a="1"/>
  <c r="AI145" i="7" s="1"/>
  <c r="AH210" i="7"/>
  <c r="AI210" i="7" s="1" a="1"/>
  <c r="AI210" i="7" s="1"/>
  <c r="AH108" i="7"/>
  <c r="AI108" i="7" s="1" a="1"/>
  <c r="AI108" i="7" s="1"/>
  <c r="AH208" i="7"/>
  <c r="AI208" i="7" s="1" a="1"/>
  <c r="AI208" i="7" s="1"/>
  <c r="AH142" i="7"/>
  <c r="AI142" i="7" s="1" a="1"/>
  <c r="AI142" i="7" s="1"/>
  <c r="AH197" i="7"/>
  <c r="AI197" i="7" s="1" a="1"/>
  <c r="AI197" i="7" s="1"/>
  <c r="AH173" i="7"/>
  <c r="AI173" i="7" s="1" a="1"/>
  <c r="AI173" i="7" s="1"/>
  <c r="AH205" i="7"/>
  <c r="AI205" i="7" s="1" a="1"/>
  <c r="AI205" i="7" s="1"/>
  <c r="AH201" i="7"/>
  <c r="AI201" i="7" s="1" a="1"/>
  <c r="AI201" i="7" s="1"/>
  <c r="AH137" i="7"/>
  <c r="AI137" i="7" s="1" a="1"/>
  <c r="AI137" i="7" s="1"/>
  <c r="AH177" i="7"/>
  <c r="AI177" i="7" s="1" a="1"/>
  <c r="AI177" i="7" s="1"/>
  <c r="AH193" i="7"/>
  <c r="AI193" i="7" s="1" a="1"/>
  <c r="AI193" i="7" s="1"/>
  <c r="AH187" i="7"/>
  <c r="AI187" i="7" s="1" a="1"/>
  <c r="AI187" i="7" s="1"/>
  <c r="AH136" i="7"/>
  <c r="AI136" i="7" s="1" a="1"/>
  <c r="AI136" i="7" s="1"/>
  <c r="AH102" i="7"/>
  <c r="AI102" i="7" s="1" a="1"/>
  <c r="AI102" i="7" s="1"/>
  <c r="AH167" i="7"/>
  <c r="AI167" i="7" s="1" a="1"/>
  <c r="AI167" i="7" s="1"/>
  <c r="AH34" i="7"/>
  <c r="AI34" i="7" s="1" a="1"/>
  <c r="AI34" i="7" s="1"/>
  <c r="AH39" i="7"/>
  <c r="AI39" i="7" s="1" a="1"/>
  <c r="AI39" i="7" s="1"/>
  <c r="AH61" i="7"/>
  <c r="AI61" i="7" s="1" a="1"/>
  <c r="AI61" i="7" s="1"/>
  <c r="AH54" i="7"/>
  <c r="AI54" i="7" s="1" a="1"/>
  <c r="AI54" i="7" s="1"/>
  <c r="AH188" i="7"/>
  <c r="AI188" i="7" s="1" a="1"/>
  <c r="AI188" i="7" s="1"/>
  <c r="AH191" i="7"/>
  <c r="AI191" i="7" s="1" a="1"/>
  <c r="AI191" i="7" s="1"/>
  <c r="AH184" i="7"/>
  <c r="AI184" i="7" s="1" a="1"/>
  <c r="AI184" i="7" s="1"/>
  <c r="AH100" i="7"/>
  <c r="AI100" i="7" s="1" a="1"/>
  <c r="AI100" i="7" s="1"/>
  <c r="AH46" i="7"/>
  <c r="AI46" i="7" s="1" a="1"/>
  <c r="AI46" i="7" s="1"/>
  <c r="AH157" i="7"/>
  <c r="AI157" i="7" s="1" a="1"/>
  <c r="AI157" i="7" s="1"/>
  <c r="AH185" i="7"/>
  <c r="AI185" i="7" s="1" a="1"/>
  <c r="AI185" i="7" s="1"/>
  <c r="AH134" i="7"/>
  <c r="AI134" i="7" s="1" a="1"/>
  <c r="AI134" i="7" s="1"/>
  <c r="AH99" i="7"/>
  <c r="AI99" i="7" s="1" a="1"/>
  <c r="AI99" i="7" s="1"/>
  <c r="AH40" i="7"/>
  <c r="AI40" i="7" s="1" a="1"/>
  <c r="AI40" i="7" s="1"/>
  <c r="AH44" i="7"/>
  <c r="AI44" i="7" s="1" a="1"/>
  <c r="AI44" i="7" s="1"/>
  <c r="X210" i="7"/>
  <c r="Y210" i="7"/>
  <c r="W210" i="7"/>
  <c r="W209" i="7"/>
  <c r="X209" i="7"/>
  <c r="Y209" i="7"/>
  <c r="Y197" i="7"/>
  <c r="W197" i="7"/>
  <c r="X197" i="7"/>
  <c r="X193" i="7"/>
  <c r="W193" i="7"/>
  <c r="Y193" i="7"/>
  <c r="Y211" i="7"/>
  <c r="X211" i="7"/>
  <c r="W211" i="7"/>
  <c r="Y208" i="7"/>
  <c r="X208" i="7"/>
  <c r="W208" i="7"/>
  <c r="G4" i="4" l="1"/>
  <c r="E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<sst xmlns="http://schemas.openxmlformats.org/spreadsheetml/2006/main" count="4292" uniqueCount="856">
  <si>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</si>
  <si>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</si>
  <si>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</si>
  <si>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</si>
  <si>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</si>
  <si>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</si>
  <si>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</si>
  <si>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</si>
  <si>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</si>
  <si>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</si>
  <si>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</si>
  <si>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</si>
  <si>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</si>
  <si>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</si>
  <si>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</si>
  <si>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</si>
  <si>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</si>
  <si>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</si>
  <si>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</si>
  <si>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</si>
  <si>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</si>
  <si>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</si>
  <si>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</si>
  <si>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</si>
  <si>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</si>
  <si>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</si>
  <si>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</si>
  <si>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</si>
  <si>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</si>
  <si>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</si>
  <si>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</si>
  <si>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</si>
  <si>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</si>
  <si>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</si>
  <si>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</si>
  <si>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</si>
  <si>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</si>
  <si>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</si>
  <si>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</si>
  <si>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</si>
  <si>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</si>
  <si>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</si>
  <si>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</si>
  <si>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</si>
  <si>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</si>
  <si>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</si>
  <si>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</si>
  <si>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</si>
  <si>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</si>
  <si>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</si>
  <si>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</si>
  <si>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</si>
  <si>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</si>
  <si>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</si>
  <si>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</si>
  <si>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</si>
  <si>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</si>
  <si>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</si>
  <si>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</si>
  <si>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</si>
  <si>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</si>
  <si>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</si>
  <si>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</si>
  <si>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</si>
  <si>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</si>
  <si>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</si>
  <si>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</si>
  <si>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</si>
  <si>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</si>
  <si>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</si>
  <si>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</si>
  <si>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</si>
  <si>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</si>
  <si>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</si>
  <si>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</si>
  <si>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</si>
  <si>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</si>
  <si>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</si>
  <si>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</si>
  <si>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</si>
  <si>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</si>
  <si>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</si>
  <si>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</si>
  <si>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</si>
  <si>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</si>
  <si>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</si>
  <si>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</si>
  <si>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</si>
  <si>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</si>
  <si>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</si>
  <si>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</si>
  <si>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</si>
  <si>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</si>
  <si>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</si>
  <si>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</si>
  <si>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</si>
  <si>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</si>
  <si>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</si>
  <si>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</si>
  <si>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</si>
  <si>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</si>
  <si>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</si>
  <si>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</si>
  <si>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</si>
  <si>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</si>
  <si>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</si>
  <si>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</si>
  <si>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</si>
  <si>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</si>
  <si>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</si>
  <si>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</si>
  <si>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</si>
  <si>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</si>
  <si>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</si>
  <si>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</si>
  <si>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</si>
  <si>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</si>
  <si>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</si>
  <si>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</si>
  <si>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</si>
  <si>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</si>
  <si>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</si>
  <si>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</si>
  <si>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</si>
  <si>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</si>
  <si>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</si>
  <si>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</si>
  <si>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</si>
  <si>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</si>
  <si>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</si>
  <si>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</si>
  <si>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</si>
  <si>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</si>
  <si>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</si>
  <si>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</si>
  <si>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</si>
  <si>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</si>
  <si>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</si>
  <si>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</si>
  <si>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</si>
  <si>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</si>
  <si>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</si>
  <si>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</si>
  <si>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</si>
  <si>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</si>
  <si>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</si>
  <si>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</si>
  <si>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</si>
  <si>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</si>
  <si>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</si>
  <si>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</si>
  <si>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</si>
  <si>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</si>
  <si>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</si>
  <si>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</si>
  <si>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</si>
  <si>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</si>
  <si>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</si>
  <si>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</si>
  <si>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</si>
  <si>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</si>
  <si>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</si>
  <si>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</si>
  <si>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</si>
  <si>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</si>
  <si>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</si>
  <si>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</si>
  <si>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</si>
  <si>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</si>
  <si>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</si>
  <si>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</si>
  <si>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</si>
  <si>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</si>
  <si>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</si>
  <si>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</si>
  <si>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</si>
  <si>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</si>
  <si>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</si>
  <si>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</si>
  <si>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</si>
  <si>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</si>
  <si>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</si>
  <si>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</si>
  <si>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</si>
  <si>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</si>
  <si>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</si>
  <si>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</si>
  <si>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</si>
  <si>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</si>
  <si>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</si>
  <si>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</si>
  <si>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</si>
  <si>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</si>
  <si>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</si>
  <si>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</si>
  <si>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</si>
  <si>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</si>
  <si>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</si>
  <si>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</si>
  <si>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</si>
  <si>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</si>
  <si>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</si>
  <si>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</si>
  <si>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</si>
  <si>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</si>
  <si>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</si>
  <si>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</si>
  <si>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</si>
  <si>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</si>
  <si>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</si>
  <si>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</si>
  <si>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</si>
  <si>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</si>
  <si>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</si>
  <si>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</si>
  <si>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</si>
  <si>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</si>
  <si>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</si>
  <si>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</si>
  <si>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</si>
  <si>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</si>
  <si>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</si>
  <si>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</si>
  <si>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</si>
  <si>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</si>
  <si>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</si>
  <si>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</si>
  <si>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</si>
  <si>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</si>
  <si>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</si>
  <si>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</si>
  <si>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</si>
  <si>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</si>
  <si>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</si>
  <si>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</si>
  <si>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</si>
  <si>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</si>
  <si>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</si>
  <si>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</si>
  <si>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</si>
  <si>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</si>
  <si>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</si>
  <si>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</si>
  <si>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</si>
  <si>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</si>
  <si>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</si>
  <si>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</si>
  <si>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</si>
  <si>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</si>
  <si>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</si>
  <si>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</si>
  <si>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</si>
  <si>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</si>
  <si>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</si>
  <si>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</si>
  <si>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</si>
  <si>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</si>
  <si>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</si>
  <si>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</si>
  <si>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</si>
  <si>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</si>
  <si>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</si>
  <si>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</si>
  <si>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</si>
  <si>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</si>
  <si>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</si>
  <si>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</si>
  <si>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</si>
  <si>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</si>
  <si>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</si>
  <si>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</si>
  <si>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</si>
  <si>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</si>
  <si>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</si>
  <si>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</si>
  <si>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</si>
  <si>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</si>
  <si>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</si>
  <si>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</si>
  <si>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</si>
  <si>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</si>
  <si>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</si>
  <si>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</si>
  <si>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</si>
  <si>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</si>
  <si>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</si>
  <si>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</si>
  <si>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</si>
  <si>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</si>
  <si>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</si>
  <si>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</si>
  <si>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</si>
  <si>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</si>
  <si>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</si>
  <si>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</si>
  <si>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</si>
  <si>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</si>
  <si>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</si>
  <si>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</si>
  <si>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</si>
  <si>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</si>
  <si>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</si>
  <si>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</si>
  <si>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</si>
  <si>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</si>
  <si>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</si>
  <si>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</si>
  <si>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</si>
  <si>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</si>
  <si>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</si>
  <si>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</si>
  <si>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</si>
  <si>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</si>
  <si>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</si>
  <si>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</si>
  <si>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</si>
  <si>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</si>
  <si>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</si>
  <si>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</si>
  <si>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</si>
  <si>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</si>
  <si>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</si>
  <si>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</si>
  <si>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</si>
  <si>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</si>
  <si>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</si>
  <si>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</si>
  <si>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</si>
  <si>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</si>
  <si>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</si>
  <si>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</si>
  <si>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</si>
  <si>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</si>
  <si>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</si>
  <si>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</si>
  <si>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</si>
  <si>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</si>
  <si>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</si>
  <si>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</si>
  <si>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</si>
  <si>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</si>
  <si>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</si>
  <si>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</si>
  <si>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</si>
  <si>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</si>
  <si>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</si>
  <si>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</si>
  <si>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</si>
  <si>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</si>
  <si>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</si>
  <si>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</si>
  <si>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</si>
  <si>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</si>
  <si>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</si>
  <si>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</si>
  <si>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</si>
  <si>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</si>
  <si>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</si>
  <si>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</si>
  <si>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</si>
  <si>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</si>
  <si>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</si>
  <si>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</si>
  <si>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</si>
  <si>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</si>
  <si>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</si>
  <si>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</si>
  <si>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</si>
  <si>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</si>
  <si>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</si>
  <si>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</si>
  <si>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</si>
  <si>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</si>
  <si>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</si>
  <si>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</si>
  <si>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</si>
  <si>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</si>
  <si>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</si>
  <si>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</si>
  <si>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</si>
  <si>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</si>
  <si>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</si>
  <si>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</si>
  <si>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</si>
  <si>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</si>
  <si>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</si>
  <si>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</si>
  <si>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</si>
  <si>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</si>
  <si>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</si>
  <si>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</si>
  <si>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</si>
  <si>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</si>
  <si>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</si>
  <si>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</si>
  <si>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</si>
  <si>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</si>
  <si>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</si>
  <si>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</si>
  <si>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</si>
  <si>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</si>
  <si>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</si>
  <si>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</si>
  <si>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</si>
  <si>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</si>
  <si>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</si>
  <si>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</si>
  <si>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</si>
  <si>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</si>
  <si>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</si>
  <si>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</si>
  <si>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</si>
  <si>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</si>
  <si>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</si>
  <si>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</si>
  <si>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</si>
  <si>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</si>
  <si>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</si>
  <si>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</si>
  <si>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</si>
  <si>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</si>
  <si>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</si>
  <si>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</si>
  <si>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</si>
  <si>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</si>
  <si>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</si>
  <si>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</si>
  <si>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</si>
  <si>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</si>
  <si>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</si>
  <si>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</si>
  <si>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</si>
  <si>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</si>
  <si>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</si>
  <si>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</si>
  <si>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</si>
  <si>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</si>
  <si>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</si>
  <si>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</si>
  <si>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</si>
  <si>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</si>
  <si>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</si>
  <si>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</si>
  <si>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</si>
  <si>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</si>
  <si>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</si>
  <si>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</si>
  <si>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</si>
  <si>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</si>
  <si>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</si>
  <si>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</si>
  <si>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</si>
  <si>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</si>
  <si>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</si>
  <si>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</si>
  <si>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</si>
  <si>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</si>
  <si>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</si>
  <si>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</si>
  <si>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</si>
  <si>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</si>
  <si>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</si>
  <si>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</si>
  <si>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</si>
  <si>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</si>
  <si>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</si>
  <si>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</si>
  <si>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</si>
  <si>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</si>
  <si>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</si>
  <si>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</si>
  <si>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</si>
  <si>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</si>
  <si>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</si>
  <si>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</si>
  <si>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</si>
  <si>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</si>
  <si>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</si>
  <si>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</si>
  <si>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</si>
  <si>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</si>
  <si>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</si>
  <si>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</si>
  <si>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</si>
  <si>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</si>
  <si>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</si>
  <si>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</si>
  <si>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</si>
  <si>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</si>
  <si>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</si>
  <si>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</si>
  <si>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</si>
  <si>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</si>
  <si>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</si>
  <si>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</si>
  <si>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</si>
  <si>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</si>
  <si>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</si>
  <si>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</si>
  <si>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</si>
  <si>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</si>
  <si>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</si>
  <si>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</si>
  <si>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</si>
  <si>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</si>
  <si>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</si>
  <si>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</si>
  <si>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</si>
  <si>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</si>
  <si>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</si>
  <si>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</si>
  <si>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</si>
  <si>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</si>
  <si>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</si>
  <si>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 xml:space="preserve">Kosten 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</si>
  <si>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</si>
  <si>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</si>
  <si>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</si>
  <si>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</si>
  <si>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</si>
  <si>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</si>
  <si>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</si>
  <si>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</si>
  <si>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</si>
  <si>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</si>
  <si>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</si>
  <si>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</si>
  <si>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</si>
  <si>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</si>
  <si>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</si>
  <si>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</si>
  <si>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</si>
  <si>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</si>
  <si>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</si>
  <si>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</si>
  <si>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</si>
  <si>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</si>
  <si>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</si>
  <si>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</si>
  <si>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</si>
  <si>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</si>
  <si>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</si>
  <si>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</si>
  <si>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</si>
  <si>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</si>
  <si>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</si>
  <si>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</si>
  <si>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</si>
  <si>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</si>
  <si>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</si>
  <si>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</si>
  <si>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</si>
  <si>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</si>
  <si>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</si>
  <si>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</si>
  <si>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</si>
  <si>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</si>
  <si>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</si>
  <si>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</si>
  <si>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</si>
  <si>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</si>
  <si>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</si>
  <si>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</si>
  <si>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</si>
  <si>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</si>
  <si>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</si>
  <si>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</si>
  <si>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</si>
  <si>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</si>
  <si>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</si>
  <si>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</si>
  <si>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</si>
  <si>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</si>
  <si>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</si>
  <si>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</si>
  <si>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</si>
  <si>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</si>
  <si>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</si>
  <si>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</si>
  <si>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</si>
  <si>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</si>
  <si>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</si>
  <si>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</si>
  <si>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</si>
  <si>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</si>
  <si>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</si>
  <si>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</si>
  <si>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</si>
  <si>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</si>
  <si>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</si>
  <si>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</si>
  <si>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</si>
  <si>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</si>
  <si>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</si>
  <si>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</si>
  <si>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</si>
  <si>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</si>
  <si>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</si>
  <si>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</si>
  <si>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</si>
  <si>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</si>
  <si>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</si>
  <si>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</si>
  <si>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</si>
  <si>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</si>
  <si>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</si>
  <si>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</si>
  <si>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</si>
  <si>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</si>
  <si>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</si>
  <si>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</si>
  <si>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</si>
  <si>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</si>
  <si>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</si>
  <si>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</si>
  <si>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</si>
  <si>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</si>
  <si>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</si>
  <si>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</si>
  <si>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</si>
  <si>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</si>
  <si>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</si>
  <si>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</si>
  <si>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</si>
  <si>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</si>
  <si>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</si>
  <si>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</si>
  <si>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</si>
  <si>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</si>
  <si>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</si>
  <si>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</si>
  <si>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</si>
  <si>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</si>
  <si>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</si>
  <si>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</si>
  <si>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</si>
  <si>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</si>
  <si>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</si>
  <si>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</si>
  <si>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</si>
  <si>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</si>
  <si>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</si>
  <si>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</si>
  <si>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</si>
  <si>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</si>
  <si>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</si>
  <si>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</si>
  <si>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</si>
  <si>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</si>
  <si>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</si>
  <si>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</si>
  <si>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</si>
  <si>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</si>
  <si>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</si>
  <si>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</si>
  <si>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</si>
  <si>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</si>
  <si>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</si>
  <si>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</si>
  <si>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</si>
  <si>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</si>
  <si>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</si>
  <si>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</si>
  <si>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</si>
  <si>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</si>
  <si>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</si>
  <si>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</si>
  <si>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</si>
  <si>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</si>
  <si>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</si>
  <si>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</si>
  <si>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</si>
  <si>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</si>
  <si>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</si>
  <si>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</si>
  <si>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</si>
  <si>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</si>
  <si>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</si>
  <si>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</si>
  <si>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</si>
  <si>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</si>
  <si>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</si>
  <si>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</si>
  <si>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</si>
  <si>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</si>
  <si>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</si>
  <si>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</si>
  <si>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</si>
  <si>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</si>
  <si>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</si>
  <si>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</si>
  <si>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</si>
  <si>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</si>
  <si>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</si>
  <si>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</si>
  <si>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</si>
  <si>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</si>
  <si>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</si>
  <si>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</si>
  <si>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</si>
  <si>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</si>
  <si>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</si>
  <si>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</si>
  <si>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</si>
  <si>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</si>
  <si>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</si>
  <si>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</si>
  <si>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</si>
  <si>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</si>
  <si>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</si>
  <si>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</si>
  <si>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</si>
  <si>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</si>
  <si>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</si>
  <si>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</si>
  <si>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</si>
  <si>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</si>
  <si>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</si>
  <si>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</si>
  <si>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</si>
  <si>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</si>
  <si>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</si>
  <si>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</si>
  <si>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</si>
  <si>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</si>
  <si>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</si>
  <si>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</si>
  <si>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</si>
  <si>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</si>
  <si>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</si>
  <si>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</si>
  <si>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</si>
  <si>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</si>
  <si>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</si>
  <si>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</si>
  <si>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</si>
  <si>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</si>
  <si>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</si>
  <si>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</si>
  <si>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</si>
  <si>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</si>
  <si>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</si>
  <si>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</si>
  <si>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</si>
  <si>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</si>
  <si>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</si>
  <si>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</si>
  <si>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</si>
  <si>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</si>
  <si>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</si>
  <si>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</si>
  <si>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</si>
  <si>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</si>
  <si>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</si>
  <si>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</si>
  <si>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</si>
  <si>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</si>
  <si>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</si>
  <si>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</si>
  <si>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</si>
  <si>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</si>
  <si>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</si>
  <si>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</si>
  <si>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</si>
  <si>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</si>
  <si>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</si>
  <si>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</si>
  <si>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</si>
  <si>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</si>
  <si>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</si>
  <si>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</si>
  <si>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</si>
  <si>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</si>
  <si>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</si>
  <si>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</si>
  <si>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</si>
  <si>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</si>
  <si>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</si>
  <si>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</si>
  <si>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</si>
  <si>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</si>
  <si>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</si>
  <si>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</si>
  <si>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</si>
  <si>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</si>
  <si>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</si>
  <si>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</si>
  <si>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</si>
  <si>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</si>
  <si>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</si>
  <si>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</si>
  <si>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</si>
  <si>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</si>
  <si>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</si>
  <si>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</si>
  <si>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</si>
  <si>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</si>
  <si>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</si>
  <si>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</si>
  <si>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</si>
  <si>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</si>
  <si>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</si>
  <si>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</si>
  <si>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</si>
  <si>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</si>
  <si>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</si>
  <si>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</si>
  <si>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</si>
  <si>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</si>
  <si>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</si>
  <si>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</si>
  <si>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</si>
  <si>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</si>
  <si>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</si>
  <si>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</si>
  <si>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</si>
  <si>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</si>
  <si>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</si>
  <si>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</si>
  <si>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</si>
  <si>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</si>
  <si>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</si>
  <si>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</si>
  <si>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</si>
  <si>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</si>
  <si>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</si>
  <si>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</si>
  <si>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</si>
  <si>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</si>
  <si>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</si>
  <si>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</si>
  <si>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</si>
  <si>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</si>
  <si>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</si>
  <si>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</si>
  <si>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</si>
  <si>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</si>
  <si>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</si>
  <si>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</si>
  <si>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</si>
  <si>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</si>
  <si>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</si>
  <si>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</si>
  <si>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</si>
  <si>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</si>
  <si>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</si>
  <si>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</si>
  <si>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</si>
  <si>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</si>
  <si>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MIN_MAX</t>
  </si>
  <si>
    <t>Man_Ausschluss</t>
  </si>
  <si>
    <t>Für Betrachtung Hochbau werden nur NPKA, B, C und C20/25, C25/30 und C30/37 berücksichtigt. Einzelne Produkte werden hier manuell ausgeschlossen: (NPKD, E, F, G und C50/60) wird auf 0 gesetzt.</t>
  </si>
  <si>
    <t>Handelt es sich beim jeweiligen Produkt um den Minimalen oder maximalen Wert innerhalb einer Materialgruppe mit  bestimmten mechanischen Eigenschaften ("MECH_PROP")? Falls Min oder Max, ist die Spalte = 1.0. Sonst = 0</t>
  </si>
  <si>
    <t>gültig</t>
  </si>
  <si>
    <t>handelt es sich beim Produkt um ein gültige EPD (Datum) und ist ein Wert &gt;0 für Total_GWP enthalten? Daten mit den Quellen "KBOB", "Ecoinvent" und "Betonsortenrechner" werden ausgeschlossen
gültig = 1, ungültig = 0</t>
  </si>
  <si>
    <t>prüft, ob validEPD =1 und Man_Ausschluss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</si>
</sst>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3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71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9" fillId="0" borderId="2" xfId="0" applyFont="1" applyBorder="1"/>
    <xf numFmtId="0" fontId="26" fillId="0" borderId="0" xfId="0" applyFont="1"/>
    <xf numFmtId="0" fontId="2" fillId="8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9" borderId="6" xfId="0" applyFont="1" applyFill="1" applyBorder="1" applyAlignment="1">
      <alignment horizontal="right" wrapText="1"/>
    </xf>
    <xf numFmtId="0" fontId="4" fillId="9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9" borderId="6" xfId="0" applyFont="1" applyFill="1" applyBorder="1" applyAlignment="1">
      <alignment horizontal="right" wrapText="1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28" fillId="0" borderId="17" xfId="0" applyFont="1" applyFill="1" applyBorder="1" applyAlignment="1">
      <alignment horizontal="left"/>
    </xf>
    <xf numFmtId="0" fontId="28" fillId="0" borderId="2" xfId="0" applyFont="1" applyBorder="1"/>
    <xf numFmtId="1" fontId="28" fillId="0" borderId="20" xfId="0" applyNumberFormat="1" applyFont="1" applyFill="1" applyBorder="1" applyAlignment="1">
      <alignment horizontal="right"/>
    </xf>
    <xf numFmtId="0" fontId="28" fillId="0" borderId="7" xfId="0" applyFont="1" applyFill="1" applyBorder="1" applyAlignment="1">
      <alignment horizontal="left"/>
    </xf>
    <xf numFmtId="0" fontId="28" fillId="0" borderId="18" xfId="0" applyFont="1" applyFill="1" applyBorder="1" applyAlignment="1">
      <alignment horizontal="left"/>
    </xf>
    <xf numFmtId="0" fontId="28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8" fillId="0" borderId="11" xfId="0" applyFont="1" applyFill="1" applyBorder="1"/>
    <xf numFmtId="0" fontId="2" fillId="0" borderId="12" xfId="0" applyFont="1" applyFill="1" applyBorder="1"/>
    <xf numFmtId="0" fontId="28" fillId="0" borderId="3" xfId="0" applyFont="1" applyFill="1" applyBorder="1"/>
    <xf numFmtId="0" fontId="28" fillId="0" borderId="8" xfId="0" applyFont="1" applyFill="1" applyBorder="1"/>
    <xf numFmtId="14" fontId="28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28" fillId="0" borderId="21" xfId="0" applyFont="1" applyFill="1" applyBorder="1" applyAlignment="1">
      <alignment horizontal="left"/>
    </xf>
    <xf numFmtId="0" fontId="28" fillId="0" borderId="3" xfId="0" quotePrefix="1" applyFont="1" applyFill="1" applyBorder="1" applyAlignment="1">
      <alignment horizontal="left"/>
    </xf>
    <xf numFmtId="0" fontId="28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28" fillId="0" borderId="3" xfId="0" applyFont="1" applyFill="1" applyBorder="1" applyAlignment="1"/>
    <xf numFmtId="0" fontId="28" fillId="0" borderId="21" xfId="0" applyFont="1" applyFill="1" applyBorder="1"/>
    <xf numFmtId="1" fontId="28" fillId="0" borderId="12" xfId="0" applyNumberFormat="1" applyFont="1" applyFill="1" applyBorder="1" applyAlignment="1">
      <alignment horizontal="right"/>
    </xf>
    <xf numFmtId="1" fontId="28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0" fillId="0" borderId="2" xfId="0" applyFont="1" applyBorder="1"/>
    <xf numFmtId="0" fontId="32" fillId="0" borderId="0" xfId="0" applyFont="1"/>
    <xf numFmtId="0" fontId="28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4" fillId="0" borderId="0" xfId="0" applyFont="1"/>
    <xf numFmtId="0" fontId="33" fillId="0" borderId="30" xfId="0" applyFont="1" applyBorder="1"/>
    <xf numFmtId="0" fontId="0" fillId="0" borderId="30" xfId="0" applyBorder="1"/>
    <xf numFmtId="0" fontId="0" fillId="0" borderId="0" xfId="0" applyBorder="1"/>
    <xf numFmtId="0" fontId="28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0" fontId="28" fillId="0" borderId="2" xfId="0" applyFont="1" applyFill="1" applyBorder="1"/>
    <xf numFmtId="0" fontId="28" fillId="0" borderId="7" xfId="0" applyFont="1" applyFill="1" applyBorder="1"/>
    <xf numFmtId="14" fontId="28" fillId="0" borderId="7" xfId="0" applyNumberFormat="1" applyFont="1" applyFill="1" applyBorder="1" applyAlignment="1">
      <alignment horizontal="left"/>
    </xf>
    <xf numFmtId="0" fontId="28" fillId="0" borderId="20" xfId="0" applyFont="1" applyFill="1" applyBorder="1" applyAlignment="1">
      <alignment horizontal="left"/>
    </xf>
    <xf numFmtId="0" fontId="28" fillId="0" borderId="20" xfId="0" applyFont="1" applyFill="1" applyBorder="1"/>
    <xf numFmtId="0" fontId="28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0" fillId="0" borderId="0" xfId="0" applyFont="1" applyFill="1" applyBorder="1"/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7" xfId="0" applyFont="1" applyFill="1" applyBorder="1" applyAlignment="1">
      <alignment horizontal="left"/>
    </xf>
    <xf numFmtId="0" fontId="30" fillId="0" borderId="10" xfId="0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14" fontId="30" fillId="0" borderId="2" xfId="0" quotePrefix="1" applyNumberFormat="1" applyFont="1" applyFill="1" applyBorder="1"/>
    <xf numFmtId="49" fontId="30" fillId="0" borderId="20" xfId="0" applyNumberFormat="1" applyFont="1" applyFill="1" applyBorder="1"/>
    <xf numFmtId="0" fontId="30" fillId="0" borderId="7" xfId="0" applyFont="1" applyFill="1" applyBorder="1" applyAlignment="1"/>
    <xf numFmtId="0" fontId="31" fillId="0" borderId="7" xfId="0" applyFont="1" applyFill="1" applyBorder="1"/>
    <xf numFmtId="0" fontId="31" fillId="0" borderId="20" xfId="0" applyFont="1" applyFill="1" applyBorder="1"/>
    <xf numFmtId="1" fontId="31" fillId="0" borderId="2" xfId="0" applyNumberFormat="1" applyFont="1" applyFill="1" applyBorder="1" applyAlignment="1">
      <alignment horizontal="right"/>
    </xf>
    <xf numFmtId="1" fontId="30" fillId="0" borderId="7" xfId="0" applyNumberFormat="1" applyFont="1" applyFill="1" applyBorder="1" applyAlignment="1">
      <alignment horizontal="right"/>
    </xf>
    <xf numFmtId="1" fontId="30" fillId="0" borderId="20" xfId="0" applyNumberFormat="1" applyFont="1" applyFill="1" applyBorder="1" applyAlignment="1">
      <alignment horizontal="right"/>
    </xf>
    <xf numFmtId="1" fontId="31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1" fontId="30" fillId="0" borderId="0" xfId="0" applyNumberFormat="1" applyFont="1" applyFill="1" applyBorder="1" applyAlignment="1">
      <alignment horizontal="right"/>
    </xf>
    <xf numFmtId="1" fontId="30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28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28" fillId="0" borderId="10" xfId="0" applyNumberFormat="1" applyFont="1" applyFill="1" applyBorder="1" applyAlignment="1">
      <alignment horizontal="left"/>
    </xf>
    <xf numFmtId="1" fontId="28" fillId="0" borderId="7" xfId="0" applyNumberFormat="1" applyFont="1" applyFill="1" applyBorder="1" applyAlignment="1">
      <alignment horizontal="right"/>
    </xf>
    <xf numFmtId="0" fontId="28" fillId="0" borderId="0" xfId="0" applyFont="1" applyFill="1" applyBorder="1"/>
    <xf numFmtId="14" fontId="28" fillId="0" borderId="2" xfId="0" quotePrefix="1" applyNumberFormat="1" applyFont="1" applyFill="1" applyBorder="1" applyAlignment="1">
      <alignment horizontal="left"/>
    </xf>
    <xf numFmtId="0" fontId="28" fillId="0" borderId="2" xfId="0" applyFont="1" applyFill="1" applyBorder="1" applyAlignment="1">
      <alignment horizontal="left"/>
    </xf>
    <xf numFmtId="49" fontId="28" fillId="0" borderId="20" xfId="0" applyNumberFormat="1" applyFont="1" applyFill="1" applyBorder="1" applyAlignment="1">
      <alignment horizontal="left"/>
    </xf>
    <xf numFmtId="0" fontId="28" fillId="0" borderId="2" xfId="0" applyFont="1" applyFill="1" applyBorder="1" applyAlignment="1"/>
    <xf numFmtId="1" fontId="28" fillId="0" borderId="0" xfId="0" applyNumberFormat="1" applyFont="1" applyFill="1" applyBorder="1" applyAlignment="1">
      <alignment horizontal="right"/>
    </xf>
    <xf numFmtId="1" fontId="28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28" fillId="0" borderId="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1" fontId="8" fillId="10" borderId="7" xfId="0" applyNumberFormat="1" applyFont="1" applyFill="1" applyBorder="1" applyAlignment="1">
      <alignment horizontal="right"/>
    </xf>
    <xf numFmtId="1" fontId="8" fillId="10" borderId="20" xfId="0" applyNumberFormat="1" applyFont="1" applyFill="1" applyBorder="1" applyAlignment="1">
      <alignment horizontal="right"/>
    </xf>
    <xf numFmtId="1" fontId="8" fillId="10" borderId="8" xfId="0" applyNumberFormat="1" applyFont="1" applyFill="1" applyBorder="1" applyAlignment="1">
      <alignment horizontal="right"/>
    </xf>
    <xf numFmtId="1" fontId="8" fillId="10" borderId="21" xfId="0" applyNumberFormat="1" applyFont="1" applyFill="1" applyBorder="1" applyAlignment="1">
      <alignment horizontal="right"/>
    </xf>
    <xf numFmtId="1" fontId="8" fillId="10" borderId="7" xfId="0" applyNumberFormat="1" applyFont="1" applyFill="1" applyBorder="1" applyAlignment="1">
      <alignment horizontal="left"/>
    </xf>
    <xf numFmtId="0" fontId="8" fillId="10" borderId="7" xfId="0" applyFont="1" applyFill="1" applyBorder="1" applyAlignment="1">
      <alignment horizontal="left"/>
    </xf>
    <xf numFmtId="0" fontId="8" fillId="10" borderId="8" xfId="0" applyFont="1" applyFill="1" applyBorder="1" applyAlignment="1">
      <alignment horizontal="left"/>
    </xf>
    <xf numFmtId="0" fontId="8" fillId="10" borderId="20" xfId="0" applyFont="1" applyFill="1" applyBorder="1" applyAlignment="1">
      <alignment horizontal="left"/>
    </xf>
    <xf numFmtId="0" fontId="8" fillId="10" borderId="9" xfId="0" applyFont="1" applyFill="1" applyBorder="1" applyAlignment="1">
      <alignment horizontal="right"/>
    </xf>
    <xf numFmtId="1" fontId="8" fillId="10" borderId="23" xfId="0" applyNumberFormat="1" applyFont="1" applyFill="1" applyBorder="1" applyAlignment="1">
      <alignment horizontal="right"/>
    </xf>
    <xf numFmtId="0" fontId="8" fillId="10" borderId="9" xfId="0" applyFont="1" applyFill="1" applyBorder="1" applyAlignment="1">
      <alignment horizontal="left"/>
    </xf>
    <xf numFmtId="0" fontId="8" fillId="10" borderId="7" xfId="0" applyFont="1" applyFill="1" applyBorder="1" applyAlignment="1">
      <alignment horizontal="right"/>
    </xf>
    <xf numFmtId="166" fontId="8" fillId="10" borderId="7" xfId="0" applyNumberFormat="1" applyFont="1" applyFill="1" applyBorder="1" applyAlignment="1">
      <alignment horizontal="left"/>
    </xf>
    <xf numFmtId="165" fontId="21" fillId="10" borderId="0" xfId="0" applyNumberFormat="1" applyFont="1" applyFill="1" applyBorder="1" applyAlignment="1">
      <alignment horizontal="left"/>
    </xf>
    <xf numFmtId="165" fontId="21" fillId="10" borderId="7" xfId="0" applyNumberFormat="1" applyFont="1" applyFill="1" applyBorder="1" applyAlignment="1">
      <alignment horizontal="left"/>
    </xf>
    <xf numFmtId="0" fontId="35" fillId="0" borderId="7" xfId="0" applyFont="1" applyFill="1" applyBorder="1"/>
    <xf numFmtId="0" fontId="35" fillId="0" borderId="7" xfId="0" applyFont="1" applyFill="1" applyBorder="1" applyAlignment="1">
      <alignment horizontal="left"/>
    </xf>
    <xf numFmtId="14" fontId="35" fillId="0" borderId="7" xfId="0" applyNumberFormat="1" applyFont="1" applyFill="1" applyBorder="1" applyAlignment="1">
      <alignment horizontal="left"/>
    </xf>
    <xf numFmtId="0" fontId="35" fillId="0" borderId="20" xfId="0" applyFont="1" applyFill="1" applyBorder="1"/>
    <xf numFmtId="0" fontId="35" fillId="0" borderId="2" xfId="0" applyFont="1" applyBorder="1"/>
    <xf numFmtId="0" fontId="21" fillId="10" borderId="7" xfId="0" applyFont="1" applyFill="1" applyBorder="1" applyAlignment="1">
      <alignment horizontal="left"/>
    </xf>
    <xf numFmtId="0" fontId="8" fillId="10" borderId="2" xfId="0" applyFont="1" applyFill="1" applyBorder="1" applyAlignment="1"/>
    <xf numFmtId="0" fontId="8" fillId="10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6" fillId="0" borderId="1" xfId="0" applyFont="1" applyBorder="1"/>
    <xf numFmtId="0" fontId="36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1" fontId="0" fillId="0" borderId="0" xfId="0" applyNumberFormat="1"/>
    <xf numFmtId="0" fontId="10" fillId="0" borderId="26" xfId="0" applyFont="1" applyBorder="1" applyAlignment="1">
      <alignment horizontal="right" wrapText="1"/>
    </xf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7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3</xdr:col>
      <xdr:colOff>75557</xdr:colOff>
      <xdr:row>110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L4" totalsRowShown="0" headerRowDxfId="96" dataDxfId="95">
  <autoFilter ref="A3:AL4" xr:uid="{690E7B34-75E3-43BA-8CDD-44A4EFCCEFD5}"/>
  <tableColumns count="38">
    <tableColumn id="9" xr3:uid="{4327453A-1A7F-4476-BD0D-7087E884AB9B}" name="ID" dataDxfId="94"/>
    <tableColumn id="28" xr3:uid="{709ACE5D-F046-49EF-BF06-483AA13D3168}" name="Copy for strength" dataDxfId="93"/>
    <tableColumn id="14" xr3:uid="{CA8EE2DF-FBF4-419D-B883-CDEEDEA41BA4}" name="PRO_ID" dataDxfId="92"/>
    <tableColumn id="12" xr3:uid="{061493FC-B22F-42C9-AA1E-DB63409BA7F9}" name="EPD_ID" dataDxfId="91"/>
    <tableColumn id="1" xr3:uid="{1A694644-5436-4D17-ADBE-9AB769772E55}" name="SOURCE" dataDxfId="90"/>
    <tableColumn id="27" xr3:uid="{22179954-6B37-435E-BA83-58D93A8C10D0}" name="KBOB ID-Nr." dataDxfId="89"/>
    <tableColumn id="11" xr3:uid="{7A53B541-3CF9-4572-8ADB-18F5734B82A7}" name="EPD_DATE" dataDxfId="88"/>
    <tableColumn id="10" xr3:uid="{4FE41A4C-93F8-4064-9823-B085B8E0CEB9}" name="VALID_TO" dataDxfId="87"/>
    <tableColumn id="22" xr3:uid="{2C3C496D-7117-464E-A7C2-4C5813516008}" name="Country OWNER" dataDxfId="86"/>
    <tableColumn id="35" xr3:uid="{FA67EB9B-AFE3-4DC3-AFB0-225CEF375508}" name="Country PRODUCTION" dataDxfId="85"/>
    <tableColumn id="4" xr3:uid="{0BD9D6CA-5024-4126-A24C-41810042551C}" name="PRODUCT_NAME" dataDxfId="84"/>
    <tableColumn id="26" xr3:uid="{51E77B8B-89A7-4B44-8529-18C11CCD9A34}" name="OEKOBAUDAT_ID" dataDxfId="83"/>
    <tableColumn id="25" xr3:uid="{7E08604C-D678-49EE-8D86-4A7A1ED46F1A}" name="MATERIAL_GROUP" dataDxfId="82"/>
    <tableColumn id="2" xr3:uid="{BE662D94-99B6-4EFF-9032-1ED2F0E972D1}" name="MATERIAL" dataDxfId="81"/>
    <tableColumn id="5" xr3:uid="{2FBE4DF6-6BEB-4E41-BBD8-511C2A8FFAF9}" name="CEMENT" dataDxfId="80"/>
    <tableColumn id="6" xr3:uid="{BBAF53EB-136C-40FA-92AF-CD5CBEED9688}" name="MECH_PROP" dataDxfId="79"/>
    <tableColumn id="13" xr3:uid="{ED45B533-9B3C-451C-AEDE-468F3B99FA05}" name="DENSITY" dataDxfId="78"/>
    <tableColumn id="18" xr3:uid="{C2AF0B95-EE6A-447F-B660-2537C72D3E95}" name="EXPOSITIONSKLASSE" dataDxfId="77"/>
    <tableColumn id="17" xr3:uid="{499B5798-0764-4B6A-AB51-09C42CAFF2D2}" name="GROESSTKORN" dataDxfId="76"/>
    <tableColumn id="16" xr3:uid="{F57188E0-41C3-4A24-8800-10B71B64E948}" name="CHLORIDGEHALT" dataDxfId="75"/>
    <tableColumn id="15" xr3:uid="{A7A410CF-12B2-4540-BEF4-43BF328A783B}" name="KONSISTENZKLASSE" dataDxfId="74"/>
    <tableColumn id="7" xr3:uid="{3FCB1B2D-F01F-4D2B-BA30-AA53E3DB3EE8}" name="Total_GWP_t" dataDxfId="73"/>
    <tableColumn id="36" xr3:uid="{D21513DC-ABDB-4679-AC05-1D568D570F8D}" name="Total_GWP_inkl. Trans LKW" dataDxfId="72"/>
    <tableColumn id="37" xr3:uid="{F3FE852F-E41A-4FA5-9070-D16C4A99D959}" name="Total_GWP_inkl. Trans Bahn" dataDxfId="71"/>
    <tableColumn id="33" xr3:uid="{3CCDB2F8-8999-473C-BDE9-0B716F5F3D27}" name="Total_GWP_m3" dataDxfId="70"/>
    <tableColumn id="20" xr3:uid="{7BAB2BBF-8F43-4C9D-A5A0-A07EA347D700}" name="A1toA3_GWP" dataDxfId="69"/>
    <tableColumn id="21" xr3:uid="{77D6C102-FB35-4727-A3C8-E6A00274176F}" name="C1toC4_GWP" dataDxfId="68"/>
    <tableColumn id="30" xr3:uid="{B001553E-7930-428C-96E8-4D06EB4E44C4}" name="GWP-biogenic_t" dataDxfId="67"/>
    <tableColumn id="34" xr3:uid="{9FF8F297-E4D7-4BFB-B9DC-90C43F8BE6C1}" name="GWP-biogenic_m3" dataDxfId="66"/>
    <tableColumn id="32" xr3:uid="{9A741658-8335-4C0B-94B8-0EC4C79786FA}" name="A1toA3_GWP-biogenic" dataDxfId="65"/>
    <tableColumn id="31" xr3:uid="{1181A7EA-ADE7-466B-9BB6-396EEBF423F5}" name="C1toC4_GWP-biogenic" dataDxfId="64"/>
    <tableColumn id="19" xr3:uid="{8C8FD9FA-44EB-4FBA-A534-66A4D0393E35}" name="ValidEPD" dataDxfId="63"/>
    <tableColumn id="40" xr3:uid="{928741A4-0F37-4F43-A4D7-E21175F3E3C7}" name="Man_Ausschluss" dataDxfId="62"/>
    <tableColumn id="3" xr3:uid="{30E1BDA8-5121-42B9-8D08-17C1643C1D42}" name="gültig" dataDxfId="61"/>
    <tableColumn id="41" xr3:uid="{ECF1E039-00FD-4D52-85EE-FF9ABA623E8B}" name="MIN_MAX" dataDxfId="60"/>
    <tableColumn id="8" xr3:uid="{9A1C9F83-8C3A-43AF-82C8-FAFEC4BADC1F}" name="Cost" dataDxfId="59"/>
    <tableColumn id="24" xr3:uid="{6842DF33-E642-43FD-AD7E-4A71C905F11B}" name="Anmerkung" dataDxfId="58"/>
    <tableColumn id="23" xr3:uid="{2F1FC53A-6C91-424B-97F2-13507AAAC132}" name="Spalte 1" dataDxfId="5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L265" totalsRowShown="0" headerRowDxfId="56" dataDxfId="55">
  <autoFilter ref="A1:AL265" xr:uid="{690E7B34-75E3-43BA-8CDD-44A4EFCCEFD5}"/>
  <tableColumns count="38">
    <tableColumn id="9" xr3:uid="{E6171A79-2142-45AE-B13A-B85672F5EDBD}" name="ID" dataDxfId="54"/>
    <tableColumn id="28" xr3:uid="{68E92EDC-8025-4BF4-9A42-9CF0006FBF63}" name="Copy for strength" dataDxfId="53"/>
    <tableColumn id="14" xr3:uid="{DD9D5351-7626-43F7-8E60-7D5D4863E404}" name="PRO_ID" dataDxfId="52"/>
    <tableColumn id="12" xr3:uid="{E4142BFC-15FE-425F-8F37-15E6155F7A4C}" name="EPD_ID" dataDxfId="51"/>
    <tableColumn id="1" xr3:uid="{E4467D77-5B01-4657-9D8E-29F249651043}" name="SOURCE" dataDxfId="50"/>
    <tableColumn id="27" xr3:uid="{B8CE8891-E5D9-4269-944B-D0D4DA48C485}" name="KBOB ID-Nr." dataDxfId="49"/>
    <tableColumn id="11" xr3:uid="{B0F8EE3D-DB36-4628-B65D-FA5A161B64E1}" name="EPD_DATE" dataDxfId="48"/>
    <tableColumn id="10" xr3:uid="{A0036D7A-2D4B-4109-9DCD-7379F1E17E20}" name="VALID_TO" dataDxfId="47"/>
    <tableColumn id="22" xr3:uid="{D87515FA-91D2-4EB2-BA0F-CA951EBFCF45}" name="Country OWNER" dataDxfId="46"/>
    <tableColumn id="35" xr3:uid="{675E210C-BC27-4336-ADC6-3B5F0A851531}" name="Country PRODUCTION" dataDxfId="45"/>
    <tableColumn id="4" xr3:uid="{7206F659-BFF0-45E5-9D38-4BDF79A05CA5}" name="PRODUCT_NAME" dataDxfId="44"/>
    <tableColumn id="26" xr3:uid="{E4C601E6-180F-4C77-835E-2E5630145F9F}" name="OEKOBAUDAT_ID" dataDxfId="43"/>
    <tableColumn id="25" xr3:uid="{7B2C5CC7-ED04-460E-8BA7-F56F94290558}" name="MATERIAL_GROUP" dataDxfId="42"/>
    <tableColumn id="2" xr3:uid="{8F6E089A-349B-4116-B94C-9683BD7AE424}" name="MATERIAL" dataDxfId="41"/>
    <tableColumn id="5" xr3:uid="{E643BAE4-6A4D-457D-AA6E-460540618E0B}" name="CEMENT" dataDxfId="40"/>
    <tableColumn id="6" xr3:uid="{7F31B099-E2E0-4680-A17F-57AAD5D44B6C}" name="MECH_PROP" dataDxfId="39"/>
    <tableColumn id="13" xr3:uid="{029F84C5-38E7-49EC-B0E7-97EC126B6DD0}" name="DENSITY" dataDxfId="38"/>
    <tableColumn id="18" xr3:uid="{C15F76DA-5534-4135-A5B0-6E9E14A7262F}" name="EXPOSITIONSKLASSE" dataDxfId="37"/>
    <tableColumn id="17" xr3:uid="{7BEDE247-7FA3-4794-A59F-9F9EE84986D5}" name="GROESSTKORN" dataDxfId="36"/>
    <tableColumn id="16" xr3:uid="{E46A9D97-8742-474E-8578-AD6E705F7B82}" name="CHLORIDGEHALT" dataDxfId="35"/>
    <tableColumn id="15" xr3:uid="{FDE0AB32-79C0-40BD-B006-158B9324B9D0}" name="KONSISTENZKLASSE" dataDxfId="34"/>
    <tableColumn id="7" xr3:uid="{66361FC3-1E39-4D53-A5EE-09E0BAE9891B}" name="Total_GWP" dataDxfId="33"/>
    <tableColumn id="36" xr3:uid="{34FA5DD0-C9F8-4057-87FC-772859292E61}" name="Total_GWP_inkl. Trans LKW" dataDxfId="32"/>
    <tableColumn id="37" xr3:uid="{D967D66D-42EF-492B-B50D-561CD719395E}" name="Total_GWP_inkl. Trans Bahn" dataDxfId="31"/>
    <tableColumn id="30" xr3:uid="{75B879AD-3432-4200-89C6-E660089566E7}" name="Total_GWP_m3" dataDxfId="30"/>
    <tableColumn id="20" xr3:uid="{E17DBF2B-9CA0-4408-B0CB-4D7593B53FFE}" name="A1toA3_GWP" dataDxfId="29">
      <calculatedColumnFormula>119+10.9+238</calculatedColumnFormula>
    </tableColumn>
    <tableColumn id="21" xr3:uid="{7C9C4943-C469-400B-B468-A5DB74406586}" name="C1toC4_GWP" dataDxfId="28">
      <calculatedColumnFormula>51.1+26+2.64+12.6</calculatedColumnFormula>
    </tableColumn>
    <tableColumn id="31" xr3:uid="{6EE19380-760D-427B-A399-5A8A614371E7}" name="GWP-biogenic" dataDxfId="27"/>
    <tableColumn id="34" xr3:uid="{47102F69-A22B-4F5E-A55C-E9A46F7314C8}" name="GWP-biogenic_m3" dataDxfId="26"/>
    <tableColumn id="33" xr3:uid="{9A9F4E9C-EBAF-4A78-B230-7E7659AC9C9A}" name="A1toA3_GWP-biogenic" dataDxfId="25">
      <calculatedColumnFormula>(-696)/Table24[[#This Row],[DENSITY]]*1000</calculatedColumnFormula>
    </tableColumn>
    <tableColumn id="32" xr3:uid="{422DC573-9E77-4999-B690-F466F313AE80}" name="C1toC4_GWP-biogenic" dataDxfId="24">
      <calculatedColumnFormula>(1.42+759)/Table24[[#This Row],[DENSITY]]*1000</calculatedColumnFormula>
    </tableColumn>
    <tableColumn id="19" xr3:uid="{36B92C2F-E7C8-4132-AC85-8D73B21AAE51}" name="ValidEPD" dataDxfId="23">
      <calculatedColumnFormula>IF(OR($E2="Ecoinvent",$E2="Betonsortenrechner",$E2="KBOB",$V2&lt;=0,Table24[[#This Row],[VALID_TO]]&lt;=TODAY()),0,1)</calculatedColumnFormula>
    </tableColumn>
    <tableColumn id="42" xr3:uid="{930ADE6C-A95A-48A7-A059-EDC890901658}" name="Man_Ausschluss" dataDxfId="22"/>
    <tableColumn id="39" xr3:uid="{E2D21814-1824-465D-90CF-514AE03EA024}" name="gültig" dataDxfId="21">
      <calculatedColumnFormula>IF(AND(Table24[[#This Row],[ValidEPD]]&lt;&gt;0,Table24[[#This Row],[Man_Ausschluss]]&lt;&gt;0),1,0)</calculatedColumnFormula>
    </tableColumn>
    <tableColumn id="38" xr3:uid="{9D6F0D53-6C6D-475E-BF1D-F0D5C13DE2AB}" name="MIN_MAX" dataDxfId="20">
      <calculatedColumnFormula array="1">IF(Table24[[#This Row],[gültig]]&lt;&gt;0,
IF(V2=MIN(_xlfn._xlws.FILTER($V$2:$V$282,($P$2:$P$282=P2))),1,
IF(V2=MAX(_xlfn._xlws.FILTER($V$2:$V$282,($P$2:$P$282=P2))),1,0)),0)</calculatedColumnFormula>
    </tableColumn>
    <tableColumn id="8" xr3:uid="{632F69D0-7DBB-46E2-96F6-C24109AFEFA9}" name="Cost" dataDxfId="19"/>
    <tableColumn id="24" xr3:uid="{814B05BF-1F84-451C-BBB8-00EC879AE2A7}" name="Anmerkung I" dataDxfId="18"/>
    <tableColumn id="23" xr3:uid="{B8DE7BAD-37AF-4284-BB39-F86ACE518902}" name="Anmerkung II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M1048345"/>
  <sheetViews>
    <sheetView showGridLines="0" topLeftCell="Y1" zoomScale="94" zoomScaleNormal="100" workbookViewId="0">
      <selection activeCell="AH6" sqref="AH6"/>
    </sheetView>
  </sheetViews>
  <sheetFormatPr defaultColWidth="9.1328125" defaultRowHeight="14.25" x14ac:dyDescent="0.45"/>
  <cols>
    <col min="1" max="1" width="6.59765625" style="16" customWidth="1"/>
    <col min="2" max="2" width="6.59765625" style="68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4" width="8.265625" style="42" customWidth="1"/>
    <col min="35" max="35" width="10.59765625" style="42" customWidth="1"/>
    <col min="36" max="36" width="6.73046875" customWidth="1"/>
    <col min="37" max="37" width="71" customWidth="1"/>
    <col min="38" max="38" width="23.73046875" style="62" bestFit="1" customWidth="1"/>
    <col min="39" max="40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9" ht="23.25" x14ac:dyDescent="0.7">
      <c r="A1" s="69" t="s">
        <v>496</v>
      </c>
      <c r="C1" s="71"/>
      <c r="D1" s="70" t="s">
        <v>497</v>
      </c>
    </row>
    <row r="3" spans="1:39" s="39" customFormat="1" ht="67.5" customHeight="1" x14ac:dyDescent="0.45">
      <c r="A3" s="32" t="s">
        <v>331</v>
      </c>
      <c r="B3" s="66" t="s">
        <v>495</v>
      </c>
      <c r="C3" s="34" t="s">
        <v>314</v>
      </c>
      <c r="D3" s="34" t="s">
        <v>120</v>
      </c>
      <c r="E3" s="34" t="s">
        <v>373</v>
      </c>
      <c r="F3" s="61" t="s">
        <v>480</v>
      </c>
      <c r="G3" s="35" t="s">
        <v>376</v>
      </c>
      <c r="H3" s="35" t="s">
        <v>375</v>
      </c>
      <c r="I3" s="36" t="s">
        <v>606</v>
      </c>
      <c r="J3" s="150" t="s">
        <v>611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603</v>
      </c>
      <c r="W3" s="51" t="s">
        <v>836</v>
      </c>
      <c r="X3" s="51" t="s">
        <v>837</v>
      </c>
      <c r="Y3" s="51" t="s">
        <v>601</v>
      </c>
      <c r="Z3" s="41" t="s">
        <v>122</v>
      </c>
      <c r="AA3" s="54" t="s">
        <v>124</v>
      </c>
      <c r="AB3" s="98" t="s">
        <v>604</v>
      </c>
      <c r="AC3" s="98" t="s">
        <v>605</v>
      </c>
      <c r="AD3" s="89" t="s">
        <v>562</v>
      </c>
      <c r="AE3" s="90" t="s">
        <v>563</v>
      </c>
      <c r="AF3" s="53" t="s">
        <v>493</v>
      </c>
      <c r="AG3" s="64" t="s">
        <v>850</v>
      </c>
      <c r="AH3" s="64" t="s">
        <v>853</v>
      </c>
      <c r="AI3" s="53" t="s">
        <v>849</v>
      </c>
      <c r="AJ3" s="56" t="s">
        <v>121</v>
      </c>
      <c r="AK3" s="48" t="s">
        <v>327</v>
      </c>
      <c r="AL3" s="63" t="s">
        <v>481</v>
      </c>
      <c r="AM3" s="38"/>
    </row>
    <row r="4" spans="1:39" s="4" customFormat="1" x14ac:dyDescent="0.45">
      <c r="A4" s="43"/>
      <c r="B4" s="67"/>
      <c r="C4" s="44"/>
      <c r="D4" s="5"/>
      <c r="E4" s="6"/>
      <c r="F4" s="6"/>
      <c r="G4" s="11"/>
      <c r="H4" s="11"/>
      <c r="I4" s="11"/>
      <c r="J4" s="151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47" t="s">
        <v>600</v>
      </c>
      <c r="W4" s="147" t="s">
        <v>600</v>
      </c>
      <c r="X4" s="147"/>
      <c r="Y4" s="147" t="s">
        <v>602</v>
      </c>
      <c r="Z4" s="146" t="s">
        <v>600</v>
      </c>
      <c r="AA4" s="146" t="s">
        <v>600</v>
      </c>
      <c r="AB4" s="147" t="s">
        <v>600</v>
      </c>
      <c r="AC4" s="147" t="s">
        <v>602</v>
      </c>
      <c r="AD4" s="146" t="s">
        <v>600</v>
      </c>
      <c r="AE4" s="146" t="s">
        <v>600</v>
      </c>
      <c r="AF4" s="18"/>
      <c r="AG4" s="65"/>
      <c r="AH4" s="65"/>
      <c r="AI4" s="55"/>
      <c r="AJ4" s="57"/>
      <c r="AK4" s="5"/>
      <c r="AL4" s="10"/>
      <c r="AM4" s="10"/>
    </row>
    <row r="5" spans="1:39" s="74" customFormat="1" ht="409.5" x14ac:dyDescent="0.45">
      <c r="A5" s="72" t="s">
        <v>498</v>
      </c>
      <c r="B5" s="73" t="s">
        <v>499</v>
      </c>
      <c r="C5" s="75" t="s">
        <v>515</v>
      </c>
      <c r="D5" s="74" t="s">
        <v>500</v>
      </c>
      <c r="E5" s="74" t="s">
        <v>501</v>
      </c>
      <c r="F5" s="74" t="s">
        <v>503</v>
      </c>
      <c r="G5" s="74" t="s">
        <v>504</v>
      </c>
      <c r="H5" s="74" t="s">
        <v>505</v>
      </c>
      <c r="I5" s="74" t="s">
        <v>608</v>
      </c>
      <c r="J5" s="74" t="s">
        <v>607</v>
      </c>
      <c r="K5" s="74" t="s">
        <v>506</v>
      </c>
      <c r="L5" s="74" t="s">
        <v>507</v>
      </c>
      <c r="M5" s="74" t="s">
        <v>508</v>
      </c>
      <c r="N5" s="74" t="s">
        <v>509</v>
      </c>
      <c r="O5" s="74" t="s">
        <v>510</v>
      </c>
      <c r="P5" s="74" t="s">
        <v>511</v>
      </c>
      <c r="Q5" s="74" t="s">
        <v>512</v>
      </c>
      <c r="R5" s="74" t="s">
        <v>513</v>
      </c>
      <c r="S5" s="74" t="s">
        <v>296</v>
      </c>
      <c r="T5" s="74" t="s">
        <v>296</v>
      </c>
      <c r="U5" s="74" t="s">
        <v>296</v>
      </c>
      <c r="V5" s="74" t="s">
        <v>835</v>
      </c>
      <c r="W5" s="74" t="s">
        <v>838</v>
      </c>
      <c r="X5" s="74" t="s">
        <v>839</v>
      </c>
      <c r="Y5" s="74" t="s">
        <v>834</v>
      </c>
      <c r="Z5" s="74" t="s">
        <v>296</v>
      </c>
      <c r="AA5" s="74" t="s">
        <v>296</v>
      </c>
      <c r="AF5" s="74" t="s">
        <v>854</v>
      </c>
      <c r="AG5" s="74" t="s">
        <v>851</v>
      </c>
      <c r="AH5" s="74" t="s">
        <v>855</v>
      </c>
      <c r="AI5" s="74" t="s">
        <v>852</v>
      </c>
      <c r="AJ5" s="74" t="s">
        <v>514</v>
      </c>
      <c r="AL5" s="76"/>
    </row>
    <row r="8" spans="1:39" x14ac:dyDescent="0.45">
      <c r="C8" s="79" t="s">
        <v>517</v>
      </c>
    </row>
    <row r="1048331" spans="39:39" x14ac:dyDescent="0.45">
      <c r="AM1048331" s="38"/>
    </row>
    <row r="1048332" spans="39:39" x14ac:dyDescent="0.45">
      <c r="AM1048332" s="10"/>
    </row>
    <row r="1048333" spans="39:39" x14ac:dyDescent="0.45">
      <c r="AM1048333" s="10"/>
    </row>
    <row r="1048334" spans="39:39" x14ac:dyDescent="0.45">
      <c r="AM1048334" s="10"/>
    </row>
    <row r="1048335" spans="39:39" x14ac:dyDescent="0.45">
      <c r="AM1048335" s="10"/>
    </row>
    <row r="1048336" spans="39:39" x14ac:dyDescent="0.45">
      <c r="AM1048336" s="10"/>
    </row>
    <row r="1048337" spans="39:39" x14ac:dyDescent="0.45">
      <c r="AM1048337" s="10"/>
    </row>
    <row r="1048338" spans="39:39" x14ac:dyDescent="0.45">
      <c r="AM1048338" s="10"/>
    </row>
    <row r="1048339" spans="39:39" x14ac:dyDescent="0.45">
      <c r="AM1048339" s="58"/>
    </row>
    <row r="1048340" spans="39:39" x14ac:dyDescent="0.45">
      <c r="AM1048340" s="58"/>
    </row>
    <row r="1048341" spans="39:39" x14ac:dyDescent="0.45">
      <c r="AM1048341" s="58"/>
    </row>
    <row r="1048342" spans="39:39" x14ac:dyDescent="0.45">
      <c r="AM1048342" s="58"/>
    </row>
    <row r="1048343" spans="39:39" x14ac:dyDescent="0.45">
      <c r="AM1048343" s="58"/>
    </row>
    <row r="1048344" spans="39:39" x14ac:dyDescent="0.45">
      <c r="AM1048344" s="58"/>
    </row>
    <row r="1048345" spans="39:39" x14ac:dyDescent="0.45">
      <c r="AM1048345" s="10"/>
    </row>
  </sheetData>
  <conditionalFormatting sqref="AI1:AI2 AI4:AI1048576">
    <cfRule type="cellIs" dxfId="1" priority="2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M308"/>
  <sheetViews>
    <sheetView showGridLines="0" tabSelected="1" zoomScale="85" zoomScaleNormal="85" workbookViewId="0">
      <pane xSplit="1" ySplit="1" topLeftCell="Y211" activePane="bottomRight" state="frozen"/>
      <selection pane="topRight" activeCell="B1" sqref="B1"/>
      <selection pane="bottomLeft" activeCell="A2" sqref="A2"/>
      <selection pane="bottomRight" activeCell="AG49" sqref="AG49"/>
    </sheetView>
  </sheetViews>
  <sheetFormatPr defaultColWidth="9.1328125" defaultRowHeight="14.25" x14ac:dyDescent="0.45"/>
  <cols>
    <col min="1" max="1" width="26.19921875" style="16" customWidth="1"/>
    <col min="2" max="2" width="18.6640625" style="68" customWidth="1"/>
    <col min="3" max="3" width="22" style="116" customWidth="1"/>
    <col min="4" max="4" width="14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97" customWidth="1"/>
    <col min="30" max="30" width="13.59765625" style="88" customWidth="1"/>
    <col min="31" max="31" width="13.59765625" style="84" customWidth="1"/>
    <col min="32" max="32" width="6.73046875" style="42" customWidth="1"/>
    <col min="36" max="37" width="18.46484375" style="104" customWidth="1"/>
    <col min="38" max="38" width="6.73046875" customWidth="1"/>
    <col min="39" max="39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8" s="39" customFormat="1" ht="67.5" customHeight="1" x14ac:dyDescent="0.45">
      <c r="A1" s="32" t="s">
        <v>331</v>
      </c>
      <c r="B1" s="66" t="s">
        <v>495</v>
      </c>
      <c r="C1" s="105" t="s">
        <v>314</v>
      </c>
      <c r="D1" s="34" t="s">
        <v>120</v>
      </c>
      <c r="E1" s="34" t="s">
        <v>373</v>
      </c>
      <c r="F1" s="61" t="s">
        <v>480</v>
      </c>
      <c r="G1" s="35" t="s">
        <v>376</v>
      </c>
      <c r="H1" s="35" t="s">
        <v>375</v>
      </c>
      <c r="I1" s="36" t="s">
        <v>606</v>
      </c>
      <c r="J1" s="150" t="s">
        <v>611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48" t="s">
        <v>123</v>
      </c>
      <c r="W1" s="148" t="s">
        <v>836</v>
      </c>
      <c r="X1" s="148" t="s">
        <v>837</v>
      </c>
      <c r="Y1" s="148" t="s">
        <v>601</v>
      </c>
      <c r="Z1" s="41" t="s">
        <v>122</v>
      </c>
      <c r="AA1" s="54" t="s">
        <v>124</v>
      </c>
      <c r="AB1" s="98" t="s">
        <v>561</v>
      </c>
      <c r="AC1" s="98" t="s">
        <v>605</v>
      </c>
      <c r="AD1" s="89" t="s">
        <v>562</v>
      </c>
      <c r="AE1" s="90" t="s">
        <v>563</v>
      </c>
      <c r="AF1" s="53" t="s">
        <v>493</v>
      </c>
      <c r="AG1" s="370" t="s">
        <v>850</v>
      </c>
      <c r="AH1" s="370" t="s">
        <v>853</v>
      </c>
      <c r="AI1" s="64" t="s">
        <v>849</v>
      </c>
      <c r="AJ1" s="64" t="s">
        <v>121</v>
      </c>
      <c r="AK1" s="48" t="s">
        <v>560</v>
      </c>
      <c r="AL1" s="48" t="s">
        <v>559</v>
      </c>
    </row>
    <row r="2" spans="1:38" s="4" customFormat="1" x14ac:dyDescent="0.45">
      <c r="A2" s="167" t="s">
        <v>332</v>
      </c>
      <c r="B2" s="168"/>
      <c r="C2" s="106">
        <v>1</v>
      </c>
      <c r="D2" s="169" t="s">
        <v>16</v>
      </c>
      <c r="E2" s="170" t="s">
        <v>10</v>
      </c>
      <c r="F2" s="170"/>
      <c r="G2" s="171" t="s">
        <v>416</v>
      </c>
      <c r="H2" s="82" t="s">
        <v>416</v>
      </c>
      <c r="I2" s="82" t="s">
        <v>52</v>
      </c>
      <c r="J2" s="172" t="s">
        <v>416</v>
      </c>
      <c r="K2" s="173"/>
      <c r="L2" s="174" t="s">
        <v>324</v>
      </c>
      <c r="M2" s="169" t="s">
        <v>316</v>
      </c>
      <c r="N2" s="175" t="s">
        <v>317</v>
      </c>
      <c r="O2" s="176" t="s">
        <v>11</v>
      </c>
      <c r="P2" s="82" t="s">
        <v>12</v>
      </c>
      <c r="Q2" s="82">
        <v>2400</v>
      </c>
      <c r="R2" s="170" t="s">
        <v>416</v>
      </c>
      <c r="S2" s="170" t="s">
        <v>416</v>
      </c>
      <c r="T2" s="170" t="s">
        <v>416</v>
      </c>
      <c r="U2" s="177" t="s">
        <v>416</v>
      </c>
      <c r="V2" s="178">
        <f>SUM(Table24[[#This Row],[A1toA3_GWP]:[C1toC4_GWP]])</f>
        <v>104.16666666666667</v>
      </c>
      <c r="W2" s="178"/>
      <c r="X2" s="178"/>
      <c r="Y2" s="178">
        <f>Table24[[#This Row],[Total_GWP]]*Table24[[#This Row],[DENSITY]]/1000</f>
        <v>250</v>
      </c>
      <c r="Z2" s="179">
        <f>250/Table24[[#This Row],[DENSITY]]*1000</f>
        <v>104.16666666666667</v>
      </c>
      <c r="AA2" s="159" t="s">
        <v>416</v>
      </c>
      <c r="AB2" s="157"/>
      <c r="AC2" s="157"/>
      <c r="AD2" s="157"/>
      <c r="AE2" s="158"/>
      <c r="AF2" s="178">
        <f ca="1">IF(OR($E2="Ecoinvent",$E2="Betonsortenrechner",$E2="KBOB",$V2&lt;=0,Table24[[#This Row],[VALID_TO]]&lt;=TODAY()),0,1)</f>
        <v>0</v>
      </c>
      <c r="AG2" s="178">
        <v>1</v>
      </c>
      <c r="AH2" s="178">
        <f ca="1">IF(AND(Table24[[#This Row],[ValidEPD]]&lt;&gt;0,Table24[[#This Row],[Man_Ausschluss]]&lt;&gt;0),1,0)</f>
        <v>0</v>
      </c>
      <c r="AI2" s="178" cm="1">
        <f t="array" aca="1" ref="AI2" ca="1">IF(Table24[[#This Row],[gültig]]&lt;&gt;0,
IF(V2=MIN(_xlfn._xlws.FILTER($V$2:$V$282,($P$2:$P$282=P2))),1,
IF(V2=MAX(_xlfn._xlws.FILTER($V$2:$V$282,($P$2:$P$282=P2))),1,0)),0)</f>
        <v>0</v>
      </c>
      <c r="AJ2" s="180"/>
      <c r="AK2" s="5"/>
      <c r="AL2" s="5"/>
    </row>
    <row r="3" spans="1:38" s="4" customFormat="1" x14ac:dyDescent="0.45">
      <c r="A3" s="167" t="s">
        <v>333</v>
      </c>
      <c r="B3" s="168"/>
      <c r="C3" s="107">
        <v>2</v>
      </c>
      <c r="D3" s="169" t="s">
        <v>17</v>
      </c>
      <c r="E3" s="170" t="s">
        <v>10</v>
      </c>
      <c r="F3" s="170"/>
      <c r="G3" s="171" t="s">
        <v>416</v>
      </c>
      <c r="H3" s="82" t="s">
        <v>416</v>
      </c>
      <c r="I3" s="82" t="s">
        <v>52</v>
      </c>
      <c r="J3" s="172" t="s">
        <v>416</v>
      </c>
      <c r="K3" s="173"/>
      <c r="L3" s="174" t="s">
        <v>324</v>
      </c>
      <c r="M3" s="169" t="s">
        <v>316</v>
      </c>
      <c r="N3" s="175" t="s">
        <v>317</v>
      </c>
      <c r="O3" s="176" t="s">
        <v>2</v>
      </c>
      <c r="P3" s="82" t="s">
        <v>12</v>
      </c>
      <c r="Q3" s="82">
        <v>2400</v>
      </c>
      <c r="R3" s="170" t="s">
        <v>416</v>
      </c>
      <c r="S3" s="170" t="s">
        <v>416</v>
      </c>
      <c r="T3" s="170" t="s">
        <v>416</v>
      </c>
      <c r="U3" s="177" t="s">
        <v>416</v>
      </c>
      <c r="V3" s="178">
        <f>SUM(Table24[[#This Row],[A1toA3_GWP]:[C1toC4_GWP]])</f>
        <v>84.583333333333329</v>
      </c>
      <c r="W3" s="178"/>
      <c r="X3" s="178"/>
      <c r="Y3" s="178">
        <f>Table24[[#This Row],[Total_GWP]]*Table24[[#This Row],[DENSITY]]/1000</f>
        <v>203</v>
      </c>
      <c r="Z3" s="179">
        <f>203/Table24[[#This Row],[DENSITY]]*1000</f>
        <v>84.583333333333329</v>
      </c>
      <c r="AA3" s="159" t="s">
        <v>416</v>
      </c>
      <c r="AB3" s="157"/>
      <c r="AC3" s="157"/>
      <c r="AD3" s="157"/>
      <c r="AE3" s="158"/>
      <c r="AF3" s="178">
        <f ca="1">IF(OR($E3="Ecoinvent",$E3="Betonsortenrechner",$E3="KBOB",$V3&lt;=0,Table24[[#This Row],[VALID_TO]]&lt;=TODAY()),0,1)</f>
        <v>0</v>
      </c>
      <c r="AG3" s="178">
        <v>1</v>
      </c>
      <c r="AH3" s="178">
        <f ca="1">IF(AND(Table24[[#This Row],[ValidEPD]]&lt;&gt;0,Table24[[#This Row],[Man_Ausschluss]]&lt;&gt;0),1,0)</f>
        <v>0</v>
      </c>
      <c r="AI3" s="178" cm="1">
        <f t="array" aca="1" ref="AI3" ca="1">IF(Table24[[#This Row],[gültig]]&lt;&gt;0,
IF(V3=MIN(_xlfn._xlws.FILTER($V$2:$V$282,($P$2:$P$282=P3))),1,
IF(V3=MAX(_xlfn._xlws.FILTER($V$2:$V$282,($P$2:$P$282=P3))),1,0)),0)</f>
        <v>0</v>
      </c>
      <c r="AJ3" s="180"/>
      <c r="AK3" s="5"/>
      <c r="AL3" s="5"/>
    </row>
    <row r="4" spans="1:38" s="4" customFormat="1" x14ac:dyDescent="0.45">
      <c r="A4" s="167" t="s">
        <v>334</v>
      </c>
      <c r="B4" s="168"/>
      <c r="C4" s="107">
        <v>3</v>
      </c>
      <c r="D4" s="169" t="s">
        <v>18</v>
      </c>
      <c r="E4" s="170" t="s">
        <v>10</v>
      </c>
      <c r="F4" s="170"/>
      <c r="G4" s="171" t="s">
        <v>416</v>
      </c>
      <c r="H4" s="82" t="s">
        <v>416</v>
      </c>
      <c r="I4" s="82" t="s">
        <v>52</v>
      </c>
      <c r="J4" s="172" t="s">
        <v>416</v>
      </c>
      <c r="K4" s="173"/>
      <c r="L4" s="174" t="s">
        <v>324</v>
      </c>
      <c r="M4" s="169" t="s">
        <v>316</v>
      </c>
      <c r="N4" s="175" t="s">
        <v>317</v>
      </c>
      <c r="O4" s="176" t="s">
        <v>13</v>
      </c>
      <c r="P4" s="82" t="s">
        <v>7</v>
      </c>
      <c r="Q4" s="82">
        <v>2320</v>
      </c>
      <c r="R4" s="170" t="s">
        <v>416</v>
      </c>
      <c r="S4" s="170" t="s">
        <v>416</v>
      </c>
      <c r="T4" s="170" t="s">
        <v>416</v>
      </c>
      <c r="U4" s="177" t="s">
        <v>416</v>
      </c>
      <c r="V4" s="178">
        <f>SUM(Table24[[#This Row],[A1toA3_GWP]:[C1toC4_GWP]])</f>
        <v>75.431034482758619</v>
      </c>
      <c r="W4" s="178"/>
      <c r="X4" s="178"/>
      <c r="Y4" s="178">
        <f>Table24[[#This Row],[Total_GWP]]*Table24[[#This Row],[DENSITY]]/1000</f>
        <v>175</v>
      </c>
      <c r="Z4" s="179">
        <f>175/Table24[[#This Row],[DENSITY]]*1000</f>
        <v>75.431034482758619</v>
      </c>
      <c r="AA4" s="159" t="s">
        <v>416</v>
      </c>
      <c r="AB4" s="157"/>
      <c r="AC4" s="157"/>
      <c r="AD4" s="157"/>
      <c r="AE4" s="158"/>
      <c r="AF4" s="178">
        <f ca="1">IF(OR($E4="Ecoinvent",$E4="Betonsortenrechner",$E4="KBOB",$V4&lt;=0,Table24[[#This Row],[VALID_TO]]&lt;=TODAY()),0,1)</f>
        <v>0</v>
      </c>
      <c r="AG4" s="178">
        <v>1</v>
      </c>
      <c r="AH4" s="178">
        <f ca="1">IF(AND(Table24[[#This Row],[ValidEPD]]&lt;&gt;0,Table24[[#This Row],[Man_Ausschluss]]&lt;&gt;0),1,0)</f>
        <v>0</v>
      </c>
      <c r="AI4" s="178" cm="1">
        <f t="array" aca="1" ref="AI4" ca="1">IF(Table24[[#This Row],[gültig]]&lt;&gt;0,
IF(V4=MIN(_xlfn._xlws.FILTER($V$2:$V$282,($P$2:$P$282=P4))),1,
IF(V4=MAX(_xlfn._xlws.FILTER($V$2:$V$282,($P$2:$P$282=P4))),1,0)),0)</f>
        <v>0</v>
      </c>
      <c r="AJ4" s="180"/>
      <c r="AK4" s="5"/>
      <c r="AL4" s="5"/>
    </row>
    <row r="5" spans="1:38" s="4" customFormat="1" x14ac:dyDescent="0.45">
      <c r="A5" s="167" t="s">
        <v>335</v>
      </c>
      <c r="B5" s="168"/>
      <c r="C5" s="107">
        <v>4</v>
      </c>
      <c r="D5" s="169" t="s">
        <v>19</v>
      </c>
      <c r="E5" s="170" t="s">
        <v>10</v>
      </c>
      <c r="F5" s="170"/>
      <c r="G5" s="171" t="s">
        <v>416</v>
      </c>
      <c r="H5" s="82" t="s">
        <v>416</v>
      </c>
      <c r="I5" s="82" t="s">
        <v>52</v>
      </c>
      <c r="J5" s="172" t="s">
        <v>416</v>
      </c>
      <c r="K5" s="173"/>
      <c r="L5" s="174" t="s">
        <v>324</v>
      </c>
      <c r="M5" s="169" t="s">
        <v>316</v>
      </c>
      <c r="N5" s="175" t="s">
        <v>317</v>
      </c>
      <c r="O5" s="176" t="s">
        <v>14</v>
      </c>
      <c r="P5" s="82" t="s">
        <v>12</v>
      </c>
      <c r="Q5" s="82">
        <v>2390</v>
      </c>
      <c r="R5" s="170" t="s">
        <v>416</v>
      </c>
      <c r="S5" s="170" t="s">
        <v>416</v>
      </c>
      <c r="T5" s="170" t="s">
        <v>416</v>
      </c>
      <c r="U5" s="177" t="s">
        <v>416</v>
      </c>
      <c r="V5" s="178">
        <f>SUM(Table24[[#This Row],[A1toA3_GWP]:[C1toC4_GWP]])</f>
        <v>76.987447698744774</v>
      </c>
      <c r="W5" s="178"/>
      <c r="X5" s="178"/>
      <c r="Y5" s="178">
        <f>Table24[[#This Row],[Total_GWP]]*Table24[[#This Row],[DENSITY]]/1000</f>
        <v>184</v>
      </c>
      <c r="Z5" s="179">
        <f>184/Table24[[#This Row],[DENSITY]]*1000</f>
        <v>76.987447698744774</v>
      </c>
      <c r="AA5" s="159" t="s">
        <v>416</v>
      </c>
      <c r="AB5" s="157"/>
      <c r="AC5" s="157"/>
      <c r="AD5" s="157"/>
      <c r="AE5" s="158"/>
      <c r="AF5" s="178">
        <f ca="1">IF(OR($E5="Ecoinvent",$E5="Betonsortenrechner",$E5="KBOB",$V5&lt;=0,Table24[[#This Row],[VALID_TO]]&lt;=TODAY()),0,1)</f>
        <v>0</v>
      </c>
      <c r="AG5" s="178">
        <v>1</v>
      </c>
      <c r="AH5" s="178">
        <f ca="1">IF(AND(Table24[[#This Row],[ValidEPD]]&lt;&gt;0,Table24[[#This Row],[Man_Ausschluss]]&lt;&gt;0),1,0)</f>
        <v>0</v>
      </c>
      <c r="AI5" s="178" cm="1">
        <f t="array" aca="1" ref="AI5" ca="1">IF(Table24[[#This Row],[gültig]]&lt;&gt;0,
IF(V5=MIN(_xlfn._xlws.FILTER($V$2:$V$282,($P$2:$P$282=P5))),1,
IF(V5=MAX(_xlfn._xlws.FILTER($V$2:$V$282,($P$2:$P$282=P5))),1,0)),0)</f>
        <v>0</v>
      </c>
      <c r="AJ5" s="180"/>
      <c r="AK5" s="5"/>
      <c r="AL5" s="5"/>
    </row>
    <row r="6" spans="1:38" s="4" customFormat="1" x14ac:dyDescent="0.45">
      <c r="A6" s="167" t="s">
        <v>336</v>
      </c>
      <c r="B6" s="168"/>
      <c r="C6" s="107">
        <v>5</v>
      </c>
      <c r="D6" s="169" t="s">
        <v>20</v>
      </c>
      <c r="E6" s="170" t="s">
        <v>10</v>
      </c>
      <c r="F6" s="170"/>
      <c r="G6" s="171" t="s">
        <v>416</v>
      </c>
      <c r="H6" s="82" t="s">
        <v>416</v>
      </c>
      <c r="I6" s="82" t="s">
        <v>52</v>
      </c>
      <c r="J6" s="172" t="s">
        <v>416</v>
      </c>
      <c r="K6" s="173"/>
      <c r="L6" s="174" t="s">
        <v>324</v>
      </c>
      <c r="M6" s="169" t="s">
        <v>316</v>
      </c>
      <c r="N6" s="175" t="s">
        <v>317</v>
      </c>
      <c r="O6" s="176" t="s">
        <v>15</v>
      </c>
      <c r="P6" s="82" t="s">
        <v>28</v>
      </c>
      <c r="Q6" s="82">
        <v>2420</v>
      </c>
      <c r="R6" s="170" t="s">
        <v>416</v>
      </c>
      <c r="S6" s="170" t="s">
        <v>416</v>
      </c>
      <c r="T6" s="170" t="s">
        <v>416</v>
      </c>
      <c r="U6" s="177" t="s">
        <v>416</v>
      </c>
      <c r="V6" s="178">
        <f>SUM(Table24[[#This Row],[A1toA3_GWP]:[C1toC4_GWP]])</f>
        <v>81.404958677685954</v>
      </c>
      <c r="W6" s="178"/>
      <c r="X6" s="178"/>
      <c r="Y6" s="178">
        <f>Table24[[#This Row],[Total_GWP]]*Table24[[#This Row],[DENSITY]]/1000</f>
        <v>197</v>
      </c>
      <c r="Z6" s="179">
        <f>197/Table24[[#This Row],[DENSITY]]*1000</f>
        <v>81.404958677685954</v>
      </c>
      <c r="AA6" s="159" t="s">
        <v>416</v>
      </c>
      <c r="AB6" s="157"/>
      <c r="AC6" s="157"/>
      <c r="AD6" s="157"/>
      <c r="AE6" s="158"/>
      <c r="AF6" s="178">
        <f ca="1">IF(OR($E6="Ecoinvent",$E6="Betonsortenrechner",$E6="KBOB",$V6&lt;=0,Table24[[#This Row],[VALID_TO]]&lt;=TODAY()),0,1)</f>
        <v>0</v>
      </c>
      <c r="AG6" s="178">
        <v>1</v>
      </c>
      <c r="AH6" s="178">
        <f ca="1">IF(AND(Table24[[#This Row],[ValidEPD]]&lt;&gt;0,Table24[[#This Row],[Man_Ausschluss]]&lt;&gt;0),1,0)</f>
        <v>0</v>
      </c>
      <c r="AI6" s="178" cm="1">
        <f t="array" aca="1" ref="AI6" ca="1">IF(Table24[[#This Row],[gültig]]&lt;&gt;0,
IF(V6=MIN(_xlfn._xlws.FILTER($V$2:$V$282,($P$2:$P$282=P6))),1,
IF(V6=MAX(_xlfn._xlws.FILTER($V$2:$V$282,($P$2:$P$282=P6))),1,0)),0)</f>
        <v>0</v>
      </c>
      <c r="AJ6" s="180"/>
      <c r="AK6" s="5"/>
      <c r="AL6" s="5"/>
    </row>
    <row r="7" spans="1:38" s="4" customFormat="1" x14ac:dyDescent="0.45">
      <c r="A7" s="167" t="s">
        <v>337</v>
      </c>
      <c r="B7" s="168"/>
      <c r="C7" s="107">
        <v>6</v>
      </c>
      <c r="D7" s="169" t="s">
        <v>21</v>
      </c>
      <c r="E7" s="170" t="s">
        <v>10</v>
      </c>
      <c r="F7" s="170"/>
      <c r="G7" s="171" t="s">
        <v>416</v>
      </c>
      <c r="H7" s="82" t="s">
        <v>416</v>
      </c>
      <c r="I7" s="82" t="s">
        <v>52</v>
      </c>
      <c r="J7" s="172" t="s">
        <v>416</v>
      </c>
      <c r="K7" s="173"/>
      <c r="L7" s="174" t="s">
        <v>324</v>
      </c>
      <c r="M7" s="169" t="s">
        <v>316</v>
      </c>
      <c r="N7" s="175" t="s">
        <v>317</v>
      </c>
      <c r="O7" s="176" t="s">
        <v>22</v>
      </c>
      <c r="P7" s="82" t="s">
        <v>7</v>
      </c>
      <c r="Q7" s="170" t="s">
        <v>416</v>
      </c>
      <c r="R7" s="170" t="s">
        <v>416</v>
      </c>
      <c r="S7" s="170" t="s">
        <v>416</v>
      </c>
      <c r="T7" s="170" t="s">
        <v>416</v>
      </c>
      <c r="U7" s="177" t="s">
        <v>416</v>
      </c>
      <c r="V7" s="178"/>
      <c r="W7" s="178"/>
      <c r="X7" s="178"/>
      <c r="Y7" s="178"/>
      <c r="Z7" s="181"/>
      <c r="AA7" s="159"/>
      <c r="AB7" s="157"/>
      <c r="AC7" s="157"/>
      <c r="AD7" s="157"/>
      <c r="AE7" s="158"/>
      <c r="AF7" s="178">
        <f ca="1">IF(OR($E7="Ecoinvent",$E7="Betonsortenrechner",$E7="KBOB",$V7&lt;=0,Table24[[#This Row],[VALID_TO]]&lt;=TODAY()),0,1)</f>
        <v>0</v>
      </c>
      <c r="AG7" s="178">
        <v>1</v>
      </c>
      <c r="AH7" s="178">
        <f ca="1">IF(AND(Table24[[#This Row],[ValidEPD]]&lt;&gt;0,Table24[[#This Row],[Man_Ausschluss]]&lt;&gt;0),1,0)</f>
        <v>0</v>
      </c>
      <c r="AI7" s="178" cm="1">
        <f t="array" aca="1" ref="AI7" ca="1">IF(Table24[[#This Row],[gültig]]&lt;&gt;0,
IF(V7=MIN(_xlfn._xlws.FILTER($V$2:$V$282,($P$2:$P$282=P7))),1,
IF(V7=MAX(_xlfn._xlws.FILTER($V$2:$V$282,($P$2:$P$282=P7))),1,0)),0)</f>
        <v>0</v>
      </c>
      <c r="AJ7" s="180"/>
      <c r="AK7" s="5"/>
      <c r="AL7" s="5"/>
    </row>
    <row r="8" spans="1:38" s="4" customFormat="1" x14ac:dyDescent="0.45">
      <c r="A8" s="167" t="s">
        <v>338</v>
      </c>
      <c r="B8" s="168"/>
      <c r="C8" s="107">
        <v>7</v>
      </c>
      <c r="D8" s="169" t="s">
        <v>23</v>
      </c>
      <c r="E8" s="170" t="s">
        <v>10</v>
      </c>
      <c r="F8" s="170"/>
      <c r="G8" s="171" t="s">
        <v>416</v>
      </c>
      <c r="H8" s="82" t="s">
        <v>416</v>
      </c>
      <c r="I8" s="82" t="s">
        <v>52</v>
      </c>
      <c r="J8" s="172" t="s">
        <v>416</v>
      </c>
      <c r="K8" s="173"/>
      <c r="L8" s="174" t="s">
        <v>324</v>
      </c>
      <c r="M8" s="169" t="s">
        <v>316</v>
      </c>
      <c r="N8" s="175" t="s">
        <v>317</v>
      </c>
      <c r="O8" s="176" t="s">
        <v>24</v>
      </c>
      <c r="P8" s="82" t="s">
        <v>28</v>
      </c>
      <c r="Q8" s="170" t="s">
        <v>416</v>
      </c>
      <c r="R8" s="170" t="s">
        <v>416</v>
      </c>
      <c r="S8" s="170" t="s">
        <v>416</v>
      </c>
      <c r="T8" s="170" t="s">
        <v>416</v>
      </c>
      <c r="U8" s="177" t="s">
        <v>416</v>
      </c>
      <c r="V8" s="178"/>
      <c r="W8" s="178"/>
      <c r="X8" s="178"/>
      <c r="Y8" s="178"/>
      <c r="Z8" s="181"/>
      <c r="AA8" s="159"/>
      <c r="AB8" s="157"/>
      <c r="AC8" s="157"/>
      <c r="AD8" s="157"/>
      <c r="AE8" s="158"/>
      <c r="AF8" s="178">
        <f ca="1">IF(OR($E8="Ecoinvent",$E8="Betonsortenrechner",$E8="KBOB",$V8&lt;=0,Table24[[#This Row],[VALID_TO]]&lt;=TODAY()),0,1)</f>
        <v>0</v>
      </c>
      <c r="AG8" s="178">
        <v>1</v>
      </c>
      <c r="AH8" s="178">
        <f ca="1">IF(AND(Table24[[#This Row],[ValidEPD]]&lt;&gt;0,Table24[[#This Row],[Man_Ausschluss]]&lt;&gt;0),1,0)</f>
        <v>0</v>
      </c>
      <c r="AI8" s="178" cm="1">
        <f t="array" aca="1" ref="AI8" ca="1">IF(Table24[[#This Row],[gültig]]&lt;&gt;0,
IF(V8=MIN(_xlfn._xlws.FILTER($V$2:$V$282,($P$2:$P$282=P8))),1,
IF(V8=MAX(_xlfn._xlws.FILTER($V$2:$V$282,($P$2:$P$282=P8))),1,0)),0)</f>
        <v>0</v>
      </c>
      <c r="AJ8" s="180"/>
      <c r="AK8" s="5"/>
      <c r="AL8" s="5"/>
    </row>
    <row r="9" spans="1:38" s="4" customFormat="1" x14ac:dyDescent="0.45">
      <c r="A9" s="167" t="s">
        <v>339</v>
      </c>
      <c r="B9" s="168"/>
      <c r="C9" s="107">
        <v>8</v>
      </c>
      <c r="D9" s="169" t="s">
        <v>25</v>
      </c>
      <c r="E9" s="170" t="s">
        <v>10</v>
      </c>
      <c r="F9" s="170"/>
      <c r="G9" s="171" t="s">
        <v>416</v>
      </c>
      <c r="H9" s="82" t="s">
        <v>416</v>
      </c>
      <c r="I9" s="82" t="s">
        <v>52</v>
      </c>
      <c r="J9" s="172" t="s">
        <v>416</v>
      </c>
      <c r="K9" s="173"/>
      <c r="L9" s="174" t="s">
        <v>324</v>
      </c>
      <c r="M9" s="169" t="s">
        <v>316</v>
      </c>
      <c r="N9" s="175" t="s">
        <v>317</v>
      </c>
      <c r="O9" s="176" t="s">
        <v>13</v>
      </c>
      <c r="P9" s="82" t="s">
        <v>28</v>
      </c>
      <c r="Q9" s="170" t="s">
        <v>416</v>
      </c>
      <c r="R9" s="170" t="s">
        <v>416</v>
      </c>
      <c r="S9" s="170" t="s">
        <v>416</v>
      </c>
      <c r="T9" s="170" t="s">
        <v>416</v>
      </c>
      <c r="U9" s="177" t="s">
        <v>416</v>
      </c>
      <c r="V9" s="178"/>
      <c r="W9" s="178"/>
      <c r="X9" s="178"/>
      <c r="Y9" s="178"/>
      <c r="Z9" s="181"/>
      <c r="AA9" s="159"/>
      <c r="AB9" s="157"/>
      <c r="AC9" s="157"/>
      <c r="AD9" s="157"/>
      <c r="AE9" s="158"/>
      <c r="AF9" s="178">
        <f ca="1">IF(OR($E9="Ecoinvent",$E9="Betonsortenrechner",$E9="KBOB",$V9&lt;=0,Table24[[#This Row],[VALID_TO]]&lt;=TODAY()),0,1)</f>
        <v>0</v>
      </c>
      <c r="AG9" s="178">
        <v>1</v>
      </c>
      <c r="AH9" s="178">
        <f ca="1">IF(AND(Table24[[#This Row],[ValidEPD]]&lt;&gt;0,Table24[[#This Row],[Man_Ausschluss]]&lt;&gt;0),1,0)</f>
        <v>0</v>
      </c>
      <c r="AI9" s="178" cm="1">
        <f t="array" aca="1" ref="AI9" ca="1">IF(Table24[[#This Row],[gültig]]&lt;&gt;0,
IF(V9=MIN(_xlfn._xlws.FILTER($V$2:$V$282,($P$2:$P$282=P9))),1,
IF(V9=MAX(_xlfn._xlws.FILTER($V$2:$V$282,($P$2:$P$282=P9))),1,0)),0)</f>
        <v>0</v>
      </c>
      <c r="AJ9" s="180"/>
      <c r="AK9" s="5"/>
      <c r="AL9" s="5"/>
    </row>
    <row r="10" spans="1:38" s="4" customFormat="1" x14ac:dyDescent="0.45">
      <c r="A10" s="167" t="s">
        <v>340</v>
      </c>
      <c r="B10" s="168"/>
      <c r="C10" s="107">
        <v>9</v>
      </c>
      <c r="D10" s="169" t="s">
        <v>26</v>
      </c>
      <c r="E10" s="170" t="s">
        <v>10</v>
      </c>
      <c r="F10" s="170"/>
      <c r="G10" s="171" t="s">
        <v>416</v>
      </c>
      <c r="H10" s="82" t="s">
        <v>416</v>
      </c>
      <c r="I10" s="82" t="s">
        <v>52</v>
      </c>
      <c r="J10" s="172" t="s">
        <v>416</v>
      </c>
      <c r="K10" s="173"/>
      <c r="L10" s="174" t="s">
        <v>324</v>
      </c>
      <c r="M10" s="169" t="s">
        <v>316</v>
      </c>
      <c r="N10" s="175" t="s">
        <v>317</v>
      </c>
      <c r="O10" s="176" t="s">
        <v>27</v>
      </c>
      <c r="P10" s="82" t="s">
        <v>28</v>
      </c>
      <c r="Q10" s="170" t="s">
        <v>416</v>
      </c>
      <c r="R10" s="170" t="s">
        <v>416</v>
      </c>
      <c r="S10" s="170" t="s">
        <v>416</v>
      </c>
      <c r="T10" s="170" t="s">
        <v>416</v>
      </c>
      <c r="U10" s="177" t="s">
        <v>416</v>
      </c>
      <c r="V10" s="178"/>
      <c r="W10" s="178"/>
      <c r="X10" s="178"/>
      <c r="Y10" s="178"/>
      <c r="Z10" s="181"/>
      <c r="AA10" s="159"/>
      <c r="AB10" s="157"/>
      <c r="AC10" s="157"/>
      <c r="AD10" s="157"/>
      <c r="AE10" s="158"/>
      <c r="AF10" s="178">
        <f ca="1">IF(OR($E10="Ecoinvent",$E10="Betonsortenrechner",$E10="KBOB",$V10&lt;=0,Table24[[#This Row],[VALID_TO]]&lt;=TODAY()),0,1)</f>
        <v>0</v>
      </c>
      <c r="AG10" s="178">
        <v>1</v>
      </c>
      <c r="AH10" s="178">
        <f ca="1">IF(AND(Table24[[#This Row],[ValidEPD]]&lt;&gt;0,Table24[[#This Row],[Man_Ausschluss]]&lt;&gt;0),1,0)</f>
        <v>0</v>
      </c>
      <c r="AI10" s="178" cm="1">
        <f t="array" aca="1" ref="AI10" ca="1">IF(Table24[[#This Row],[gültig]]&lt;&gt;0,
IF(V10=MIN(_xlfn._xlws.FILTER($V$2:$V$282,($P$2:$P$282=P10))),1,
IF(V10=MAX(_xlfn._xlws.FILTER($V$2:$V$282,($P$2:$P$282=P10))),1,0)),0)</f>
        <v>0</v>
      </c>
      <c r="AJ10" s="180"/>
      <c r="AK10" s="5"/>
      <c r="AL10" s="5"/>
    </row>
    <row r="11" spans="1:38" s="4" customFormat="1" x14ac:dyDescent="0.45">
      <c r="A11" s="167" t="s">
        <v>341</v>
      </c>
      <c r="B11" s="168"/>
      <c r="C11" s="107">
        <v>10</v>
      </c>
      <c r="D11" s="169" t="s">
        <v>29</v>
      </c>
      <c r="E11" s="170" t="s">
        <v>10</v>
      </c>
      <c r="F11" s="170"/>
      <c r="G11" s="171" t="s">
        <v>416</v>
      </c>
      <c r="H11" s="82" t="s">
        <v>416</v>
      </c>
      <c r="I11" s="82" t="s">
        <v>52</v>
      </c>
      <c r="J11" s="172" t="s">
        <v>416</v>
      </c>
      <c r="K11" s="173"/>
      <c r="L11" s="174" t="s">
        <v>324</v>
      </c>
      <c r="M11" s="169" t="s">
        <v>316</v>
      </c>
      <c r="N11" s="175" t="s">
        <v>317</v>
      </c>
      <c r="O11" s="176" t="s">
        <v>30</v>
      </c>
      <c r="P11" s="82" t="s">
        <v>7</v>
      </c>
      <c r="Q11" s="170" t="s">
        <v>416</v>
      </c>
      <c r="R11" s="170" t="s">
        <v>416</v>
      </c>
      <c r="S11" s="170" t="s">
        <v>416</v>
      </c>
      <c r="T11" s="170" t="s">
        <v>416</v>
      </c>
      <c r="U11" s="177" t="s">
        <v>416</v>
      </c>
      <c r="V11" s="178"/>
      <c r="W11" s="178"/>
      <c r="X11" s="178"/>
      <c r="Y11" s="178"/>
      <c r="Z11" s="181"/>
      <c r="AA11" s="159"/>
      <c r="AB11" s="157"/>
      <c r="AC11" s="157"/>
      <c r="AD11" s="157"/>
      <c r="AE11" s="158"/>
      <c r="AF11" s="178">
        <f ca="1">IF(OR($E11="Ecoinvent",$E11="Betonsortenrechner",$E11="KBOB",$V11&lt;=0,Table24[[#This Row],[VALID_TO]]&lt;=TODAY()),0,1)</f>
        <v>0</v>
      </c>
      <c r="AG11" s="178">
        <v>1</v>
      </c>
      <c r="AH11" s="178">
        <f ca="1">IF(AND(Table24[[#This Row],[ValidEPD]]&lt;&gt;0,Table24[[#This Row],[Man_Ausschluss]]&lt;&gt;0),1,0)</f>
        <v>0</v>
      </c>
      <c r="AI11" s="178" cm="1">
        <f t="array" aca="1" ref="AI11" ca="1">IF(Table24[[#This Row],[gültig]]&lt;&gt;0,
IF(V11=MIN(_xlfn._xlws.FILTER($V$2:$V$282,($P$2:$P$282=P11))),1,
IF(V11=MAX(_xlfn._xlws.FILTER($V$2:$V$282,($P$2:$P$282=P11))),1,0)),0)</f>
        <v>0</v>
      </c>
      <c r="AJ11" s="180"/>
      <c r="AK11" s="5"/>
      <c r="AL11" s="5"/>
    </row>
    <row r="12" spans="1:38" s="4" customFormat="1" x14ac:dyDescent="0.45">
      <c r="A12" s="167" t="s">
        <v>342</v>
      </c>
      <c r="B12" s="168"/>
      <c r="C12" s="107">
        <v>11</v>
      </c>
      <c r="D12" s="169" t="s">
        <v>40</v>
      </c>
      <c r="E12" s="170" t="s">
        <v>10</v>
      </c>
      <c r="F12" s="170"/>
      <c r="G12" s="171" t="s">
        <v>416</v>
      </c>
      <c r="H12" s="82" t="s">
        <v>416</v>
      </c>
      <c r="I12" s="82" t="s">
        <v>52</v>
      </c>
      <c r="J12" s="172" t="s">
        <v>416</v>
      </c>
      <c r="K12" s="173"/>
      <c r="L12" s="174" t="s">
        <v>324</v>
      </c>
      <c r="M12" s="169" t="s">
        <v>316</v>
      </c>
      <c r="N12" s="175" t="s">
        <v>317</v>
      </c>
      <c r="O12" s="176" t="s">
        <v>15</v>
      </c>
      <c r="P12" s="82" t="s">
        <v>12</v>
      </c>
      <c r="Q12" s="82">
        <v>2400</v>
      </c>
      <c r="R12" s="170" t="s">
        <v>416</v>
      </c>
      <c r="S12" s="170" t="s">
        <v>416</v>
      </c>
      <c r="T12" s="170" t="s">
        <v>416</v>
      </c>
      <c r="U12" s="177" t="s">
        <v>416</v>
      </c>
      <c r="V12" s="178">
        <f>SUM(Table24[[#This Row],[A1toA3_GWP]:[C1toC4_GWP]])</f>
        <v>89.583333333333329</v>
      </c>
      <c r="W12" s="178"/>
      <c r="X12" s="178"/>
      <c r="Y12" s="178">
        <f>Table24[[#This Row],[Total_GWP]]*Table24[[#This Row],[DENSITY]]/1000</f>
        <v>215</v>
      </c>
      <c r="Z12" s="179">
        <f>215/Table24[[#This Row],[DENSITY]]*1000</f>
        <v>89.583333333333329</v>
      </c>
      <c r="AA12" s="159" t="s">
        <v>416</v>
      </c>
      <c r="AB12" s="157"/>
      <c r="AC12" s="157"/>
      <c r="AD12" s="157"/>
      <c r="AE12" s="158"/>
      <c r="AF12" s="178">
        <f ca="1">IF(OR($E12="Ecoinvent",$E12="Betonsortenrechner",$E12="KBOB",$V12&lt;=0,Table24[[#This Row],[VALID_TO]]&lt;=TODAY()),0,1)</f>
        <v>0</v>
      </c>
      <c r="AG12" s="178">
        <v>1</v>
      </c>
      <c r="AH12" s="178">
        <f ca="1">IF(AND(Table24[[#This Row],[ValidEPD]]&lt;&gt;0,Table24[[#This Row],[Man_Ausschluss]]&lt;&gt;0),1,0)</f>
        <v>0</v>
      </c>
      <c r="AI12" s="178" cm="1">
        <f t="array" aca="1" ref="AI12" ca="1">IF(Table24[[#This Row],[gültig]]&lt;&gt;0,
IF(V12=MIN(_xlfn._xlws.FILTER($V$2:$V$282,($P$2:$P$282=P12))),1,
IF(V12=MAX(_xlfn._xlws.FILTER($V$2:$V$282,($P$2:$P$282=P12))),1,0)),0)</f>
        <v>0</v>
      </c>
      <c r="AJ12" s="180"/>
      <c r="AK12" s="5"/>
      <c r="AL12" s="5"/>
    </row>
    <row r="13" spans="1:38" s="13" customFormat="1" x14ac:dyDescent="0.45">
      <c r="A13" s="182" t="s">
        <v>343</v>
      </c>
      <c r="B13" s="183"/>
      <c r="C13" s="108">
        <v>12</v>
      </c>
      <c r="D13" s="184" t="s">
        <v>416</v>
      </c>
      <c r="E13" s="185" t="s">
        <v>3</v>
      </c>
      <c r="F13" s="185"/>
      <c r="G13" s="186" t="s">
        <v>416</v>
      </c>
      <c r="H13" s="187" t="s">
        <v>416</v>
      </c>
      <c r="I13" s="187" t="s">
        <v>52</v>
      </c>
      <c r="J13" s="188" t="s">
        <v>416</v>
      </c>
      <c r="K13" s="189" t="s">
        <v>31</v>
      </c>
      <c r="L13" s="190" t="s">
        <v>324</v>
      </c>
      <c r="M13" s="184" t="s">
        <v>316</v>
      </c>
      <c r="N13" s="191" t="s">
        <v>317</v>
      </c>
      <c r="O13" s="192" t="s">
        <v>15</v>
      </c>
      <c r="P13" s="187" t="s">
        <v>28</v>
      </c>
      <c r="Q13" s="187">
        <v>2241</v>
      </c>
      <c r="R13" s="185" t="s">
        <v>416</v>
      </c>
      <c r="S13" s="185" t="s">
        <v>416</v>
      </c>
      <c r="T13" s="185" t="s">
        <v>416</v>
      </c>
      <c r="U13" s="193" t="s">
        <v>416</v>
      </c>
      <c r="V13" s="194">
        <f>SUM(Table24[[#This Row],[A1toA3_GWP]:[C1toC4_GWP]])</f>
        <v>102.36501561802767</v>
      </c>
      <c r="W13" s="194"/>
      <c r="X13" s="194"/>
      <c r="Y13" s="194">
        <f>Table24[[#This Row],[Total_GWP]]*Table24[[#This Row],[DENSITY]]/1000</f>
        <v>229.4</v>
      </c>
      <c r="Z13" s="195">
        <f>201/Table24[[#This Row],[DENSITY]]*1000</f>
        <v>89.692101740294518</v>
      </c>
      <c r="AA13" s="196">
        <f>28.4/Table24[[#This Row],[DENSITY]]*1000</f>
        <v>12.672913877733155</v>
      </c>
      <c r="AB13" s="197"/>
      <c r="AC13" s="197"/>
      <c r="AD13" s="197"/>
      <c r="AE13" s="198"/>
      <c r="AF13" s="178">
        <f ca="1">IF(OR($E13="Ecoinvent",$E13="Betonsortenrechner",$E13="KBOB",$V13&lt;=0,Table24[[#This Row],[VALID_TO]]&lt;=TODAY()),0,1)</f>
        <v>0</v>
      </c>
      <c r="AG13" s="178">
        <v>1</v>
      </c>
      <c r="AH13" s="178">
        <f ca="1">IF(AND(Table24[[#This Row],[ValidEPD]]&lt;&gt;0,Table24[[#This Row],[Man_Ausschluss]]&lt;&gt;0),1,0)</f>
        <v>0</v>
      </c>
      <c r="AI13" s="178" cm="1">
        <f t="array" aca="1" ref="AI13" ca="1">IF(Table24[[#This Row],[gültig]]&lt;&gt;0,
IF(V13=MIN(_xlfn._xlws.FILTER($V$2:$V$282,($P$2:$P$282=P13))),1,
IF(V13=MAX(_xlfn._xlws.FILTER($V$2:$V$282,($P$2:$P$282=P13))),1,0)),0)</f>
        <v>0</v>
      </c>
      <c r="AJ13" s="180"/>
      <c r="AK13" s="12"/>
      <c r="AL13" s="12"/>
    </row>
    <row r="14" spans="1:38" s="13" customFormat="1" x14ac:dyDescent="0.45">
      <c r="A14" s="182" t="s">
        <v>344</v>
      </c>
      <c r="B14" s="183"/>
      <c r="C14" s="109">
        <v>13</v>
      </c>
      <c r="D14" s="184" t="s">
        <v>416</v>
      </c>
      <c r="E14" s="185" t="s">
        <v>3</v>
      </c>
      <c r="F14" s="185"/>
      <c r="G14" s="186" t="s">
        <v>416</v>
      </c>
      <c r="H14" s="187" t="s">
        <v>416</v>
      </c>
      <c r="I14" s="187" t="s">
        <v>52</v>
      </c>
      <c r="J14" s="188" t="s">
        <v>416</v>
      </c>
      <c r="K14" s="189" t="s">
        <v>31</v>
      </c>
      <c r="L14" s="190" t="s">
        <v>324</v>
      </c>
      <c r="M14" s="184" t="s">
        <v>316</v>
      </c>
      <c r="N14" s="191" t="s">
        <v>317</v>
      </c>
      <c r="O14" s="192" t="s">
        <v>2</v>
      </c>
      <c r="P14" s="187" t="s">
        <v>28</v>
      </c>
      <c r="Q14" s="187">
        <v>2241</v>
      </c>
      <c r="R14" s="185" t="s">
        <v>416</v>
      </c>
      <c r="S14" s="185" t="s">
        <v>416</v>
      </c>
      <c r="T14" s="185" t="s">
        <v>416</v>
      </c>
      <c r="U14" s="193" t="s">
        <v>416</v>
      </c>
      <c r="V14" s="194">
        <f>SUM(Table24[[#This Row],[A1toA3_GWP]:[C1toC4_GWP]])</f>
        <v>100.1338688085676</v>
      </c>
      <c r="W14" s="194"/>
      <c r="X14" s="194"/>
      <c r="Y14" s="194">
        <f>Table24[[#This Row],[Total_GWP]]*Table24[[#This Row],[DENSITY]]/1000</f>
        <v>224.4</v>
      </c>
      <c r="Z14" s="195">
        <f>196/Table24[[#This Row],[DENSITY]]*1000</f>
        <v>87.460954930834447</v>
      </c>
      <c r="AA14" s="196">
        <f>28.4/Table24[[#This Row],[DENSITY]]*1000</f>
        <v>12.672913877733155</v>
      </c>
      <c r="AB14" s="197"/>
      <c r="AC14" s="197"/>
      <c r="AD14" s="197"/>
      <c r="AE14" s="198"/>
      <c r="AF14" s="178">
        <f ca="1">IF(OR($E14="Ecoinvent",$E14="Betonsortenrechner",$E14="KBOB",$V14&lt;=0,Table24[[#This Row],[VALID_TO]]&lt;=TODAY()),0,1)</f>
        <v>0</v>
      </c>
      <c r="AG14" s="178">
        <v>1</v>
      </c>
      <c r="AH14" s="178">
        <f ca="1">IF(AND(Table24[[#This Row],[ValidEPD]]&lt;&gt;0,Table24[[#This Row],[Man_Ausschluss]]&lt;&gt;0),1,0)</f>
        <v>0</v>
      </c>
      <c r="AI14" s="178" cm="1">
        <f t="array" aca="1" ref="AI14" ca="1">IF(Table24[[#This Row],[gültig]]&lt;&gt;0,
IF(V14=MIN(_xlfn._xlws.FILTER($V$2:$V$282,($P$2:$P$282=P14))),1,
IF(V14=MAX(_xlfn._xlws.FILTER($V$2:$V$282,($P$2:$P$282=P14))),1,0)),0)</f>
        <v>0</v>
      </c>
      <c r="AJ14" s="180"/>
      <c r="AK14" s="12"/>
      <c r="AL14" s="12"/>
    </row>
    <row r="15" spans="1:38" s="13" customFormat="1" x14ac:dyDescent="0.45">
      <c r="A15" s="182" t="s">
        <v>345</v>
      </c>
      <c r="B15" s="183"/>
      <c r="C15" s="109">
        <v>14</v>
      </c>
      <c r="D15" s="184" t="s">
        <v>416</v>
      </c>
      <c r="E15" s="185" t="s">
        <v>3</v>
      </c>
      <c r="F15" s="185"/>
      <c r="G15" s="186" t="s">
        <v>416</v>
      </c>
      <c r="H15" s="187" t="s">
        <v>416</v>
      </c>
      <c r="I15" s="187" t="s">
        <v>52</v>
      </c>
      <c r="J15" s="188" t="s">
        <v>416</v>
      </c>
      <c r="K15" s="189" t="s">
        <v>37</v>
      </c>
      <c r="L15" s="190" t="s">
        <v>324</v>
      </c>
      <c r="M15" s="184" t="s">
        <v>316</v>
      </c>
      <c r="N15" s="191" t="s">
        <v>317</v>
      </c>
      <c r="O15" s="192" t="s">
        <v>2</v>
      </c>
      <c r="P15" s="187" t="s">
        <v>28</v>
      </c>
      <c r="Q15" s="187">
        <v>2242</v>
      </c>
      <c r="R15" s="185" t="s">
        <v>416</v>
      </c>
      <c r="S15" s="185" t="s">
        <v>416</v>
      </c>
      <c r="T15" s="185" t="s">
        <v>416</v>
      </c>
      <c r="U15" s="193" t="s">
        <v>416</v>
      </c>
      <c r="V15" s="194">
        <f>SUM(Table24[[#This Row],[A1toA3_GWP]:[C1toC4_GWP]])</f>
        <v>100.08920606601248</v>
      </c>
      <c r="W15" s="194"/>
      <c r="X15" s="194"/>
      <c r="Y15" s="194">
        <f>Table24[[#This Row],[Total_GWP]]*Table24[[#This Row],[DENSITY]]/1000</f>
        <v>224.39999999999998</v>
      </c>
      <c r="Z15" s="195">
        <f>196/Table24[[#This Row],[DENSITY]]*1000</f>
        <v>87.421944692239066</v>
      </c>
      <c r="AA15" s="196">
        <f>28.4/Table24[[#This Row],[DENSITY]]*1000</f>
        <v>12.667261373773416</v>
      </c>
      <c r="AB15" s="197"/>
      <c r="AC15" s="197"/>
      <c r="AD15" s="197"/>
      <c r="AE15" s="198"/>
      <c r="AF15" s="178">
        <f ca="1">IF(OR($E15="Ecoinvent",$E15="Betonsortenrechner",$E15="KBOB",$V15&lt;=0,Table24[[#This Row],[VALID_TO]]&lt;=TODAY()),0,1)</f>
        <v>0</v>
      </c>
      <c r="AG15" s="178">
        <v>1</v>
      </c>
      <c r="AH15" s="178">
        <f ca="1">IF(AND(Table24[[#This Row],[ValidEPD]]&lt;&gt;0,Table24[[#This Row],[Man_Ausschluss]]&lt;&gt;0),1,0)</f>
        <v>0</v>
      </c>
      <c r="AI15" s="178" cm="1">
        <f t="array" aca="1" ref="AI15" ca="1">IF(Table24[[#This Row],[gültig]]&lt;&gt;0,
IF(V15=MIN(_xlfn._xlws.FILTER($V$2:$V$282,($P$2:$P$282=P15))),1,
IF(V15=MAX(_xlfn._xlws.FILTER($V$2:$V$282,($P$2:$P$282=P15))),1,0)),0)</f>
        <v>0</v>
      </c>
      <c r="AJ15" s="180"/>
      <c r="AK15" s="12"/>
      <c r="AL15" s="12"/>
    </row>
    <row r="16" spans="1:38" s="13" customFormat="1" x14ac:dyDescent="0.45">
      <c r="A16" s="182" t="s">
        <v>346</v>
      </c>
      <c r="B16" s="183"/>
      <c r="C16" s="109">
        <v>15</v>
      </c>
      <c r="D16" s="184" t="s">
        <v>416</v>
      </c>
      <c r="E16" s="185" t="s">
        <v>3</v>
      </c>
      <c r="F16" s="185"/>
      <c r="G16" s="186" t="s">
        <v>416</v>
      </c>
      <c r="H16" s="187" t="s">
        <v>416</v>
      </c>
      <c r="I16" s="187" t="s">
        <v>52</v>
      </c>
      <c r="J16" s="188" t="s">
        <v>416</v>
      </c>
      <c r="K16" s="189" t="s">
        <v>38</v>
      </c>
      <c r="L16" s="190" t="s">
        <v>324</v>
      </c>
      <c r="M16" s="184" t="s">
        <v>316</v>
      </c>
      <c r="N16" s="191" t="s">
        <v>317</v>
      </c>
      <c r="O16" s="192" t="s">
        <v>2</v>
      </c>
      <c r="P16" s="187" t="s">
        <v>28</v>
      </c>
      <c r="Q16" s="187">
        <v>2242</v>
      </c>
      <c r="R16" s="185" t="s">
        <v>416</v>
      </c>
      <c r="S16" s="185" t="s">
        <v>416</v>
      </c>
      <c r="T16" s="185" t="s">
        <v>416</v>
      </c>
      <c r="U16" s="193" t="s">
        <v>416</v>
      </c>
      <c r="V16" s="194">
        <f>SUM(Table24[[#This Row],[A1toA3_GWP]:[C1toC4_GWP]])</f>
        <v>100.08920606601248</v>
      </c>
      <c r="W16" s="194"/>
      <c r="X16" s="194"/>
      <c r="Y16" s="194">
        <f>Table24[[#This Row],[Total_GWP]]*Table24[[#This Row],[DENSITY]]/1000</f>
        <v>224.39999999999998</v>
      </c>
      <c r="Z16" s="195">
        <f>196/Table24[[#This Row],[DENSITY]]*1000</f>
        <v>87.421944692239066</v>
      </c>
      <c r="AA16" s="196">
        <f>28.4/Table24[[#This Row],[DENSITY]]*1000</f>
        <v>12.667261373773416</v>
      </c>
      <c r="AB16" s="197"/>
      <c r="AC16" s="197"/>
      <c r="AD16" s="197"/>
      <c r="AE16" s="198"/>
      <c r="AF16" s="178">
        <f ca="1">IF(OR($E16="Ecoinvent",$E16="Betonsortenrechner",$E16="KBOB",$V16&lt;=0,Table24[[#This Row],[VALID_TO]]&lt;=TODAY()),0,1)</f>
        <v>0</v>
      </c>
      <c r="AG16" s="178">
        <v>1</v>
      </c>
      <c r="AH16" s="178">
        <f ca="1">IF(AND(Table24[[#This Row],[ValidEPD]]&lt;&gt;0,Table24[[#This Row],[Man_Ausschluss]]&lt;&gt;0),1,0)</f>
        <v>0</v>
      </c>
      <c r="AI16" s="178" cm="1">
        <f t="array" aca="1" ref="AI16" ca="1">IF(Table24[[#This Row],[gültig]]&lt;&gt;0,
IF(V16=MIN(_xlfn._xlws.FILTER($V$2:$V$282,($P$2:$P$282=P16))),1,
IF(V16=MAX(_xlfn._xlws.FILTER($V$2:$V$282,($P$2:$P$282=P16))),1,0)),0)</f>
        <v>0</v>
      </c>
      <c r="AJ16" s="180"/>
      <c r="AK16" s="12"/>
      <c r="AL16" s="12"/>
    </row>
    <row r="17" spans="1:38" s="13" customFormat="1" x14ac:dyDescent="0.45">
      <c r="A17" s="182" t="s">
        <v>347</v>
      </c>
      <c r="B17" s="183"/>
      <c r="C17" s="109">
        <v>16</v>
      </c>
      <c r="D17" s="184" t="s">
        <v>416</v>
      </c>
      <c r="E17" s="185" t="s">
        <v>3</v>
      </c>
      <c r="F17" s="185"/>
      <c r="G17" s="186" t="s">
        <v>416</v>
      </c>
      <c r="H17" s="187" t="s">
        <v>416</v>
      </c>
      <c r="I17" s="187" t="s">
        <v>52</v>
      </c>
      <c r="J17" s="188" t="s">
        <v>416</v>
      </c>
      <c r="K17" s="189" t="s">
        <v>31</v>
      </c>
      <c r="L17" s="190" t="s">
        <v>324</v>
      </c>
      <c r="M17" s="184" t="s">
        <v>316</v>
      </c>
      <c r="N17" s="191" t="s">
        <v>317</v>
      </c>
      <c r="O17" s="192" t="s">
        <v>42</v>
      </c>
      <c r="P17" s="187" t="s">
        <v>28</v>
      </c>
      <c r="Q17" s="187">
        <v>2332</v>
      </c>
      <c r="R17" s="185" t="s">
        <v>416</v>
      </c>
      <c r="S17" s="185" t="s">
        <v>416</v>
      </c>
      <c r="T17" s="185" t="s">
        <v>416</v>
      </c>
      <c r="U17" s="193" t="s">
        <v>416</v>
      </c>
      <c r="V17" s="194">
        <f>SUM(Table24[[#This Row],[A1toA3_GWP]:[C1toC4_GWP]])</f>
        <v>90.651801029159515</v>
      </c>
      <c r="W17" s="194"/>
      <c r="X17" s="194"/>
      <c r="Y17" s="194">
        <f>Table24[[#This Row],[Total_GWP]]*Table24[[#This Row],[DENSITY]]/1000</f>
        <v>211.4</v>
      </c>
      <c r="Z17" s="195">
        <f>183/Table24[[#This Row],[DENSITY]]*1000</f>
        <v>78.473413379073747</v>
      </c>
      <c r="AA17" s="196">
        <f>28.4/Table24[[#This Row],[DENSITY]]*1000</f>
        <v>12.178387650085762</v>
      </c>
      <c r="AB17" s="197"/>
      <c r="AC17" s="197"/>
      <c r="AD17" s="197"/>
      <c r="AE17" s="198"/>
      <c r="AF17" s="178">
        <f ca="1">IF(OR($E17="Ecoinvent",$E17="Betonsortenrechner",$E17="KBOB",$V17&lt;=0,Table24[[#This Row],[VALID_TO]]&lt;=TODAY()),0,1)</f>
        <v>0</v>
      </c>
      <c r="AG17" s="178">
        <v>1</v>
      </c>
      <c r="AH17" s="178">
        <f ca="1">IF(AND(Table24[[#This Row],[ValidEPD]]&lt;&gt;0,Table24[[#This Row],[Man_Ausschluss]]&lt;&gt;0),1,0)</f>
        <v>0</v>
      </c>
      <c r="AI17" s="178" cm="1">
        <f t="array" aca="1" ref="AI17" ca="1">IF(Table24[[#This Row],[gültig]]&lt;&gt;0,
IF(V17=MIN(_xlfn._xlws.FILTER($V$2:$V$282,($P$2:$P$282=P17))),1,
IF(V17=MAX(_xlfn._xlws.FILTER($V$2:$V$282,($P$2:$P$282=P17))),1,0)),0)</f>
        <v>0</v>
      </c>
      <c r="AJ17" s="180"/>
      <c r="AK17" s="12"/>
      <c r="AL17" s="12"/>
    </row>
    <row r="18" spans="1:38" s="13" customFormat="1" x14ac:dyDescent="0.45">
      <c r="A18" s="182" t="s">
        <v>348</v>
      </c>
      <c r="B18" s="183"/>
      <c r="C18" s="109">
        <v>17</v>
      </c>
      <c r="D18" s="184" t="s">
        <v>416</v>
      </c>
      <c r="E18" s="185" t="s">
        <v>3</v>
      </c>
      <c r="F18" s="185"/>
      <c r="G18" s="186" t="s">
        <v>416</v>
      </c>
      <c r="H18" s="187" t="s">
        <v>416</v>
      </c>
      <c r="I18" s="187" t="s">
        <v>52</v>
      </c>
      <c r="J18" s="188" t="s">
        <v>416</v>
      </c>
      <c r="K18" s="189" t="s">
        <v>34</v>
      </c>
      <c r="L18" s="190" t="s">
        <v>324</v>
      </c>
      <c r="M18" s="184" t="s">
        <v>316</v>
      </c>
      <c r="N18" s="191" t="s">
        <v>317</v>
      </c>
      <c r="O18" s="192" t="s">
        <v>2</v>
      </c>
      <c r="P18" s="187" t="s">
        <v>7</v>
      </c>
      <c r="Q18" s="187">
        <v>2242</v>
      </c>
      <c r="R18" s="185" t="s">
        <v>416</v>
      </c>
      <c r="S18" s="185" t="s">
        <v>416</v>
      </c>
      <c r="T18" s="185" t="s">
        <v>416</v>
      </c>
      <c r="U18" s="193" t="s">
        <v>416</v>
      </c>
      <c r="V18" s="194">
        <f>SUM(Table24[[#This Row],[A1toA3_GWP]:[C1toC4_GWP]])</f>
        <v>100.08920606601248</v>
      </c>
      <c r="W18" s="194"/>
      <c r="X18" s="194"/>
      <c r="Y18" s="194">
        <f>Table24[[#This Row],[Total_GWP]]*Table24[[#This Row],[DENSITY]]/1000</f>
        <v>224.39999999999998</v>
      </c>
      <c r="Z18" s="195">
        <f>196/Table24[[#This Row],[DENSITY]]*1000</f>
        <v>87.421944692239066</v>
      </c>
      <c r="AA18" s="196">
        <f>28.4/Table24[[#This Row],[DENSITY]]*1000</f>
        <v>12.667261373773416</v>
      </c>
      <c r="AB18" s="197"/>
      <c r="AC18" s="197"/>
      <c r="AD18" s="197"/>
      <c r="AE18" s="198"/>
      <c r="AF18" s="178">
        <f ca="1">IF(OR($E18="Ecoinvent",$E18="Betonsortenrechner",$E18="KBOB",$V18&lt;=0,Table24[[#This Row],[VALID_TO]]&lt;=TODAY()),0,1)</f>
        <v>0</v>
      </c>
      <c r="AG18" s="178">
        <v>1</v>
      </c>
      <c r="AH18" s="178">
        <f ca="1">IF(AND(Table24[[#This Row],[ValidEPD]]&lt;&gt;0,Table24[[#This Row],[Man_Ausschluss]]&lt;&gt;0),1,0)</f>
        <v>0</v>
      </c>
      <c r="AI18" s="178" cm="1">
        <f t="array" aca="1" ref="AI18" ca="1">IF(Table24[[#This Row],[gültig]]&lt;&gt;0,
IF(V18=MIN(_xlfn._xlws.FILTER($V$2:$V$282,($P$2:$P$282=P18))),1,
IF(V18=MAX(_xlfn._xlws.FILTER($V$2:$V$282,($P$2:$P$282=P18))),1,0)),0)</f>
        <v>0</v>
      </c>
      <c r="AJ18" s="180"/>
      <c r="AK18" s="12"/>
      <c r="AL18" s="12"/>
    </row>
    <row r="19" spans="1:38" s="13" customFormat="1" x14ac:dyDescent="0.45">
      <c r="A19" s="182" t="s">
        <v>349</v>
      </c>
      <c r="B19" s="183"/>
      <c r="C19" s="109">
        <v>18</v>
      </c>
      <c r="D19" s="184" t="s">
        <v>416</v>
      </c>
      <c r="E19" s="185" t="s">
        <v>3</v>
      </c>
      <c r="F19" s="185"/>
      <c r="G19" s="186" t="s">
        <v>416</v>
      </c>
      <c r="H19" s="187" t="s">
        <v>416</v>
      </c>
      <c r="I19" s="187" t="s">
        <v>52</v>
      </c>
      <c r="J19" s="188" t="s">
        <v>416</v>
      </c>
      <c r="K19" s="189" t="s">
        <v>41</v>
      </c>
      <c r="L19" s="190" t="s">
        <v>324</v>
      </c>
      <c r="M19" s="184" t="s">
        <v>316</v>
      </c>
      <c r="N19" s="191" t="s">
        <v>317</v>
      </c>
      <c r="O19" s="192" t="s">
        <v>2</v>
      </c>
      <c r="P19" s="187" t="s">
        <v>7</v>
      </c>
      <c r="Q19" s="187">
        <v>2242</v>
      </c>
      <c r="R19" s="185" t="s">
        <v>416</v>
      </c>
      <c r="S19" s="185" t="s">
        <v>416</v>
      </c>
      <c r="T19" s="185" t="s">
        <v>416</v>
      </c>
      <c r="U19" s="193" t="s">
        <v>416</v>
      </c>
      <c r="V19" s="194">
        <f>SUM(Table24[[#This Row],[A1toA3_GWP]:[C1toC4_GWP]])</f>
        <v>100.08920606601248</v>
      </c>
      <c r="W19" s="194"/>
      <c r="X19" s="194"/>
      <c r="Y19" s="194">
        <f>Table24[[#This Row],[Total_GWP]]*Table24[[#This Row],[DENSITY]]/1000</f>
        <v>224.39999999999998</v>
      </c>
      <c r="Z19" s="195">
        <f>196/Table24[[#This Row],[DENSITY]]*1000</f>
        <v>87.421944692239066</v>
      </c>
      <c r="AA19" s="196">
        <f>28.4/Table24[[#This Row],[DENSITY]]*1000</f>
        <v>12.667261373773416</v>
      </c>
      <c r="AB19" s="197"/>
      <c r="AC19" s="197"/>
      <c r="AD19" s="197"/>
      <c r="AE19" s="198"/>
      <c r="AF19" s="178">
        <f ca="1">IF(OR($E19="Ecoinvent",$E19="Betonsortenrechner",$E19="KBOB",$V19&lt;=0,Table24[[#This Row],[VALID_TO]]&lt;=TODAY()),0,1)</f>
        <v>0</v>
      </c>
      <c r="AG19" s="178">
        <v>1</v>
      </c>
      <c r="AH19" s="178">
        <f ca="1">IF(AND(Table24[[#This Row],[ValidEPD]]&lt;&gt;0,Table24[[#This Row],[Man_Ausschluss]]&lt;&gt;0),1,0)</f>
        <v>0</v>
      </c>
      <c r="AI19" s="178" cm="1">
        <f t="array" aca="1" ref="AI19" ca="1">IF(Table24[[#This Row],[gültig]]&lt;&gt;0,
IF(V19=MIN(_xlfn._xlws.FILTER($V$2:$V$282,($P$2:$P$282=P19))),1,
IF(V19=MAX(_xlfn._xlws.FILTER($V$2:$V$282,($P$2:$P$282=P19))),1,0)),0)</f>
        <v>0</v>
      </c>
      <c r="AJ19" s="180"/>
      <c r="AK19" s="12"/>
      <c r="AL19" s="12"/>
    </row>
    <row r="20" spans="1:38" s="13" customFormat="1" x14ac:dyDescent="0.45">
      <c r="A20" s="182" t="s">
        <v>350</v>
      </c>
      <c r="B20" s="183"/>
      <c r="C20" s="109">
        <v>19</v>
      </c>
      <c r="D20" s="184" t="s">
        <v>416</v>
      </c>
      <c r="E20" s="185" t="s">
        <v>3</v>
      </c>
      <c r="F20" s="185"/>
      <c r="G20" s="186" t="s">
        <v>416</v>
      </c>
      <c r="H20" s="187" t="s">
        <v>416</v>
      </c>
      <c r="I20" s="187" t="s">
        <v>52</v>
      </c>
      <c r="J20" s="188" t="s">
        <v>416</v>
      </c>
      <c r="K20" s="189" t="s">
        <v>5</v>
      </c>
      <c r="L20" s="190" t="s">
        <v>324</v>
      </c>
      <c r="M20" s="184" t="s">
        <v>316</v>
      </c>
      <c r="N20" s="191" t="s">
        <v>317</v>
      </c>
      <c r="O20" s="192" t="s">
        <v>2</v>
      </c>
      <c r="P20" s="187" t="s">
        <v>7</v>
      </c>
      <c r="Q20" s="187">
        <v>2242</v>
      </c>
      <c r="R20" s="185" t="s">
        <v>416</v>
      </c>
      <c r="S20" s="185" t="s">
        <v>416</v>
      </c>
      <c r="T20" s="185" t="s">
        <v>416</v>
      </c>
      <c r="U20" s="193" t="s">
        <v>416</v>
      </c>
      <c r="V20" s="194">
        <f>SUM(Table24[[#This Row],[A1toA3_GWP]:[C1toC4_GWP]])</f>
        <v>100.08920606601248</v>
      </c>
      <c r="W20" s="194"/>
      <c r="X20" s="194"/>
      <c r="Y20" s="194">
        <f>Table24[[#This Row],[Total_GWP]]*Table24[[#This Row],[DENSITY]]/1000</f>
        <v>224.39999999999998</v>
      </c>
      <c r="Z20" s="195">
        <f>196/Table24[[#This Row],[DENSITY]]*1000</f>
        <v>87.421944692239066</v>
      </c>
      <c r="AA20" s="196">
        <f>28.4/Table24[[#This Row],[DENSITY]]*1000</f>
        <v>12.667261373773416</v>
      </c>
      <c r="AB20" s="197"/>
      <c r="AC20" s="197"/>
      <c r="AD20" s="197"/>
      <c r="AE20" s="198"/>
      <c r="AF20" s="178">
        <f ca="1">IF(OR($E20="Ecoinvent",$E20="Betonsortenrechner",$E20="KBOB",$V20&lt;=0,Table24[[#This Row],[VALID_TO]]&lt;=TODAY()),0,1)</f>
        <v>0</v>
      </c>
      <c r="AG20" s="178">
        <v>1</v>
      </c>
      <c r="AH20" s="178">
        <f ca="1">IF(AND(Table24[[#This Row],[ValidEPD]]&lt;&gt;0,Table24[[#This Row],[Man_Ausschluss]]&lt;&gt;0),1,0)</f>
        <v>0</v>
      </c>
      <c r="AI20" s="178" cm="1">
        <f t="array" aca="1" ref="AI20" ca="1">IF(Table24[[#This Row],[gültig]]&lt;&gt;0,
IF(V20=MIN(_xlfn._xlws.FILTER($V$2:$V$282,($P$2:$P$282=P20))),1,
IF(V20=MAX(_xlfn._xlws.FILTER($V$2:$V$282,($P$2:$P$282=P20))),1,0)),0)</f>
        <v>0</v>
      </c>
      <c r="AJ20" s="180"/>
      <c r="AK20" s="12"/>
      <c r="AL20" s="12"/>
    </row>
    <row r="21" spans="1:38" s="13" customFormat="1" x14ac:dyDescent="0.45">
      <c r="A21" s="182" t="s">
        <v>351</v>
      </c>
      <c r="B21" s="183"/>
      <c r="C21" s="109">
        <v>20</v>
      </c>
      <c r="D21" s="184" t="s">
        <v>416</v>
      </c>
      <c r="E21" s="185" t="s">
        <v>3</v>
      </c>
      <c r="F21" s="185"/>
      <c r="G21" s="186" t="s">
        <v>416</v>
      </c>
      <c r="H21" s="187" t="s">
        <v>416</v>
      </c>
      <c r="I21" s="187" t="s">
        <v>52</v>
      </c>
      <c r="J21" s="188" t="s">
        <v>416</v>
      </c>
      <c r="K21" s="189" t="s">
        <v>34</v>
      </c>
      <c r="L21" s="190" t="s">
        <v>324</v>
      </c>
      <c r="M21" s="184" t="s">
        <v>316</v>
      </c>
      <c r="N21" s="191" t="s">
        <v>317</v>
      </c>
      <c r="O21" s="192" t="s">
        <v>42</v>
      </c>
      <c r="P21" s="187" t="s">
        <v>7</v>
      </c>
      <c r="Q21" s="187">
        <v>2242</v>
      </c>
      <c r="R21" s="185" t="s">
        <v>416</v>
      </c>
      <c r="S21" s="185" t="s">
        <v>416</v>
      </c>
      <c r="T21" s="185" t="s">
        <v>416</v>
      </c>
      <c r="U21" s="193" t="s">
        <v>416</v>
      </c>
      <c r="V21" s="194">
        <f>SUM(Table24[[#This Row],[A1toA3_GWP]:[C1toC4_GWP]])</f>
        <v>94.736842105263165</v>
      </c>
      <c r="W21" s="194"/>
      <c r="X21" s="194"/>
      <c r="Y21" s="194">
        <f>Table24[[#This Row],[Total_GWP]]*Table24[[#This Row],[DENSITY]]/1000</f>
        <v>212.40000000000003</v>
      </c>
      <c r="Z21" s="195">
        <f>184/Table24[[#This Row],[DENSITY]]*1000</f>
        <v>82.069580731489751</v>
      </c>
      <c r="AA21" s="196">
        <f>28.4/Table24[[#This Row],[DENSITY]]*1000</f>
        <v>12.667261373773416</v>
      </c>
      <c r="AB21" s="197"/>
      <c r="AC21" s="197"/>
      <c r="AD21" s="197"/>
      <c r="AE21" s="198"/>
      <c r="AF21" s="178">
        <f ca="1">IF(OR($E21="Ecoinvent",$E21="Betonsortenrechner",$E21="KBOB",$V21&lt;=0,Table24[[#This Row],[VALID_TO]]&lt;=TODAY()),0,1)</f>
        <v>0</v>
      </c>
      <c r="AG21" s="178">
        <v>1</v>
      </c>
      <c r="AH21" s="178">
        <f ca="1">IF(AND(Table24[[#This Row],[ValidEPD]]&lt;&gt;0,Table24[[#This Row],[Man_Ausschluss]]&lt;&gt;0),1,0)</f>
        <v>0</v>
      </c>
      <c r="AI21" s="178" cm="1">
        <f t="array" aca="1" ref="AI21" ca="1">IF(Table24[[#This Row],[gültig]]&lt;&gt;0,
IF(V21=MIN(_xlfn._xlws.FILTER($V$2:$V$282,($P$2:$P$282=P21))),1,
IF(V21=MAX(_xlfn._xlws.FILTER($V$2:$V$282,($P$2:$P$282=P21))),1,0)),0)</f>
        <v>0</v>
      </c>
      <c r="AJ21" s="180"/>
      <c r="AK21" s="12"/>
      <c r="AL21" s="12"/>
    </row>
    <row r="22" spans="1:38" s="13" customFormat="1" x14ac:dyDescent="0.45">
      <c r="A22" s="182" t="s">
        <v>352</v>
      </c>
      <c r="B22" s="183"/>
      <c r="C22" s="109">
        <v>21</v>
      </c>
      <c r="D22" s="184" t="s">
        <v>416</v>
      </c>
      <c r="E22" s="185" t="s">
        <v>3</v>
      </c>
      <c r="F22" s="185"/>
      <c r="G22" s="186" t="s">
        <v>416</v>
      </c>
      <c r="H22" s="187" t="s">
        <v>416</v>
      </c>
      <c r="I22" s="187" t="s">
        <v>52</v>
      </c>
      <c r="J22" s="188" t="s">
        <v>416</v>
      </c>
      <c r="K22" s="189" t="s">
        <v>36</v>
      </c>
      <c r="L22" s="190" t="s">
        <v>324</v>
      </c>
      <c r="M22" s="184" t="s">
        <v>316</v>
      </c>
      <c r="N22" s="191" t="s">
        <v>317</v>
      </c>
      <c r="O22" s="192" t="s">
        <v>2</v>
      </c>
      <c r="P22" s="187" t="s">
        <v>12</v>
      </c>
      <c r="Q22" s="187">
        <v>2332</v>
      </c>
      <c r="R22" s="185" t="s">
        <v>416</v>
      </c>
      <c r="S22" s="185" t="s">
        <v>416</v>
      </c>
      <c r="T22" s="185" t="s">
        <v>416</v>
      </c>
      <c r="U22" s="193" t="s">
        <v>416</v>
      </c>
      <c r="V22" s="194">
        <f>SUM(Table24[[#This Row],[A1toA3_GWP]:[C1toC4_GWP]])</f>
        <v>102.22984562607205</v>
      </c>
      <c r="W22" s="194"/>
      <c r="X22" s="194"/>
      <c r="Y22" s="194">
        <f>Table24[[#This Row],[Total_GWP]]*Table24[[#This Row],[DENSITY]]/1000</f>
        <v>238.40000000000003</v>
      </c>
      <c r="Z22" s="195">
        <f>210/Table24[[#This Row],[DENSITY]]*1000</f>
        <v>90.051457975986281</v>
      </c>
      <c r="AA22" s="196">
        <f>28.4/Table24[[#This Row],[DENSITY]]*1000</f>
        <v>12.178387650085762</v>
      </c>
      <c r="AB22" s="197"/>
      <c r="AC22" s="197"/>
      <c r="AD22" s="197"/>
      <c r="AE22" s="198"/>
      <c r="AF22" s="178">
        <f ca="1">IF(OR($E22="Ecoinvent",$E22="Betonsortenrechner",$E22="KBOB",$V22&lt;=0,Table24[[#This Row],[VALID_TO]]&lt;=TODAY()),0,1)</f>
        <v>0</v>
      </c>
      <c r="AG22" s="178">
        <v>1</v>
      </c>
      <c r="AH22" s="178">
        <f ca="1">IF(AND(Table24[[#This Row],[ValidEPD]]&lt;&gt;0,Table24[[#This Row],[Man_Ausschluss]]&lt;&gt;0),1,0)</f>
        <v>0</v>
      </c>
      <c r="AI22" s="178" cm="1">
        <f t="array" aca="1" ref="AI22" ca="1">IF(Table24[[#This Row],[gültig]]&lt;&gt;0,
IF(V22=MIN(_xlfn._xlws.FILTER($V$2:$V$282,($P$2:$P$282=P22))),1,
IF(V22=MAX(_xlfn._xlws.FILTER($V$2:$V$282,($P$2:$P$282=P22))),1,0)),0)</f>
        <v>0</v>
      </c>
      <c r="AJ22" s="180"/>
      <c r="AK22" s="12"/>
      <c r="AL22" s="12"/>
    </row>
    <row r="23" spans="1:38" s="13" customFormat="1" x14ac:dyDescent="0.45">
      <c r="A23" s="182" t="s">
        <v>353</v>
      </c>
      <c r="B23" s="183"/>
      <c r="C23" s="109">
        <v>22</v>
      </c>
      <c r="D23" s="184" t="s">
        <v>416</v>
      </c>
      <c r="E23" s="185" t="s">
        <v>3</v>
      </c>
      <c r="F23" s="185"/>
      <c r="G23" s="186" t="s">
        <v>416</v>
      </c>
      <c r="H23" s="187" t="s">
        <v>416</v>
      </c>
      <c r="I23" s="187" t="s">
        <v>52</v>
      </c>
      <c r="J23" s="188" t="s">
        <v>416</v>
      </c>
      <c r="K23" s="189" t="s">
        <v>36</v>
      </c>
      <c r="L23" s="190" t="s">
        <v>324</v>
      </c>
      <c r="M23" s="184" t="s">
        <v>316</v>
      </c>
      <c r="N23" s="191" t="s">
        <v>317</v>
      </c>
      <c r="O23" s="192" t="s">
        <v>42</v>
      </c>
      <c r="P23" s="187" t="s">
        <v>12</v>
      </c>
      <c r="Q23" s="187">
        <v>2332</v>
      </c>
      <c r="R23" s="185" t="s">
        <v>416</v>
      </c>
      <c r="S23" s="185" t="s">
        <v>416</v>
      </c>
      <c r="T23" s="185" t="s">
        <v>416</v>
      </c>
      <c r="U23" s="193" t="s">
        <v>416</v>
      </c>
      <c r="V23" s="194">
        <f>SUM(Table24[[#This Row],[A1toA3_GWP]:[C1toC4_GWP]])</f>
        <v>96.655231560891949</v>
      </c>
      <c r="W23" s="194"/>
      <c r="X23" s="194"/>
      <c r="Y23" s="194">
        <f>Table24[[#This Row],[Total_GWP]]*Table24[[#This Row],[DENSITY]]/1000</f>
        <v>225.40000000000003</v>
      </c>
      <c r="Z23" s="195">
        <f>197/Table24[[#This Row],[DENSITY]]*1000</f>
        <v>84.476843910806181</v>
      </c>
      <c r="AA23" s="196">
        <f>28.4/Table24[[#This Row],[DENSITY]]*1000</f>
        <v>12.178387650085762</v>
      </c>
      <c r="AB23" s="197"/>
      <c r="AC23" s="197"/>
      <c r="AD23" s="197"/>
      <c r="AE23" s="198"/>
      <c r="AF23" s="178">
        <f ca="1">IF(OR($E23="Ecoinvent",$E23="Betonsortenrechner",$E23="KBOB",$V23&lt;=0,Table24[[#This Row],[VALID_TO]]&lt;=TODAY()),0,1)</f>
        <v>0</v>
      </c>
      <c r="AG23" s="178">
        <v>1</v>
      </c>
      <c r="AH23" s="178">
        <f ca="1">IF(AND(Table24[[#This Row],[ValidEPD]]&lt;&gt;0,Table24[[#This Row],[Man_Ausschluss]]&lt;&gt;0),1,0)</f>
        <v>0</v>
      </c>
      <c r="AI23" s="178" cm="1">
        <f t="array" aca="1" ref="AI23" ca="1">IF(Table24[[#This Row],[gültig]]&lt;&gt;0,
IF(V23=MIN(_xlfn._xlws.FILTER($V$2:$V$282,($P$2:$P$282=P23))),1,
IF(V23=MAX(_xlfn._xlws.FILTER($V$2:$V$282,($P$2:$P$282=P23))),1,0)),0)</f>
        <v>0</v>
      </c>
      <c r="AJ23" s="180"/>
      <c r="AK23" s="12"/>
      <c r="AL23" s="12"/>
    </row>
    <row r="24" spans="1:38" x14ac:dyDescent="0.45">
      <c r="A24" s="199" t="s">
        <v>194</v>
      </c>
      <c r="B24" s="200"/>
      <c r="C24" s="110">
        <v>23</v>
      </c>
      <c r="D24" s="201" t="s">
        <v>32</v>
      </c>
      <c r="E24" s="202" t="s">
        <v>43</v>
      </c>
      <c r="F24" s="202"/>
      <c r="G24" s="203">
        <v>45068</v>
      </c>
      <c r="H24" s="203">
        <v>46894</v>
      </c>
      <c r="I24" s="96" t="s">
        <v>52</v>
      </c>
      <c r="J24" s="204" t="s">
        <v>52</v>
      </c>
      <c r="K24" s="205" t="s">
        <v>31</v>
      </c>
      <c r="L24" s="206" t="s">
        <v>324</v>
      </c>
      <c r="M24" s="201" t="s">
        <v>316</v>
      </c>
      <c r="N24" s="207" t="s">
        <v>317</v>
      </c>
      <c r="O24" s="208" t="s">
        <v>416</v>
      </c>
      <c r="P24" s="96" t="s">
        <v>28</v>
      </c>
      <c r="Q24" s="96">
        <v>2440</v>
      </c>
      <c r="R24" s="202" t="s">
        <v>44</v>
      </c>
      <c r="S24" s="202">
        <v>32</v>
      </c>
      <c r="T24" s="202">
        <v>0.1</v>
      </c>
      <c r="U24" s="209" t="s">
        <v>45</v>
      </c>
      <c r="V24" s="92">
        <f>SUM(Table24[[#This Row],[A1toA3_GWP]:[C1toC4_GWP]])</f>
        <v>77.002049180327873</v>
      </c>
      <c r="W24" s="92"/>
      <c r="X24" s="92"/>
      <c r="Y24" s="92">
        <f>Table24[[#This Row],[Total_GWP]]*Table24[[#This Row],[DENSITY]]/1000</f>
        <v>187.88499999999999</v>
      </c>
      <c r="Z24" s="149">
        <f>170.624/Table24[[#This Row],[DENSITY]]*1000</f>
        <v>69.927868852459014</v>
      </c>
      <c r="AA24" s="81">
        <f>(7.278+9.774+0.209)/Table24[[#This Row],[DENSITY]]*1000</f>
        <v>7.0741803278688522</v>
      </c>
      <c r="AB24" s="83"/>
      <c r="AC24" s="83"/>
      <c r="AD24" s="83"/>
      <c r="AE24" s="85"/>
      <c r="AF24" s="178">
        <f ca="1">IF(OR($E24="Ecoinvent",$E24="Betonsortenrechner",$E24="KBOB",$V24&lt;=0,Table24[[#This Row],[VALID_TO]]&lt;=TODAY()),0,1)</f>
        <v>1</v>
      </c>
      <c r="AG24" s="178">
        <v>1</v>
      </c>
      <c r="AH24" s="178">
        <f ca="1">IF(AND(Table24[[#This Row],[ValidEPD]]&lt;&gt;0,Table24[[#This Row],[Man_Ausschluss]]&lt;&gt;0),1,0)</f>
        <v>1</v>
      </c>
      <c r="AI24" s="178" cm="1">
        <f t="array" aca="1" ref="AI24" ca="1">IF(Table24[[#This Row],[gültig]]&lt;&gt;0,
IF(V24=MIN(_xlfn._xlws.FILTER($V$2:$V$282,($P$2:$P$282=P24))),1,
IF(V24=MAX(_xlfn._xlws.FILTER($V$2:$V$282,($P$2:$P$282=P24))),1,0)),0)</f>
        <v>0</v>
      </c>
      <c r="AJ24" s="180"/>
      <c r="AK24" s="2"/>
      <c r="AL24" s="2"/>
    </row>
    <row r="25" spans="1:38" x14ac:dyDescent="0.45">
      <c r="A25" s="199" t="s">
        <v>195</v>
      </c>
      <c r="B25" s="200"/>
      <c r="C25" s="111">
        <v>24</v>
      </c>
      <c r="D25" s="201" t="s">
        <v>33</v>
      </c>
      <c r="E25" s="202" t="s">
        <v>43</v>
      </c>
      <c r="F25" s="202"/>
      <c r="G25" s="203">
        <v>45068</v>
      </c>
      <c r="H25" s="203">
        <v>46894</v>
      </c>
      <c r="I25" s="96" t="s">
        <v>52</v>
      </c>
      <c r="J25" s="204" t="s">
        <v>52</v>
      </c>
      <c r="K25" s="205" t="s">
        <v>34</v>
      </c>
      <c r="L25" s="206" t="s">
        <v>324</v>
      </c>
      <c r="M25" s="201" t="s">
        <v>316</v>
      </c>
      <c r="N25" s="207" t="s">
        <v>317</v>
      </c>
      <c r="O25" s="208" t="s">
        <v>416</v>
      </c>
      <c r="P25" s="96" t="s">
        <v>7</v>
      </c>
      <c r="Q25" s="96">
        <v>2439</v>
      </c>
      <c r="R25" s="202" t="s">
        <v>81</v>
      </c>
      <c r="S25" s="202">
        <v>32</v>
      </c>
      <c r="T25" s="202">
        <v>0.1</v>
      </c>
      <c r="U25" s="209" t="s">
        <v>45</v>
      </c>
      <c r="V25" s="92">
        <f>SUM(Table24[[#This Row],[A1toA3_GWP]:[C1toC4_GWP]])</f>
        <v>78.746617466174669</v>
      </c>
      <c r="W25" s="92"/>
      <c r="X25" s="92"/>
      <c r="Y25" s="92">
        <f>Table24[[#This Row],[Total_GWP]]*Table24[[#This Row],[DENSITY]]/1000</f>
        <v>192.06300000000002</v>
      </c>
      <c r="Z25" s="149">
        <f>174.764/Table24[[#This Row],[DENSITY]]*1000</f>
        <v>71.653956539565399</v>
      </c>
      <c r="AA25" s="81">
        <f>(7.278+9.812+0.209)/Table24[[#This Row],[DENSITY]]*1000</f>
        <v>7.0926609266092653</v>
      </c>
      <c r="AB25" s="83"/>
      <c r="AC25" s="83"/>
      <c r="AD25" s="83"/>
      <c r="AE25" s="85"/>
      <c r="AF25" s="178">
        <f ca="1">IF(OR($E25="Ecoinvent",$E25="Betonsortenrechner",$E25="KBOB",$V25&lt;=0,Table24[[#This Row],[VALID_TO]]&lt;=TODAY()),0,1)</f>
        <v>1</v>
      </c>
      <c r="AG25" s="178">
        <v>1</v>
      </c>
      <c r="AH25" s="178">
        <f ca="1">IF(AND(Table24[[#This Row],[ValidEPD]]&lt;&gt;0,Table24[[#This Row],[Man_Ausschluss]]&lt;&gt;0),1,0)</f>
        <v>1</v>
      </c>
      <c r="AI25" s="178" cm="1">
        <f t="array" aca="1" ref="AI25" ca="1">IF(Table24[[#This Row],[gültig]]&lt;&gt;0,
IF(V25=MIN(_xlfn._xlws.FILTER($V$2:$V$282,($P$2:$P$282=P25))),1,
IF(V25=MAX(_xlfn._xlws.FILTER($V$2:$V$282,($P$2:$P$282=P25))),1,0)),0)</f>
        <v>0</v>
      </c>
      <c r="AJ25" s="180"/>
      <c r="AK25" s="2"/>
      <c r="AL25" s="2"/>
    </row>
    <row r="26" spans="1:38" x14ac:dyDescent="0.45">
      <c r="A26" s="199" t="s">
        <v>196</v>
      </c>
      <c r="B26" s="200"/>
      <c r="C26" s="111">
        <v>25</v>
      </c>
      <c r="D26" s="201" t="s">
        <v>35</v>
      </c>
      <c r="E26" s="202" t="s">
        <v>43</v>
      </c>
      <c r="F26" s="202"/>
      <c r="G26" s="203">
        <v>45068</v>
      </c>
      <c r="H26" s="203">
        <v>46894</v>
      </c>
      <c r="I26" s="96" t="s">
        <v>52</v>
      </c>
      <c r="J26" s="204" t="s">
        <v>52</v>
      </c>
      <c r="K26" s="205" t="s">
        <v>36</v>
      </c>
      <c r="L26" s="206" t="s">
        <v>324</v>
      </c>
      <c r="M26" s="201" t="s">
        <v>316</v>
      </c>
      <c r="N26" s="207" t="s">
        <v>317</v>
      </c>
      <c r="O26" s="208" t="s">
        <v>416</v>
      </c>
      <c r="P26" s="96" t="s">
        <v>12</v>
      </c>
      <c r="Q26" s="96">
        <v>2347</v>
      </c>
      <c r="R26" s="202" t="s">
        <v>82</v>
      </c>
      <c r="S26" s="202">
        <v>32</v>
      </c>
      <c r="T26" s="202">
        <v>0.1</v>
      </c>
      <c r="U26" s="209" t="s">
        <v>83</v>
      </c>
      <c r="V26" s="92">
        <f>SUM(Table24[[#This Row],[A1toA3_GWP]:[C1toC4_GWP]])</f>
        <v>87.201533873029405</v>
      </c>
      <c r="W26" s="92"/>
      <c r="X26" s="92"/>
      <c r="Y26" s="92">
        <f>Table24[[#This Row],[Total_GWP]]*Table24[[#This Row],[DENSITY]]/1000</f>
        <v>204.66200000000001</v>
      </c>
      <c r="Z26" s="149">
        <f>187.792/Table24[[#This Row],[DENSITY]]*1000</f>
        <v>80.013634426927993</v>
      </c>
      <c r="AA26" s="81">
        <f>(7.278+9.392+0.2)/Table24[[#This Row],[DENSITY]]*1000</f>
        <v>7.1878994461014054</v>
      </c>
      <c r="AB26" s="83"/>
      <c r="AC26" s="83"/>
      <c r="AD26" s="83"/>
      <c r="AE26" s="85"/>
      <c r="AF26" s="178">
        <f ca="1">IF(OR($E26="Ecoinvent",$E26="Betonsortenrechner",$E26="KBOB",$V26&lt;=0,Table24[[#This Row],[VALID_TO]]&lt;=TODAY()),0,1)</f>
        <v>1</v>
      </c>
      <c r="AG26" s="178">
        <v>1</v>
      </c>
      <c r="AH26" s="178">
        <f ca="1">IF(AND(Table24[[#This Row],[ValidEPD]]&lt;&gt;0,Table24[[#This Row],[Man_Ausschluss]]&lt;&gt;0),1,0)</f>
        <v>1</v>
      </c>
      <c r="AI26" s="178" cm="1">
        <f t="array" aca="1" ref="AI26" ca="1">IF(Table24[[#This Row],[gültig]]&lt;&gt;0,
IF(V26=MIN(_xlfn._xlws.FILTER($V$2:$V$282,($P$2:$P$282=P26))),1,
IF(V26=MAX(_xlfn._xlws.FILTER($V$2:$V$282,($P$2:$P$282=P26))),1,0)),0)</f>
        <v>0</v>
      </c>
      <c r="AJ26" s="180"/>
      <c r="AK26" s="2"/>
      <c r="AL26" s="2"/>
    </row>
    <row r="27" spans="1:38" x14ac:dyDescent="0.45">
      <c r="A27" s="199" t="s">
        <v>197</v>
      </c>
      <c r="B27" s="200"/>
      <c r="C27" s="111">
        <v>26</v>
      </c>
      <c r="D27" s="201" t="s">
        <v>84</v>
      </c>
      <c r="E27" s="202" t="s">
        <v>43</v>
      </c>
      <c r="F27" s="202"/>
      <c r="G27" s="203">
        <v>45068</v>
      </c>
      <c r="H27" s="203">
        <v>46894</v>
      </c>
      <c r="I27" s="96" t="s">
        <v>52</v>
      </c>
      <c r="J27" s="204" t="s">
        <v>52</v>
      </c>
      <c r="K27" s="205" t="s">
        <v>85</v>
      </c>
      <c r="L27" s="206" t="s">
        <v>324</v>
      </c>
      <c r="M27" s="201" t="s">
        <v>316</v>
      </c>
      <c r="N27" s="207" t="s">
        <v>317</v>
      </c>
      <c r="O27" s="208" t="s">
        <v>416</v>
      </c>
      <c r="P27" s="96" t="s">
        <v>7</v>
      </c>
      <c r="Q27" s="96">
        <v>2437</v>
      </c>
      <c r="R27" s="202" t="s">
        <v>86</v>
      </c>
      <c r="S27" s="202">
        <v>32</v>
      </c>
      <c r="T27" s="202">
        <v>0.1</v>
      </c>
      <c r="U27" s="209" t="s">
        <v>83</v>
      </c>
      <c r="V27" s="92">
        <f>SUM(Table24[[#This Row],[A1toA3_GWP]:[C1toC4_GWP]])</f>
        <v>84.09766105867871</v>
      </c>
      <c r="W27" s="92"/>
      <c r="X27" s="92"/>
      <c r="Y27" s="92">
        <f>Table24[[#This Row],[Total_GWP]]*Table24[[#This Row],[DENSITY]]/1000</f>
        <v>204.94600000000003</v>
      </c>
      <c r="Z27" s="149">
        <f>187.822/Table24[[#This Row],[DENSITY]]*1000</f>
        <v>77.070988920804268</v>
      </c>
      <c r="AA27" s="81">
        <f>(7.278+9.64+0.206)/Table24[[#This Row],[DENSITY]]*1000</f>
        <v>7.026672137874435</v>
      </c>
      <c r="AB27" s="83"/>
      <c r="AC27" s="83"/>
      <c r="AD27" s="83"/>
      <c r="AE27" s="85"/>
      <c r="AF27" s="178">
        <f ca="1">IF(OR($E27="Ecoinvent",$E27="Betonsortenrechner",$E27="KBOB",$V27&lt;=0,Table24[[#This Row],[VALID_TO]]&lt;=TODAY()),0,1)</f>
        <v>1</v>
      </c>
      <c r="AG27" s="178">
        <v>0</v>
      </c>
      <c r="AH27" s="178">
        <f ca="1">IF(AND(Table24[[#This Row],[ValidEPD]]&lt;&gt;0,Table24[[#This Row],[Man_Ausschluss]]&lt;&gt;0),1,0)</f>
        <v>0</v>
      </c>
      <c r="AI27" s="178" cm="1">
        <f t="array" aca="1" ref="AI27" ca="1">IF(Table24[[#This Row],[gültig]]&lt;&gt;0,
IF(V27=MIN(_xlfn._xlws.FILTER($V$2:$V$282,($P$2:$P$282=P27))),1,
IF(V27=MAX(_xlfn._xlws.FILTER($V$2:$V$282,($P$2:$P$282=P27))),1,0)),0)</f>
        <v>0</v>
      </c>
      <c r="AJ27" s="180"/>
      <c r="AK27" s="2"/>
      <c r="AL27" s="2"/>
    </row>
    <row r="28" spans="1:38" x14ac:dyDescent="0.45">
      <c r="A28" s="199" t="s">
        <v>198</v>
      </c>
      <c r="B28" s="200"/>
      <c r="C28" s="111">
        <v>27</v>
      </c>
      <c r="D28" s="201" t="s">
        <v>87</v>
      </c>
      <c r="E28" s="202" t="s">
        <v>43</v>
      </c>
      <c r="F28" s="202"/>
      <c r="G28" s="203">
        <v>45068</v>
      </c>
      <c r="H28" s="203">
        <v>46894</v>
      </c>
      <c r="I28" s="96" t="s">
        <v>52</v>
      </c>
      <c r="J28" s="204" t="s">
        <v>52</v>
      </c>
      <c r="K28" s="205" t="s">
        <v>88</v>
      </c>
      <c r="L28" s="206" t="s">
        <v>324</v>
      </c>
      <c r="M28" s="201" t="s">
        <v>316</v>
      </c>
      <c r="N28" s="207" t="s">
        <v>317</v>
      </c>
      <c r="O28" s="208" t="s">
        <v>416</v>
      </c>
      <c r="P28" s="96" t="s">
        <v>7</v>
      </c>
      <c r="Q28" s="96">
        <v>2400</v>
      </c>
      <c r="R28" s="202" t="s">
        <v>89</v>
      </c>
      <c r="S28" s="202">
        <v>32</v>
      </c>
      <c r="T28" s="202">
        <v>0.1</v>
      </c>
      <c r="U28" s="209" t="s">
        <v>83</v>
      </c>
      <c r="V28" s="92">
        <f>SUM(Table24[[#This Row],[A1toA3_GWP]:[C1toC4_GWP]])</f>
        <v>87.324999999999989</v>
      </c>
      <c r="W28" s="92"/>
      <c r="X28" s="92"/>
      <c r="Y28" s="92">
        <f>Table24[[#This Row],[Total_GWP]]*Table24[[#This Row],[DENSITY]]/1000</f>
        <v>209.57999999999998</v>
      </c>
      <c r="Z28" s="149">
        <f>192.159/Table24[[#This Row],[DENSITY]]*1000</f>
        <v>80.066249999999997</v>
      </c>
      <c r="AA28" s="81">
        <f>(7.278+9.931+0.212)/Table24[[#This Row],[DENSITY]]*1000</f>
        <v>7.2587499999999991</v>
      </c>
      <c r="AB28" s="83"/>
      <c r="AC28" s="83"/>
      <c r="AD28" s="83"/>
      <c r="AE28" s="85"/>
      <c r="AF28" s="178">
        <f ca="1">IF(OR($E28="Ecoinvent",$E28="Betonsortenrechner",$E28="KBOB",$V28&lt;=0,Table24[[#This Row],[VALID_TO]]&lt;=TODAY()),0,1)</f>
        <v>1</v>
      </c>
      <c r="AG28" s="178">
        <v>0</v>
      </c>
      <c r="AH28" s="178">
        <f ca="1">IF(AND(Table24[[#This Row],[ValidEPD]]&lt;&gt;0,Table24[[#This Row],[Man_Ausschluss]]&lt;&gt;0),1,0)</f>
        <v>0</v>
      </c>
      <c r="AI28" s="178" cm="1">
        <f t="array" aca="1" ref="AI28" ca="1">IF(Table24[[#This Row],[gültig]]&lt;&gt;0,
IF(V28=MIN(_xlfn._xlws.FILTER($V$2:$V$282,($P$2:$P$282=P28))),1,
IF(V28=MAX(_xlfn._xlws.FILTER($V$2:$V$282,($P$2:$P$282=P28))),1,0)),0)</f>
        <v>0</v>
      </c>
      <c r="AJ28" s="180"/>
      <c r="AK28" s="2"/>
      <c r="AL28" s="2"/>
    </row>
    <row r="29" spans="1:38" x14ac:dyDescent="0.45">
      <c r="A29" s="199" t="s">
        <v>199</v>
      </c>
      <c r="B29" s="200"/>
      <c r="C29" s="111">
        <v>28</v>
      </c>
      <c r="D29" s="201" t="s">
        <v>90</v>
      </c>
      <c r="E29" s="202" t="s">
        <v>43</v>
      </c>
      <c r="F29" s="202"/>
      <c r="G29" s="203">
        <v>45068</v>
      </c>
      <c r="H29" s="203">
        <v>46894</v>
      </c>
      <c r="I29" s="96" t="s">
        <v>52</v>
      </c>
      <c r="J29" s="204" t="s">
        <v>52</v>
      </c>
      <c r="K29" s="205" t="s">
        <v>91</v>
      </c>
      <c r="L29" s="206" t="s">
        <v>324</v>
      </c>
      <c r="M29" s="201" t="s">
        <v>316</v>
      </c>
      <c r="N29" s="207" t="s">
        <v>317</v>
      </c>
      <c r="O29" s="208" t="s">
        <v>416</v>
      </c>
      <c r="P29" s="96" t="s">
        <v>12</v>
      </c>
      <c r="Q29" s="96">
        <v>2420</v>
      </c>
      <c r="R29" s="202" t="s">
        <v>92</v>
      </c>
      <c r="S29" s="202">
        <v>32</v>
      </c>
      <c r="T29" s="202">
        <v>0.1</v>
      </c>
      <c r="U29" s="209" t="s">
        <v>83</v>
      </c>
      <c r="V29" s="92">
        <f>SUM(Table24[[#This Row],[A1toA3_GWP]:[C1toC4_GWP]])</f>
        <v>91.627272727272739</v>
      </c>
      <c r="W29" s="92"/>
      <c r="X29" s="92"/>
      <c r="Y29" s="92">
        <f>Table24[[#This Row],[Total_GWP]]*Table24[[#This Row],[DENSITY]]/1000</f>
        <v>221.73800000000003</v>
      </c>
      <c r="Z29" s="149">
        <f>204.59/Table24[[#This Row],[DENSITY]]*1000</f>
        <v>84.541322314049594</v>
      </c>
      <c r="AA29" s="81">
        <f>(7.278+9.664+0.206)/Table24[[#This Row],[DENSITY]]*1000</f>
        <v>7.0859504132231406</v>
      </c>
      <c r="AB29" s="83"/>
      <c r="AC29" s="83"/>
      <c r="AD29" s="83"/>
      <c r="AE29" s="85"/>
      <c r="AF29" s="178">
        <f ca="1">IF(OR($E29="Ecoinvent",$E29="Betonsortenrechner",$E29="KBOB",$V29&lt;=0,Table24[[#This Row],[VALID_TO]]&lt;=TODAY()),0,1)</f>
        <v>1</v>
      </c>
      <c r="AG29" s="178">
        <v>0</v>
      </c>
      <c r="AH29" s="178">
        <f ca="1">IF(AND(Table24[[#This Row],[ValidEPD]]&lt;&gt;0,Table24[[#This Row],[Man_Ausschluss]]&lt;&gt;0),1,0)</f>
        <v>0</v>
      </c>
      <c r="AI29" s="178" cm="1">
        <f t="array" aca="1" ref="AI29" ca="1">IF(Table24[[#This Row],[gültig]]&lt;&gt;0,
IF(V29=MIN(_xlfn._xlws.FILTER($V$2:$V$282,($P$2:$P$282=P29))),1,
IF(V29=MAX(_xlfn._xlws.FILTER($V$2:$V$282,($P$2:$P$282=P29))),1,0)),0)</f>
        <v>0</v>
      </c>
      <c r="AJ29" s="180"/>
      <c r="AK29" s="2"/>
      <c r="AL29" s="2"/>
    </row>
    <row r="30" spans="1:38" x14ac:dyDescent="0.45">
      <c r="A30" s="199" t="s">
        <v>200</v>
      </c>
      <c r="B30" s="200"/>
      <c r="C30" s="111">
        <v>29</v>
      </c>
      <c r="D30" s="201" t="s">
        <v>93</v>
      </c>
      <c r="E30" s="202" t="s">
        <v>43</v>
      </c>
      <c r="F30" s="202"/>
      <c r="G30" s="203">
        <v>45068</v>
      </c>
      <c r="H30" s="203">
        <v>46894</v>
      </c>
      <c r="I30" s="96" t="s">
        <v>52</v>
      </c>
      <c r="J30" s="204" t="s">
        <v>52</v>
      </c>
      <c r="K30" s="205" t="s">
        <v>94</v>
      </c>
      <c r="L30" s="206" t="s">
        <v>324</v>
      </c>
      <c r="M30" s="201" t="s">
        <v>316</v>
      </c>
      <c r="N30" s="207" t="s">
        <v>317</v>
      </c>
      <c r="O30" s="208" t="s">
        <v>416</v>
      </c>
      <c r="P30" s="96" t="s">
        <v>12</v>
      </c>
      <c r="Q30" s="96">
        <v>2430</v>
      </c>
      <c r="R30" s="202" t="s">
        <v>95</v>
      </c>
      <c r="S30" s="202">
        <v>32</v>
      </c>
      <c r="T30" s="202">
        <v>0.1</v>
      </c>
      <c r="U30" s="209" t="s">
        <v>83</v>
      </c>
      <c r="V30" s="92">
        <f>SUM(Table24[[#This Row],[A1toA3_GWP]:[C1toC4_GWP]])</f>
        <v>76.722633744855969</v>
      </c>
      <c r="W30" s="92"/>
      <c r="X30" s="92"/>
      <c r="Y30" s="92">
        <f>Table24[[#This Row],[Total_GWP]]*Table24[[#This Row],[DENSITY]]/1000</f>
        <v>186.43600000000001</v>
      </c>
      <c r="Z30" s="149">
        <f>169.181/Table24[[#This Row],[DENSITY]]*1000</f>
        <v>69.62181069958848</v>
      </c>
      <c r="AA30" s="81">
        <f>(7.278+9.768+0.209)/Table24[[#This Row],[DENSITY]]*1000</f>
        <v>7.1008230452674894</v>
      </c>
      <c r="AB30" s="83"/>
      <c r="AC30" s="83"/>
      <c r="AD30" s="83"/>
      <c r="AE30" s="85"/>
      <c r="AF30" s="178">
        <f ca="1">IF(OR($E30="Ecoinvent",$E30="Betonsortenrechner",$E30="KBOB",$V30&lt;=0,Table24[[#This Row],[VALID_TO]]&lt;=TODAY()),0,1)</f>
        <v>1</v>
      </c>
      <c r="AG30" s="178">
        <v>0</v>
      </c>
      <c r="AH30" s="178">
        <f ca="1">IF(AND(Table24[[#This Row],[ValidEPD]]&lt;&gt;0,Table24[[#This Row],[Man_Ausschluss]]&lt;&gt;0),1,0)</f>
        <v>0</v>
      </c>
      <c r="AI30" s="178" cm="1">
        <f t="array" aca="1" ref="AI30" ca="1">IF(Table24[[#This Row],[gültig]]&lt;&gt;0,
IF(V30=MIN(_xlfn._xlws.FILTER($V$2:$V$282,($P$2:$P$282=P30))),1,
IF(V30=MAX(_xlfn._xlws.FILTER($V$2:$V$282,($P$2:$P$282=P30))),1,0)),0)</f>
        <v>0</v>
      </c>
      <c r="AJ30" s="180"/>
      <c r="AK30" s="2"/>
      <c r="AL30" s="2"/>
    </row>
    <row r="31" spans="1:38" x14ac:dyDescent="0.45">
      <c r="A31" s="199" t="s">
        <v>626</v>
      </c>
      <c r="B31" s="200"/>
      <c r="C31" s="111">
        <v>30</v>
      </c>
      <c r="D31" s="210" t="s">
        <v>646</v>
      </c>
      <c r="E31" s="211" t="s">
        <v>645</v>
      </c>
      <c r="F31" s="211"/>
      <c r="G31" s="212">
        <v>45758</v>
      </c>
      <c r="H31" s="212">
        <v>47583</v>
      </c>
      <c r="I31" s="120" t="s">
        <v>52</v>
      </c>
      <c r="J31" s="204" t="s">
        <v>52</v>
      </c>
      <c r="K31" s="213" t="s">
        <v>31</v>
      </c>
      <c r="L31" s="206" t="s">
        <v>324</v>
      </c>
      <c r="M31" s="201" t="s">
        <v>316</v>
      </c>
      <c r="N31" s="207" t="s">
        <v>317</v>
      </c>
      <c r="O31" s="208" t="s">
        <v>416</v>
      </c>
      <c r="P31" s="96" t="s">
        <v>12</v>
      </c>
      <c r="Q31" s="120">
        <v>2400</v>
      </c>
      <c r="R31" s="211" t="s">
        <v>647</v>
      </c>
      <c r="S31" s="211">
        <v>32</v>
      </c>
      <c r="T31" s="211">
        <v>0.1</v>
      </c>
      <c r="U31" s="214" t="s">
        <v>83</v>
      </c>
      <c r="V31" s="92">
        <f>SUM(Table24[[#This Row],[A1toA3_GWP]:[C1toC4_GWP]])</f>
        <v>69.807500000000005</v>
      </c>
      <c r="W31" s="92"/>
      <c r="X31" s="92"/>
      <c r="Y31" s="92">
        <f>Table24[[#This Row],[Total_GWP]]*Table24[[#This Row],[DENSITY]]/1000</f>
        <v>167.53800000000001</v>
      </c>
      <c r="Z31" s="149">
        <f>150.465/Table24[[#This Row],[DENSITY]]*1000</f>
        <v>62.693750000000009</v>
      </c>
      <c r="AA31" s="81">
        <f>(7.278+9.59+0.205)/Table24[[#This Row],[DENSITY]]*1000</f>
        <v>7.1137499999999987</v>
      </c>
      <c r="AB31" s="87">
        <f>SUM(Table24[[#This Row],[A1toA3_GWP-biogenic]:[C1toC4_GWP-biogenic]])</f>
        <v>0.98125000000000007</v>
      </c>
      <c r="AC31" s="123">
        <f>Table24[[#This Row],[GWP-biogenic]]*Table24[[#This Row],[DENSITY]]/1000</f>
        <v>2.355</v>
      </c>
      <c r="AD31" s="83">
        <f>(2.343)/Table24[[#This Row],[DENSITY]]*1000</f>
        <v>0.97625000000000006</v>
      </c>
      <c r="AE31" s="85">
        <f>(0.003+0.008+0.001)/Table24[[#This Row],[DENSITY]]*1000</f>
        <v>5.0000000000000001E-3</v>
      </c>
      <c r="AF31" s="178">
        <f ca="1">IF(OR($E31="Ecoinvent",$E31="Betonsortenrechner",$E31="KBOB",$V31&lt;=0,Table24[[#This Row],[VALID_TO]]&lt;=TODAY()),0,1)</f>
        <v>1</v>
      </c>
      <c r="AG31" s="178">
        <v>1</v>
      </c>
      <c r="AH31" s="178">
        <f ca="1">IF(AND(Table24[[#This Row],[ValidEPD]]&lt;&gt;0,Table24[[#This Row],[Man_Ausschluss]]&lt;&gt;0),1,0)</f>
        <v>1</v>
      </c>
      <c r="AI31" s="178" cm="1">
        <f t="array" aca="1" ref="AI31" ca="1">IF(Table24[[#This Row],[gültig]]&lt;&gt;0,
IF(V31=MIN(_xlfn._xlws.FILTER($V$2:$V$282,($P$2:$P$282=P31))),1,
IF(V31=MAX(_xlfn._xlws.FILTER($V$2:$V$282,($P$2:$P$282=P31))),1,0)),0)</f>
        <v>0</v>
      </c>
      <c r="AJ31" s="180"/>
      <c r="AK31" s="118"/>
      <c r="AL31" s="2"/>
    </row>
    <row r="32" spans="1:38" x14ac:dyDescent="0.45">
      <c r="A32" s="199" t="s">
        <v>627</v>
      </c>
      <c r="B32" s="200"/>
      <c r="C32" s="111">
        <v>31</v>
      </c>
      <c r="D32" s="210" t="s">
        <v>648</v>
      </c>
      <c r="E32" s="211" t="s">
        <v>645</v>
      </c>
      <c r="F32" s="211"/>
      <c r="G32" s="212">
        <v>45758</v>
      </c>
      <c r="H32" s="212">
        <v>47583</v>
      </c>
      <c r="I32" s="120" t="s">
        <v>52</v>
      </c>
      <c r="J32" s="204" t="s">
        <v>52</v>
      </c>
      <c r="K32" s="213" t="s">
        <v>31</v>
      </c>
      <c r="L32" s="206" t="s">
        <v>324</v>
      </c>
      <c r="M32" s="201" t="s">
        <v>316</v>
      </c>
      <c r="N32" s="207" t="s">
        <v>317</v>
      </c>
      <c r="O32" s="208" t="s">
        <v>416</v>
      </c>
      <c r="P32" s="96" t="s">
        <v>12</v>
      </c>
      <c r="Q32" s="120">
        <v>2427</v>
      </c>
      <c r="R32" s="211" t="s">
        <v>647</v>
      </c>
      <c r="S32" s="211">
        <v>32</v>
      </c>
      <c r="T32" s="211">
        <v>0.1</v>
      </c>
      <c r="U32" s="214" t="s">
        <v>83</v>
      </c>
      <c r="V32" s="92">
        <f>SUM(Table24[[#This Row],[A1toA3_GWP]:[C1toC4_GWP]])</f>
        <v>63.484548825710746</v>
      </c>
      <c r="W32" s="92"/>
      <c r="X32" s="92"/>
      <c r="Y32" s="92">
        <f>Table24[[#This Row],[Total_GWP]]*Table24[[#This Row],[DENSITY]]/1000</f>
        <v>154.07699999999997</v>
      </c>
      <c r="Z32" s="149">
        <f>136.896/Table24[[#This Row],[DENSITY]]*1000</f>
        <v>56.405438813349804</v>
      </c>
      <c r="AA32" s="81">
        <f>(7.278+9.696+0.207)/Table24[[#This Row],[DENSITY]]*1000</f>
        <v>7.0791100123609398</v>
      </c>
      <c r="AB32" s="87">
        <f>SUM(Table24[[#This Row],[A1toA3_GWP-biogenic]:[C1toC4_GWP-biogenic]])</f>
        <v>0.89204779563246805</v>
      </c>
      <c r="AC32" s="123">
        <f>Table24[[#This Row],[GWP-biogenic]]*Table24[[#This Row],[DENSITY]]/1000</f>
        <v>2.165</v>
      </c>
      <c r="AD32" s="83">
        <f>(2.153)/Table24[[#This Row],[DENSITY]]*1000</f>
        <v>0.88710341985990937</v>
      </c>
      <c r="AE32" s="85">
        <f>(0.003+0.008+0.001)/Table24[[#This Row],[DENSITY]]*1000</f>
        <v>4.944375772558714E-3</v>
      </c>
      <c r="AF32" s="178">
        <f ca="1">IF(OR($E32="Ecoinvent",$E32="Betonsortenrechner",$E32="KBOB",$V32&lt;=0,Table24[[#This Row],[VALID_TO]]&lt;=TODAY()),0,1)</f>
        <v>1</v>
      </c>
      <c r="AG32" s="178">
        <v>1</v>
      </c>
      <c r="AH32" s="178">
        <f ca="1">IF(AND(Table24[[#This Row],[ValidEPD]]&lt;&gt;0,Table24[[#This Row],[Man_Ausschluss]]&lt;&gt;0),1,0)</f>
        <v>1</v>
      </c>
      <c r="AI32" s="178" cm="1">
        <f t="array" aca="1" ref="AI32" ca="1">IF(Table24[[#This Row],[gültig]]&lt;&gt;0,
IF(V32=MIN(_xlfn._xlws.FILTER($V$2:$V$282,($P$2:$P$282=P32))),1,
IF(V32=MAX(_xlfn._xlws.FILTER($V$2:$V$282,($P$2:$P$282=P32))),1,0)),0)</f>
        <v>1</v>
      </c>
      <c r="AJ32" s="180"/>
      <c r="AK32" s="118"/>
      <c r="AL32" s="2"/>
    </row>
    <row r="33" spans="1:38" x14ac:dyDescent="0.45">
      <c r="A33" s="199" t="s">
        <v>628</v>
      </c>
      <c r="B33" s="200"/>
      <c r="C33" s="111">
        <v>32</v>
      </c>
      <c r="D33" s="210" t="s">
        <v>649</v>
      </c>
      <c r="E33" s="211" t="s">
        <v>645</v>
      </c>
      <c r="F33" s="211"/>
      <c r="G33" s="212">
        <v>45758</v>
      </c>
      <c r="H33" s="212">
        <v>47583</v>
      </c>
      <c r="I33" s="120" t="s">
        <v>52</v>
      </c>
      <c r="J33" s="204" t="s">
        <v>52</v>
      </c>
      <c r="K33" s="213" t="s">
        <v>31</v>
      </c>
      <c r="L33" s="206" t="s">
        <v>324</v>
      </c>
      <c r="M33" s="201" t="s">
        <v>316</v>
      </c>
      <c r="N33" s="207" t="s">
        <v>317</v>
      </c>
      <c r="O33" s="208" t="s">
        <v>416</v>
      </c>
      <c r="P33" s="96" t="s">
        <v>12</v>
      </c>
      <c r="Q33" s="120">
        <v>2398</v>
      </c>
      <c r="R33" s="211" t="s">
        <v>647</v>
      </c>
      <c r="S33" s="211">
        <v>32</v>
      </c>
      <c r="T33" s="211">
        <v>0.1</v>
      </c>
      <c r="U33" s="214" t="s">
        <v>650</v>
      </c>
      <c r="V33" s="92">
        <f>SUM(Table24[[#This Row],[A1toA3_GWP]:[C1toC4_GWP]])</f>
        <v>81.817347789824851</v>
      </c>
      <c r="W33" s="92"/>
      <c r="X33" s="92"/>
      <c r="Y33" s="92">
        <f>Table24[[#This Row],[Total_GWP]]*Table24[[#This Row],[DENSITY]]/1000</f>
        <v>196.19800000000001</v>
      </c>
      <c r="Z33" s="149">
        <f>179.135/Table24[[#This Row],[DENSITY]]*1000</f>
        <v>74.701834862385311</v>
      </c>
      <c r="AA33" s="81">
        <f>(7.278+9.58+0.205)/Table24[[#This Row],[DENSITY]]*1000</f>
        <v>7.1155129274395321</v>
      </c>
      <c r="AB33" s="87">
        <f>SUM(Table24[[#This Row],[A1toA3_GWP-biogenic]:[C1toC4_GWP-biogenic]])</f>
        <v>1.1547122602168474</v>
      </c>
      <c r="AC33" s="123">
        <f>Table24[[#This Row],[GWP-biogenic]]*Table24[[#This Row],[DENSITY]]/1000</f>
        <v>2.7690000000000001</v>
      </c>
      <c r="AD33" s="83">
        <f>(2.757)/Table24[[#This Row],[DENSITY]]*1000</f>
        <v>1.1497080900750625</v>
      </c>
      <c r="AE33" s="85">
        <f>(0.003+0.008+0.001)/Table24[[#This Row],[DENSITY]]*1000</f>
        <v>5.0041701417848205E-3</v>
      </c>
      <c r="AF33" s="178">
        <f ca="1">IF(OR($E33="Ecoinvent",$E33="Betonsortenrechner",$E33="KBOB",$V33&lt;=0,Table24[[#This Row],[VALID_TO]]&lt;=TODAY()),0,1)</f>
        <v>1</v>
      </c>
      <c r="AG33" s="178">
        <v>1</v>
      </c>
      <c r="AH33" s="178">
        <f ca="1">IF(AND(Table24[[#This Row],[ValidEPD]]&lt;&gt;0,Table24[[#This Row],[Man_Ausschluss]]&lt;&gt;0),1,0)</f>
        <v>1</v>
      </c>
      <c r="AI33" s="178" cm="1">
        <f t="array" aca="1" ref="AI33" ca="1">IF(Table24[[#This Row],[gültig]]&lt;&gt;0,
IF(V33=MIN(_xlfn._xlws.FILTER($V$2:$V$282,($P$2:$P$282=P33))),1,
IF(V33=MAX(_xlfn._xlws.FILTER($V$2:$V$282,($P$2:$P$282=P33))),1,0)),0)</f>
        <v>0</v>
      </c>
      <c r="AJ33" s="180"/>
      <c r="AK33" s="118"/>
      <c r="AL33" s="2"/>
    </row>
    <row r="34" spans="1:38" x14ac:dyDescent="0.45">
      <c r="A34" s="199" t="s">
        <v>629</v>
      </c>
      <c r="B34" s="200"/>
      <c r="C34" s="111">
        <v>33</v>
      </c>
      <c r="D34" s="210" t="s">
        <v>652</v>
      </c>
      <c r="E34" s="211" t="s">
        <v>651</v>
      </c>
      <c r="F34" s="211"/>
      <c r="G34" s="212">
        <v>45855</v>
      </c>
      <c r="H34" s="212">
        <v>47680</v>
      </c>
      <c r="I34" s="120" t="s">
        <v>52</v>
      </c>
      <c r="J34" s="204" t="s">
        <v>52</v>
      </c>
      <c r="K34" s="213" t="s">
        <v>34</v>
      </c>
      <c r="L34" s="206" t="s">
        <v>324</v>
      </c>
      <c r="M34" s="201" t="s">
        <v>316</v>
      </c>
      <c r="N34" s="207" t="s">
        <v>317</v>
      </c>
      <c r="O34" s="208" t="s">
        <v>653</v>
      </c>
      <c r="P34" s="120" t="s">
        <v>7</v>
      </c>
      <c r="Q34" s="120">
        <v>2362</v>
      </c>
      <c r="R34" s="211" t="s">
        <v>81</v>
      </c>
      <c r="S34" s="211">
        <v>32</v>
      </c>
      <c r="T34" s="211">
        <v>0.1</v>
      </c>
      <c r="U34" s="214" t="s">
        <v>83</v>
      </c>
      <c r="V34" s="92">
        <f>SUM(Table24[[#This Row],[A1toA3_GWP]:[C1toC4_GWP]])</f>
        <v>70.331922099915332</v>
      </c>
      <c r="W34" s="92"/>
      <c r="X34" s="92"/>
      <c r="Y34" s="92">
        <f>Table24[[#This Row],[Total_GWP]]*Table24[[#This Row],[DENSITY]]/1000</f>
        <v>166.124</v>
      </c>
      <c r="Z34" s="149">
        <f>149.208/Table24[[#This Row],[DENSITY]]*1000</f>
        <v>63.170194750211685</v>
      </c>
      <c r="AA34" s="81">
        <f>(7.278+9.437+0.201)/Table24[[#This Row],[DENSITY]]*1000</f>
        <v>7.1617273497036411</v>
      </c>
      <c r="AB34" s="87">
        <f>SUM(Table24[[#This Row],[A1toA3_GWP-biogenic]:[C1toC4_GWP-biogenic]])</f>
        <v>1.0084674005080441</v>
      </c>
      <c r="AC34" s="123">
        <f>Table24[[#This Row],[GWP-biogenic]]*Table24[[#This Row],[DENSITY]]/1000</f>
        <v>2.3820000000000001</v>
      </c>
      <c r="AD34" s="83">
        <f>(2.37)/Table24[[#This Row],[DENSITY]]*1000</f>
        <v>1.0033869602032177</v>
      </c>
      <c r="AE34" s="85">
        <f>(0.003+0.008+0.001)/Table24[[#This Row],[DENSITY]]*1000</f>
        <v>5.0804403048264179E-3</v>
      </c>
      <c r="AF34" s="178">
        <f ca="1">IF(OR($E34="Ecoinvent",$E34="Betonsortenrechner",$E34="KBOB",$V34&lt;=0,Table24[[#This Row],[VALID_TO]]&lt;=TODAY()),0,1)</f>
        <v>1</v>
      </c>
      <c r="AG34" s="178">
        <v>1</v>
      </c>
      <c r="AH34" s="178">
        <f ca="1">IF(AND(Table24[[#This Row],[ValidEPD]]&lt;&gt;0,Table24[[#This Row],[Man_Ausschluss]]&lt;&gt;0),1,0)</f>
        <v>1</v>
      </c>
      <c r="AI34" s="178" cm="1">
        <f t="array" aca="1" ref="AI34" ca="1">IF(Table24[[#This Row],[gültig]]&lt;&gt;0,
IF(V34=MIN(_xlfn._xlws.FILTER($V$2:$V$282,($P$2:$P$282=P34))),1,
IF(V34=MAX(_xlfn._xlws.FILTER($V$2:$V$282,($P$2:$P$282=P34))),1,0)),0)</f>
        <v>1</v>
      </c>
      <c r="AJ34" s="180"/>
      <c r="AK34" s="118"/>
      <c r="AL34" s="2"/>
    </row>
    <row r="35" spans="1:38" x14ac:dyDescent="0.45">
      <c r="A35" s="199" t="s">
        <v>630</v>
      </c>
      <c r="B35" s="200"/>
      <c r="C35" s="111">
        <v>34</v>
      </c>
      <c r="D35" s="210" t="s">
        <v>654</v>
      </c>
      <c r="E35" s="211" t="s">
        <v>651</v>
      </c>
      <c r="F35" s="211"/>
      <c r="G35" s="212">
        <v>45855</v>
      </c>
      <c r="H35" s="212">
        <v>47680</v>
      </c>
      <c r="I35" s="120" t="s">
        <v>52</v>
      </c>
      <c r="J35" s="204" t="s">
        <v>52</v>
      </c>
      <c r="K35" s="213" t="s">
        <v>31</v>
      </c>
      <c r="L35" s="206" t="s">
        <v>324</v>
      </c>
      <c r="M35" s="201" t="s">
        <v>316</v>
      </c>
      <c r="N35" s="207" t="s">
        <v>317</v>
      </c>
      <c r="O35" s="215" t="s">
        <v>471</v>
      </c>
      <c r="P35" s="120" t="s">
        <v>28</v>
      </c>
      <c r="Q35" s="120">
        <v>2359</v>
      </c>
      <c r="R35" s="211" t="s">
        <v>647</v>
      </c>
      <c r="S35" s="211">
        <v>32</v>
      </c>
      <c r="T35" s="211">
        <v>0.1</v>
      </c>
      <c r="U35" s="214" t="s">
        <v>83</v>
      </c>
      <c r="V35" s="92">
        <f>SUM(Table24[[#This Row],[A1toA3_GWP]:[C1toC4_GWP]])</f>
        <v>79.657058075455708</v>
      </c>
      <c r="W35" s="92"/>
      <c r="X35" s="92"/>
      <c r="Y35" s="92">
        <f>Table24[[#This Row],[Total_GWP]]*Table24[[#This Row],[DENSITY]]/1000</f>
        <v>187.91100000000003</v>
      </c>
      <c r="Z35" s="149">
        <f>171.008/Table24[[#This Row],[DENSITY]]*1000</f>
        <v>72.491733785502333</v>
      </c>
      <c r="AA35" s="81">
        <f>(7.278+9.424+0.201)/Table24[[#This Row],[DENSITY]]*1000</f>
        <v>7.1653242899533689</v>
      </c>
      <c r="AB35" s="87">
        <f>SUM(Table24[[#This Row],[A1toA3_GWP-biogenic]:[C1toC4_GWP-biogenic]])</f>
        <v>0.18397626112759644</v>
      </c>
      <c r="AC35" s="123">
        <f>Table24[[#This Row],[GWP-biogenic]]*Table24[[#This Row],[DENSITY]]/1000</f>
        <v>0.434</v>
      </c>
      <c r="AD35" s="83">
        <f>(0.422)/Table24[[#This Row],[DENSITY]]*1000</f>
        <v>0.17888935989826196</v>
      </c>
      <c r="AE35" s="85">
        <f>(0.003+0.008+0.001)/Table24[[#This Row],[DENSITY]]*1000</f>
        <v>5.0869012293344642E-3</v>
      </c>
      <c r="AF35" s="178">
        <f ca="1">IF(OR($E35="Ecoinvent",$E35="Betonsortenrechner",$E35="KBOB",$V35&lt;=0,Table24[[#This Row],[VALID_TO]]&lt;=TODAY()),0,1)</f>
        <v>1</v>
      </c>
      <c r="AG35" s="178">
        <v>1</v>
      </c>
      <c r="AH35" s="178">
        <f ca="1">IF(AND(Table24[[#This Row],[ValidEPD]]&lt;&gt;0,Table24[[#This Row],[Man_Ausschluss]]&lt;&gt;0),1,0)</f>
        <v>1</v>
      </c>
      <c r="AI35" s="178" cm="1">
        <f t="array" aca="1" ref="AI35" ca="1">IF(Table24[[#This Row],[gültig]]&lt;&gt;0,
IF(V35=MIN(_xlfn._xlws.FILTER($V$2:$V$282,($P$2:$P$282=P35))),1,
IF(V35=MAX(_xlfn._xlws.FILTER($V$2:$V$282,($P$2:$P$282=P35))),1,0)),0)</f>
        <v>0</v>
      </c>
      <c r="AJ35" s="180"/>
      <c r="AK35" s="118"/>
      <c r="AL35" s="2"/>
    </row>
    <row r="36" spans="1:38" x14ac:dyDescent="0.45">
      <c r="A36" s="199" t="s">
        <v>631</v>
      </c>
      <c r="B36" s="200"/>
      <c r="C36" s="111">
        <v>35</v>
      </c>
      <c r="D36" s="210" t="s">
        <v>655</v>
      </c>
      <c r="E36" s="211" t="s">
        <v>651</v>
      </c>
      <c r="F36" s="211"/>
      <c r="G36" s="212">
        <v>45855</v>
      </c>
      <c r="H36" s="212">
        <v>47680</v>
      </c>
      <c r="I36" s="120" t="s">
        <v>52</v>
      </c>
      <c r="J36" s="204" t="s">
        <v>52</v>
      </c>
      <c r="K36" s="213" t="s">
        <v>34</v>
      </c>
      <c r="L36" s="206" t="s">
        <v>324</v>
      </c>
      <c r="M36" s="201" t="s">
        <v>316</v>
      </c>
      <c r="N36" s="207" t="s">
        <v>317</v>
      </c>
      <c r="O36" s="215" t="s">
        <v>471</v>
      </c>
      <c r="P36" s="120" t="s">
        <v>7</v>
      </c>
      <c r="Q36" s="120">
        <v>2362</v>
      </c>
      <c r="R36" s="211" t="s">
        <v>81</v>
      </c>
      <c r="S36" s="211">
        <v>32</v>
      </c>
      <c r="T36" s="211">
        <v>0.1</v>
      </c>
      <c r="U36" s="214" t="s">
        <v>83</v>
      </c>
      <c r="V36" s="92">
        <f>SUM(Table24[[#This Row],[A1toA3_GWP]:[C1toC4_GWP]])</f>
        <v>82.62658763759525</v>
      </c>
      <c r="W36" s="92"/>
      <c r="X36" s="92"/>
      <c r="Y36" s="92">
        <f>Table24[[#This Row],[Total_GWP]]*Table24[[#This Row],[DENSITY]]/1000</f>
        <v>195.16399999999996</v>
      </c>
      <c r="Z36" s="149">
        <f>178.248/Table24[[#This Row],[DENSITY]]*1000</f>
        <v>75.464860287891611</v>
      </c>
      <c r="AA36" s="81">
        <f>(7.278+9.437+0.201)/Table24[[#This Row],[DENSITY]]*1000</f>
        <v>7.1617273497036411</v>
      </c>
      <c r="AB36" s="87">
        <f>SUM(Table24[[#This Row],[A1toA3_GWP-biogenic]:[C1toC4_GWP-biogenic]])</f>
        <v>0.20533446232006772</v>
      </c>
      <c r="AC36" s="123">
        <f>Table24[[#This Row],[GWP-biogenic]]*Table24[[#This Row],[DENSITY]]/1000</f>
        <v>0.48499999999999993</v>
      </c>
      <c r="AD36" s="83">
        <f>(0.473)/Table24[[#This Row],[DENSITY]]*1000</f>
        <v>0.20025402201524131</v>
      </c>
      <c r="AE36" s="85">
        <f>(0.003+0.008+0.001)/Table24[[#This Row],[DENSITY]]*1000</f>
        <v>5.0804403048264179E-3</v>
      </c>
      <c r="AF36" s="178">
        <f ca="1">IF(OR($E36="Ecoinvent",$E36="Betonsortenrechner",$E36="KBOB",$V36&lt;=0,Table24[[#This Row],[VALID_TO]]&lt;=TODAY()),0,1)</f>
        <v>1</v>
      </c>
      <c r="AG36" s="178">
        <v>1</v>
      </c>
      <c r="AH36" s="178">
        <f ca="1">IF(AND(Table24[[#This Row],[ValidEPD]]&lt;&gt;0,Table24[[#This Row],[Man_Ausschluss]]&lt;&gt;0),1,0)</f>
        <v>1</v>
      </c>
      <c r="AI36" s="178" cm="1">
        <f t="array" aca="1" ref="AI36" ca="1">IF(Table24[[#This Row],[gültig]]&lt;&gt;0,
IF(V36=MIN(_xlfn._xlws.FILTER($V$2:$V$282,($P$2:$P$282=P36))),1,
IF(V36=MAX(_xlfn._xlws.FILTER($V$2:$V$282,($P$2:$P$282=P36))),1,0)),0)</f>
        <v>0</v>
      </c>
      <c r="AJ36" s="180"/>
      <c r="AK36" s="118"/>
      <c r="AL36" s="2"/>
    </row>
    <row r="37" spans="1:38" x14ac:dyDescent="0.45">
      <c r="A37" s="199" t="s">
        <v>632</v>
      </c>
      <c r="B37" s="200"/>
      <c r="C37" s="111">
        <v>36</v>
      </c>
      <c r="D37" s="210" t="s">
        <v>656</v>
      </c>
      <c r="E37" s="211" t="s">
        <v>651</v>
      </c>
      <c r="F37" s="211"/>
      <c r="G37" s="212">
        <v>45855</v>
      </c>
      <c r="H37" s="212">
        <v>47680</v>
      </c>
      <c r="I37" s="120" t="s">
        <v>52</v>
      </c>
      <c r="J37" s="204" t="s">
        <v>52</v>
      </c>
      <c r="K37" s="213" t="s">
        <v>36</v>
      </c>
      <c r="L37" s="206" t="s">
        <v>324</v>
      </c>
      <c r="M37" s="201" t="s">
        <v>316</v>
      </c>
      <c r="N37" s="207" t="s">
        <v>317</v>
      </c>
      <c r="O37" s="215" t="s">
        <v>471</v>
      </c>
      <c r="P37" s="96" t="s">
        <v>12</v>
      </c>
      <c r="Q37" s="120">
        <v>2408</v>
      </c>
      <c r="R37" s="211" t="s">
        <v>82</v>
      </c>
      <c r="S37" s="211">
        <v>32</v>
      </c>
      <c r="T37" s="211">
        <v>0.1</v>
      </c>
      <c r="U37" s="214" t="s">
        <v>83</v>
      </c>
      <c r="V37" s="92">
        <f>SUM(Table24[[#This Row],[A1toA3_GWP]:[C1toC4_GWP]])</f>
        <v>84.256644518272424</v>
      </c>
      <c r="W37" s="92"/>
      <c r="X37" s="92"/>
      <c r="Y37" s="92">
        <f>Table24[[#This Row],[Total_GWP]]*Table24[[#This Row],[DENSITY]]/1000</f>
        <v>202.89</v>
      </c>
      <c r="Z37" s="149">
        <f>185.788/Table24[[#This Row],[DENSITY]]*1000</f>
        <v>77.154485049833895</v>
      </c>
      <c r="AA37" s="81">
        <f>(7.278+9.619+0.205)/Table24[[#This Row],[DENSITY]]*1000</f>
        <v>7.1021594684385363</v>
      </c>
      <c r="AB37" s="87">
        <f>SUM(Table24[[#This Row],[A1toA3_GWP-biogenic]:[C1toC4_GWP-biogenic]])</f>
        <v>0.22715946843853824</v>
      </c>
      <c r="AC37" s="123">
        <f>Table24[[#This Row],[GWP-biogenic]]*Table24[[#This Row],[DENSITY]]/1000</f>
        <v>0.54700000000000015</v>
      </c>
      <c r="AD37" s="83">
        <f>(0.535)/Table24[[#This Row],[DENSITY]]*1000</f>
        <v>0.2221760797342193</v>
      </c>
      <c r="AE37" s="85">
        <f>(0.003+0.008+0.001)/Table24[[#This Row],[DENSITY]]*1000</f>
        <v>4.9833887043189366E-3</v>
      </c>
      <c r="AF37" s="178">
        <f ca="1">IF(OR($E37="Ecoinvent",$E37="Betonsortenrechner",$E37="KBOB",$V37&lt;=0,Table24[[#This Row],[VALID_TO]]&lt;=TODAY()),0,1)</f>
        <v>1</v>
      </c>
      <c r="AG37" s="178">
        <v>1</v>
      </c>
      <c r="AH37" s="178">
        <f ca="1">IF(AND(Table24[[#This Row],[ValidEPD]]&lt;&gt;0,Table24[[#This Row],[Man_Ausschluss]]&lt;&gt;0),1,0)</f>
        <v>1</v>
      </c>
      <c r="AI37" s="178" cm="1">
        <f t="array" aca="1" ref="AI37" ca="1">IF(Table24[[#This Row],[gültig]]&lt;&gt;0,
IF(V37=MIN(_xlfn._xlws.FILTER($V$2:$V$282,($P$2:$P$282=P37))),1,
IF(V37=MAX(_xlfn._xlws.FILTER($V$2:$V$282,($P$2:$P$282=P37))),1,0)),0)</f>
        <v>0</v>
      </c>
      <c r="AJ37" s="180"/>
      <c r="AK37" s="118"/>
      <c r="AL37" s="2"/>
    </row>
    <row r="38" spans="1:38" x14ac:dyDescent="0.45">
      <c r="A38" s="199" t="s">
        <v>633</v>
      </c>
      <c r="B38" s="200"/>
      <c r="C38" s="111">
        <v>37</v>
      </c>
      <c r="D38" s="210" t="s">
        <v>657</v>
      </c>
      <c r="E38" s="211" t="s">
        <v>658</v>
      </c>
      <c r="F38" s="211"/>
      <c r="G38" s="212">
        <v>45702</v>
      </c>
      <c r="H38" s="212">
        <v>47527</v>
      </c>
      <c r="I38" s="120" t="s">
        <v>52</v>
      </c>
      <c r="J38" s="204" t="s">
        <v>52</v>
      </c>
      <c r="K38" s="205" t="s">
        <v>38</v>
      </c>
      <c r="L38" s="206" t="s">
        <v>324</v>
      </c>
      <c r="M38" s="201" t="s">
        <v>316</v>
      </c>
      <c r="N38" s="207" t="s">
        <v>317</v>
      </c>
      <c r="O38" s="216" t="s">
        <v>416</v>
      </c>
      <c r="P38" s="96" t="s">
        <v>7</v>
      </c>
      <c r="Q38" s="120">
        <v>2350</v>
      </c>
      <c r="R38" s="211" t="s">
        <v>647</v>
      </c>
      <c r="S38" s="211">
        <v>32</v>
      </c>
      <c r="T38" s="211">
        <v>0.1</v>
      </c>
      <c r="U38" s="214" t="s">
        <v>83</v>
      </c>
      <c r="V38" s="92">
        <f>SUM(Table24[[#This Row],[A1toA3_GWP]:[C1toC4_GWP]])</f>
        <v>75.460851063829779</v>
      </c>
      <c r="W38" s="92"/>
      <c r="X38" s="92"/>
      <c r="Y38" s="92">
        <f>Table24[[#This Row],[Total_GWP]]*Table24[[#This Row],[DENSITY]]/1000</f>
        <v>177.33299999999997</v>
      </c>
      <c r="Z38" s="149">
        <f>160.467/Table24[[#This Row],[DENSITY]]*1000</f>
        <v>68.283829787234041</v>
      </c>
      <c r="AA38" s="81">
        <f>(7.278+9.388+0.2)/Table24[[#This Row],[DENSITY]]*1000</f>
        <v>7.1770212765957444</v>
      </c>
      <c r="AB38" s="87">
        <f>SUM(Table24[[#This Row],[A1toA3_GWP-biogenic]:[C1toC4_GWP-biogenic]])</f>
        <v>0.24851063829787232</v>
      </c>
      <c r="AC38" s="123">
        <f>Table24[[#This Row],[GWP-biogenic]]*Table24[[#This Row],[DENSITY]]/1000</f>
        <v>0.58399999999999985</v>
      </c>
      <c r="AD38" s="83">
        <f>(0.572)/Table24[[#This Row],[DENSITY]]*1000</f>
        <v>0.24340425531914892</v>
      </c>
      <c r="AE38" s="85">
        <f>(0.003+0.008+0.001)/Table24[[#This Row],[DENSITY]]*1000</f>
        <v>5.106382978723404E-3</v>
      </c>
      <c r="AF38" s="178">
        <f ca="1">IF(OR($E38="Ecoinvent",$E38="Betonsortenrechner",$E38="KBOB",$V38&lt;=0,Table24[[#This Row],[VALID_TO]]&lt;=TODAY()),0,1)</f>
        <v>1</v>
      </c>
      <c r="AG38" s="178">
        <v>1</v>
      </c>
      <c r="AH38" s="178">
        <f ca="1">IF(AND(Table24[[#This Row],[ValidEPD]]&lt;&gt;0,Table24[[#This Row],[Man_Ausschluss]]&lt;&gt;0),1,0)</f>
        <v>1</v>
      </c>
      <c r="AI38" s="178" cm="1">
        <f t="array" aca="1" ref="AI38" ca="1">IF(Table24[[#This Row],[gültig]]&lt;&gt;0,
IF(V38=MIN(_xlfn._xlws.FILTER($V$2:$V$282,($P$2:$P$282=P38))),1,
IF(V38=MAX(_xlfn._xlws.FILTER($V$2:$V$282,($P$2:$P$282=P38))),1,0)),0)</f>
        <v>0</v>
      </c>
      <c r="AJ38" s="180"/>
      <c r="AK38" s="118"/>
      <c r="AL38" s="2"/>
    </row>
    <row r="39" spans="1:38" x14ac:dyDescent="0.45">
      <c r="A39" s="199" t="s">
        <v>634</v>
      </c>
      <c r="B39" s="200"/>
      <c r="C39" s="111">
        <v>38</v>
      </c>
      <c r="D39" s="210" t="s">
        <v>659</v>
      </c>
      <c r="E39" s="211" t="s">
        <v>658</v>
      </c>
      <c r="F39" s="211"/>
      <c r="G39" s="212">
        <v>45702</v>
      </c>
      <c r="H39" s="212">
        <v>47527</v>
      </c>
      <c r="I39" s="120" t="s">
        <v>52</v>
      </c>
      <c r="J39" s="204" t="s">
        <v>52</v>
      </c>
      <c r="K39" s="205" t="s">
        <v>5</v>
      </c>
      <c r="L39" s="206" t="s">
        <v>324</v>
      </c>
      <c r="M39" s="201" t="s">
        <v>316</v>
      </c>
      <c r="N39" s="207" t="s">
        <v>317</v>
      </c>
      <c r="O39" s="216" t="s">
        <v>416</v>
      </c>
      <c r="P39" s="96" t="s">
        <v>7</v>
      </c>
      <c r="Q39" s="120">
        <v>2350</v>
      </c>
      <c r="R39" s="202" t="s">
        <v>81</v>
      </c>
      <c r="S39" s="211">
        <v>32</v>
      </c>
      <c r="T39" s="211">
        <v>0.1</v>
      </c>
      <c r="U39" s="214" t="s">
        <v>83</v>
      </c>
      <c r="V39" s="92">
        <f>SUM(Table24[[#This Row],[A1toA3_GWP]:[C1toC4_GWP]])</f>
        <v>75.113617021276596</v>
      </c>
      <c r="W39" s="92"/>
      <c r="X39" s="92"/>
      <c r="Y39" s="92">
        <f>Table24[[#This Row],[Total_GWP]]*Table24[[#This Row],[DENSITY]]/1000</f>
        <v>176.517</v>
      </c>
      <c r="Z39" s="149">
        <f>159.651/Table24[[#This Row],[DENSITY]]*1000</f>
        <v>67.936595744680858</v>
      </c>
      <c r="AA39" s="81">
        <f>(7.278+9.388+0.2)/Table24[[#This Row],[DENSITY]]*1000</f>
        <v>7.1770212765957444</v>
      </c>
      <c r="AB39" s="87">
        <f>SUM(Table24[[#This Row],[A1toA3_GWP-biogenic]:[C1toC4_GWP-biogenic]])</f>
        <v>0.24042553191489363</v>
      </c>
      <c r="AC39" s="123">
        <f>Table24[[#This Row],[GWP-biogenic]]*Table24[[#This Row],[DENSITY]]/1000</f>
        <v>0.56499999999999995</v>
      </c>
      <c r="AD39" s="83">
        <f>(0.553)/Table24[[#This Row],[DENSITY]]*1000</f>
        <v>0.23531914893617023</v>
      </c>
      <c r="AE39" s="85">
        <f>(0.003+0.008+0.001)/Table24[[#This Row],[DENSITY]]*1000</f>
        <v>5.106382978723404E-3</v>
      </c>
      <c r="AF39" s="178">
        <f ca="1">IF(OR($E39="Ecoinvent",$E39="Betonsortenrechner",$E39="KBOB",$V39&lt;=0,Table24[[#This Row],[VALID_TO]]&lt;=TODAY()),0,1)</f>
        <v>1</v>
      </c>
      <c r="AG39" s="178">
        <v>1</v>
      </c>
      <c r="AH39" s="178">
        <f ca="1">IF(AND(Table24[[#This Row],[ValidEPD]]&lt;&gt;0,Table24[[#This Row],[Man_Ausschluss]]&lt;&gt;0),1,0)</f>
        <v>1</v>
      </c>
      <c r="AI39" s="178" cm="1">
        <f t="array" aca="1" ref="AI39" ca="1">IF(Table24[[#This Row],[gültig]]&lt;&gt;0,
IF(V39=MIN(_xlfn._xlws.FILTER($V$2:$V$282,($P$2:$P$282=P39))),1,
IF(V39=MAX(_xlfn._xlws.FILTER($V$2:$V$282,($P$2:$P$282=P39))),1,0)),0)</f>
        <v>0</v>
      </c>
      <c r="AJ39" s="180"/>
      <c r="AK39" s="118"/>
      <c r="AL39" s="2"/>
    </row>
    <row r="40" spans="1:38" x14ac:dyDescent="0.45">
      <c r="A40" s="199" t="s">
        <v>635</v>
      </c>
      <c r="B40" s="200"/>
      <c r="C40" s="111">
        <v>39</v>
      </c>
      <c r="D40" s="210" t="s">
        <v>660</v>
      </c>
      <c r="E40" s="211" t="s">
        <v>658</v>
      </c>
      <c r="F40" s="211"/>
      <c r="G40" s="212">
        <v>45702</v>
      </c>
      <c r="H40" s="212">
        <v>47527</v>
      </c>
      <c r="I40" s="120" t="s">
        <v>52</v>
      </c>
      <c r="J40" s="204" t="s">
        <v>52</v>
      </c>
      <c r="K40" s="205" t="s">
        <v>661</v>
      </c>
      <c r="L40" s="206" t="s">
        <v>324</v>
      </c>
      <c r="M40" s="201" t="s">
        <v>316</v>
      </c>
      <c r="N40" s="207" t="s">
        <v>317</v>
      </c>
      <c r="O40" s="216" t="s">
        <v>416</v>
      </c>
      <c r="P40" s="96" t="s">
        <v>12</v>
      </c>
      <c r="Q40" s="120">
        <v>2350</v>
      </c>
      <c r="R40" s="211" t="s">
        <v>82</v>
      </c>
      <c r="S40" s="211">
        <v>32</v>
      </c>
      <c r="T40" s="211">
        <v>0.1</v>
      </c>
      <c r="U40" s="214" t="s">
        <v>83</v>
      </c>
      <c r="V40" s="92">
        <f>SUM(Table24[[#This Row],[A1toA3_GWP]:[C1toC4_GWP]])</f>
        <v>80.165531914893606</v>
      </c>
      <c r="W40" s="92"/>
      <c r="X40" s="92"/>
      <c r="Y40" s="92">
        <f>Table24[[#This Row],[Total_GWP]]*Table24[[#This Row],[DENSITY]]/1000</f>
        <v>188.38899999999998</v>
      </c>
      <c r="Z40" s="149">
        <f>171.523/Table24[[#This Row],[DENSITY]]*1000</f>
        <v>72.988510638297868</v>
      </c>
      <c r="AA40" s="81">
        <f>(7.278+9.388+0.2)/Table24[[#This Row],[DENSITY]]*1000</f>
        <v>7.1770212765957444</v>
      </c>
      <c r="AB40" s="87">
        <f>SUM(Table24[[#This Row],[A1toA3_GWP-biogenic]:[C1toC4_GWP-biogenic]])</f>
        <v>0.25744680851063828</v>
      </c>
      <c r="AC40" s="123">
        <f>Table24[[#This Row],[GWP-biogenic]]*Table24[[#This Row],[DENSITY]]/1000</f>
        <v>0.60499999999999998</v>
      </c>
      <c r="AD40" s="83">
        <f>(0.593)/Table24[[#This Row],[DENSITY]]*1000</f>
        <v>0.25234042553191488</v>
      </c>
      <c r="AE40" s="85">
        <f>(0.003+0.008+0.001)/Table24[[#This Row],[DENSITY]]*1000</f>
        <v>5.106382978723404E-3</v>
      </c>
      <c r="AF40" s="178">
        <f ca="1">IF(OR($E40="Ecoinvent",$E40="Betonsortenrechner",$E40="KBOB",$V40&lt;=0,Table24[[#This Row],[VALID_TO]]&lt;=TODAY()),0,1)</f>
        <v>1</v>
      </c>
      <c r="AG40" s="178">
        <v>1</v>
      </c>
      <c r="AH40" s="178">
        <f ca="1">IF(AND(Table24[[#This Row],[ValidEPD]]&lt;&gt;0,Table24[[#This Row],[Man_Ausschluss]]&lt;&gt;0),1,0)</f>
        <v>1</v>
      </c>
      <c r="AI40" s="178" cm="1">
        <f t="array" aca="1" ref="AI40" ca="1">IF(Table24[[#This Row],[gültig]]&lt;&gt;0,
IF(V40=MIN(_xlfn._xlws.FILTER($V$2:$V$282,($P$2:$P$282=P40))),1,
IF(V40=MAX(_xlfn._xlws.FILTER($V$2:$V$282,($P$2:$P$282=P40))),1,0)),0)</f>
        <v>0</v>
      </c>
      <c r="AJ40" s="180"/>
      <c r="AK40" s="118"/>
      <c r="AL40" s="2"/>
    </row>
    <row r="41" spans="1:38" x14ac:dyDescent="0.45">
      <c r="A41" s="199" t="s">
        <v>636</v>
      </c>
      <c r="B41" s="200"/>
      <c r="C41" s="111">
        <v>40</v>
      </c>
      <c r="D41" s="210" t="s">
        <v>662</v>
      </c>
      <c r="E41" s="211" t="s">
        <v>658</v>
      </c>
      <c r="F41" s="211"/>
      <c r="G41" s="212">
        <v>45702</v>
      </c>
      <c r="H41" s="212">
        <v>47527</v>
      </c>
      <c r="I41" s="120" t="s">
        <v>52</v>
      </c>
      <c r="J41" s="204" t="s">
        <v>52</v>
      </c>
      <c r="K41" s="205" t="s">
        <v>663</v>
      </c>
      <c r="L41" s="206" t="s">
        <v>324</v>
      </c>
      <c r="M41" s="201" t="s">
        <v>316</v>
      </c>
      <c r="N41" s="207" t="s">
        <v>317</v>
      </c>
      <c r="O41" s="216" t="s">
        <v>416</v>
      </c>
      <c r="P41" s="96" t="s">
        <v>7</v>
      </c>
      <c r="Q41" s="120">
        <v>2350</v>
      </c>
      <c r="R41" s="211" t="s">
        <v>647</v>
      </c>
      <c r="S41" s="211">
        <v>32</v>
      </c>
      <c r="T41" s="211">
        <v>0.1</v>
      </c>
      <c r="U41" s="214" t="s">
        <v>83</v>
      </c>
      <c r="V41" s="92">
        <f>SUM(Table24[[#This Row],[A1toA3_GWP]:[C1toC4_GWP]])</f>
        <v>75.320425531914893</v>
      </c>
      <c r="W41" s="92"/>
      <c r="X41" s="92"/>
      <c r="Y41" s="92">
        <f>Table24[[#This Row],[Total_GWP]]*Table24[[#This Row],[DENSITY]]/1000</f>
        <v>177.00299999999999</v>
      </c>
      <c r="Z41" s="149">
        <f>160.136/Table24[[#This Row],[DENSITY]]*1000</f>
        <v>68.142978723404255</v>
      </c>
      <c r="AA41" s="81">
        <f>(7.278+9.389+0.2)/Table24[[#This Row],[DENSITY]]*1000</f>
        <v>7.1774468085106378</v>
      </c>
      <c r="AB41" s="87">
        <f>SUM(Table24[[#This Row],[A1toA3_GWP-biogenic]:[C1toC4_GWP-biogenic]])</f>
        <v>0.245531914893617</v>
      </c>
      <c r="AC41" s="123">
        <f>Table24[[#This Row],[GWP-biogenic]]*Table24[[#This Row],[DENSITY]]/1000</f>
        <v>0.57699999999999996</v>
      </c>
      <c r="AD41" s="83">
        <f>(0.565)/Table24[[#This Row],[DENSITY]]*1000</f>
        <v>0.2404255319148936</v>
      </c>
      <c r="AE41" s="85">
        <f>(0.003+0.008+0.001)/Table24[[#This Row],[DENSITY]]*1000</f>
        <v>5.106382978723404E-3</v>
      </c>
      <c r="AF41" s="178">
        <f ca="1">IF(OR($E41="Ecoinvent",$E41="Betonsortenrechner",$E41="KBOB",$V41&lt;=0,Table24[[#This Row],[VALID_TO]]&lt;=TODAY()),0,1)</f>
        <v>1</v>
      </c>
      <c r="AG41" s="178">
        <v>1</v>
      </c>
      <c r="AH41" s="178">
        <f ca="1">IF(AND(Table24[[#This Row],[ValidEPD]]&lt;&gt;0,Table24[[#This Row],[Man_Ausschluss]]&lt;&gt;0),1,0)</f>
        <v>1</v>
      </c>
      <c r="AI41" s="178" cm="1">
        <f t="array" aca="1" ref="AI41" ca="1">IF(Table24[[#This Row],[gültig]]&lt;&gt;0,
IF(V41=MIN(_xlfn._xlws.FILTER($V$2:$V$282,($P$2:$P$282=P41))),1,
IF(V41=MAX(_xlfn._xlws.FILTER($V$2:$V$282,($P$2:$P$282=P41))),1,0)),0)</f>
        <v>0</v>
      </c>
      <c r="AJ41" s="180"/>
      <c r="AK41" s="118"/>
      <c r="AL41" s="2"/>
    </row>
    <row r="42" spans="1:38" x14ac:dyDescent="0.45">
      <c r="A42" s="199" t="s">
        <v>637</v>
      </c>
      <c r="B42" s="200"/>
      <c r="C42" s="111">
        <v>41</v>
      </c>
      <c r="D42" s="210" t="s">
        <v>664</v>
      </c>
      <c r="E42" s="211" t="s">
        <v>658</v>
      </c>
      <c r="F42" s="211"/>
      <c r="G42" s="212">
        <v>45702</v>
      </c>
      <c r="H42" s="212">
        <v>47527</v>
      </c>
      <c r="I42" s="120" t="s">
        <v>52</v>
      </c>
      <c r="J42" s="204" t="s">
        <v>52</v>
      </c>
      <c r="K42" s="205" t="s">
        <v>38</v>
      </c>
      <c r="L42" s="206" t="s">
        <v>324</v>
      </c>
      <c r="M42" s="201" t="s">
        <v>316</v>
      </c>
      <c r="N42" s="207" t="s">
        <v>317</v>
      </c>
      <c r="O42" s="216" t="s">
        <v>416</v>
      </c>
      <c r="P42" s="96" t="s">
        <v>7</v>
      </c>
      <c r="Q42" s="120">
        <v>2350</v>
      </c>
      <c r="R42" s="211" t="s">
        <v>647</v>
      </c>
      <c r="S42" s="211">
        <v>32</v>
      </c>
      <c r="T42" s="211">
        <v>0.1</v>
      </c>
      <c r="U42" s="214" t="s">
        <v>83</v>
      </c>
      <c r="V42" s="92">
        <f>SUM(Table24[[#This Row],[A1toA3_GWP]:[C1toC4_GWP]])</f>
        <v>75.14382978723404</v>
      </c>
      <c r="W42" s="92"/>
      <c r="X42" s="92"/>
      <c r="Y42" s="92">
        <f>Table24[[#This Row],[Total_GWP]]*Table24[[#This Row],[DENSITY]]/1000</f>
        <v>176.58799999999999</v>
      </c>
      <c r="Z42" s="149">
        <f>159.722/Table24[[#This Row],[DENSITY]]*1000</f>
        <v>67.966808510638302</v>
      </c>
      <c r="AA42" s="81">
        <f>(7.278+9.388+0.2)/Table24[[#This Row],[DENSITY]]*1000</f>
        <v>7.1770212765957444</v>
      </c>
      <c r="AB42" s="87">
        <f>SUM(Table24[[#This Row],[A1toA3_GWP-biogenic]:[C1toC4_GWP-biogenic]])</f>
        <v>0.24085106382978724</v>
      </c>
      <c r="AC42" s="123">
        <f>Table24[[#This Row],[GWP-biogenic]]*Table24[[#This Row],[DENSITY]]/1000</f>
        <v>0.56599999999999995</v>
      </c>
      <c r="AD42" s="83">
        <f>(0.554)/Table24[[#This Row],[DENSITY]]*1000</f>
        <v>0.23574468085106384</v>
      </c>
      <c r="AE42" s="85">
        <f>(0.003+0.008+0.001)/Table24[[#This Row],[DENSITY]]*1000</f>
        <v>5.106382978723404E-3</v>
      </c>
      <c r="AF42" s="178">
        <f ca="1">IF(OR($E42="Ecoinvent",$E42="Betonsortenrechner",$E42="KBOB",$V42&lt;=0,Table24[[#This Row],[VALID_TO]]&lt;=TODAY()),0,1)</f>
        <v>1</v>
      </c>
      <c r="AG42" s="178">
        <v>1</v>
      </c>
      <c r="AH42" s="178">
        <f ca="1">IF(AND(Table24[[#This Row],[ValidEPD]]&lt;&gt;0,Table24[[#This Row],[Man_Ausschluss]]&lt;&gt;0),1,0)</f>
        <v>1</v>
      </c>
      <c r="AI42" s="178" cm="1">
        <f t="array" aca="1" ref="AI42" ca="1">IF(Table24[[#This Row],[gültig]]&lt;&gt;0,
IF(V42=MIN(_xlfn._xlws.FILTER($V$2:$V$282,($P$2:$P$282=P42))),1,
IF(V42=MAX(_xlfn._xlws.FILTER($V$2:$V$282,($P$2:$P$282=P42))),1,0)),0)</f>
        <v>0</v>
      </c>
      <c r="AJ42" s="180"/>
      <c r="AK42" s="118"/>
      <c r="AL42" s="2"/>
    </row>
    <row r="43" spans="1:38" x14ac:dyDescent="0.45">
      <c r="A43" s="199" t="s">
        <v>638</v>
      </c>
      <c r="B43" s="200"/>
      <c r="C43" s="111">
        <v>42</v>
      </c>
      <c r="D43" s="210" t="s">
        <v>665</v>
      </c>
      <c r="E43" s="202" t="s">
        <v>666</v>
      </c>
      <c r="F43" s="211"/>
      <c r="G43" s="212">
        <v>45166</v>
      </c>
      <c r="H43" s="212">
        <v>46992</v>
      </c>
      <c r="I43" s="120" t="s">
        <v>52</v>
      </c>
      <c r="J43" s="204" t="s">
        <v>52</v>
      </c>
      <c r="K43" s="205" t="s">
        <v>738</v>
      </c>
      <c r="L43" s="206" t="s">
        <v>324</v>
      </c>
      <c r="M43" s="201" t="s">
        <v>316</v>
      </c>
      <c r="N43" s="207" t="s">
        <v>317</v>
      </c>
      <c r="O43" s="216" t="s">
        <v>416</v>
      </c>
      <c r="P43" s="96" t="s">
        <v>12</v>
      </c>
      <c r="Q43" s="120">
        <v>2465</v>
      </c>
      <c r="R43" s="211" t="s">
        <v>82</v>
      </c>
      <c r="S43" s="211">
        <v>32</v>
      </c>
      <c r="T43" s="211">
        <v>0.1</v>
      </c>
      <c r="U43" s="214" t="s">
        <v>83</v>
      </c>
      <c r="V43" s="92">
        <f>SUM(Table24[[#This Row],[A1toA3_GWP]:[C1toC4_GWP]])</f>
        <v>83.971196754563891</v>
      </c>
      <c r="W43" s="92"/>
      <c r="X43" s="92"/>
      <c r="Y43" s="92">
        <f>Table24[[#This Row],[Total_GWP]]*Table24[[#This Row],[DENSITY]]/1000</f>
        <v>206.989</v>
      </c>
      <c r="Z43" s="149">
        <f>189.653/Table24[[#This Row],[DENSITY]]*1000</f>
        <v>76.938336713995938</v>
      </c>
      <c r="AA43" s="81">
        <f>(7.278+9.848+0.21)/Table24[[#This Row],[DENSITY]]*1000</f>
        <v>7.032860040567952</v>
      </c>
      <c r="AB43" s="87">
        <f>SUM(Table24[[#This Row],[A1toA3_GWP-biogenic]:[C1toC4_GWP-biogenic]])</f>
        <v>0.27626774847870184</v>
      </c>
      <c r="AC43" s="123">
        <f>Table24[[#This Row],[GWP-biogenic]]*Table24[[#This Row],[DENSITY]]/1000</f>
        <v>0.68100000000000005</v>
      </c>
      <c r="AD43" s="83">
        <f>(0.669)/Table24[[#This Row],[DENSITY]]*1000</f>
        <v>0.27139959432048683</v>
      </c>
      <c r="AE43" s="85">
        <f>(0.003+0.008+0.001)/Table24[[#This Row],[DENSITY]]*1000</f>
        <v>4.8681541582150101E-3</v>
      </c>
      <c r="AF43" s="178">
        <f ca="1">IF(OR($E43="Ecoinvent",$E43="Betonsortenrechner",$E43="KBOB",$V43&lt;=0,Table24[[#This Row],[VALID_TO]]&lt;=TODAY()),0,1)</f>
        <v>1</v>
      </c>
      <c r="AG43" s="178">
        <v>1</v>
      </c>
      <c r="AH43" s="178">
        <f ca="1">IF(AND(Table24[[#This Row],[ValidEPD]]&lt;&gt;0,Table24[[#This Row],[Man_Ausschluss]]&lt;&gt;0),1,0)</f>
        <v>1</v>
      </c>
      <c r="AI43" s="178" cm="1">
        <f t="array" aca="1" ref="AI43" ca="1">IF(Table24[[#This Row],[gültig]]&lt;&gt;0,
IF(V43=MIN(_xlfn._xlws.FILTER($V$2:$V$282,($P$2:$P$282=P43))),1,
IF(V43=MAX(_xlfn._xlws.FILTER($V$2:$V$282,($P$2:$P$282=P43))),1,0)),0)</f>
        <v>0</v>
      </c>
      <c r="AJ43" s="180"/>
      <c r="AK43" s="118"/>
      <c r="AL43" s="2"/>
    </row>
    <row r="44" spans="1:38" x14ac:dyDescent="0.45">
      <c r="A44" s="199" t="s">
        <v>639</v>
      </c>
      <c r="B44" s="200"/>
      <c r="C44" s="111">
        <v>43</v>
      </c>
      <c r="D44" s="201" t="s">
        <v>680</v>
      </c>
      <c r="E44" s="202" t="s">
        <v>681</v>
      </c>
      <c r="F44" s="202"/>
      <c r="G44" s="203">
        <v>45630</v>
      </c>
      <c r="H44" s="203">
        <v>47455</v>
      </c>
      <c r="I44" s="120" t="s">
        <v>52</v>
      </c>
      <c r="J44" s="204" t="s">
        <v>52</v>
      </c>
      <c r="K44" s="205" t="s">
        <v>739</v>
      </c>
      <c r="L44" s="206" t="s">
        <v>324</v>
      </c>
      <c r="M44" s="201" t="s">
        <v>316</v>
      </c>
      <c r="N44" s="207" t="s">
        <v>317</v>
      </c>
      <c r="O44" s="216" t="s">
        <v>416</v>
      </c>
      <c r="P44" s="96" t="s">
        <v>12</v>
      </c>
      <c r="Q44" s="96">
        <v>2359</v>
      </c>
      <c r="R44" s="102" t="s">
        <v>416</v>
      </c>
      <c r="S44" s="102" t="s">
        <v>416</v>
      </c>
      <c r="T44" s="102" t="s">
        <v>416</v>
      </c>
      <c r="U44" s="217" t="s">
        <v>416</v>
      </c>
      <c r="V44" s="92">
        <f>SUM(Table24[[#This Row],[A1toA3_GWP]:[C1toC4_GWP]])</f>
        <v>85.926239932174653</v>
      </c>
      <c r="W44" s="92"/>
      <c r="X44" s="92"/>
      <c r="Y44" s="92">
        <f>Table24[[#This Row],[Total_GWP]]*Table24[[#This Row],[DENSITY]]/1000</f>
        <v>202.7</v>
      </c>
      <c r="Z44" s="149">
        <f>193/Table24[[#This Row],[DENSITY]]*1000</f>
        <v>81.814328105129292</v>
      </c>
      <c r="AA44" s="81">
        <f>(9.63+1.73-1.66)/Table24[[#This Row],[DENSITY]]*1000</f>
        <v>4.1119118270453585</v>
      </c>
      <c r="AB44" s="87">
        <f>SUM(Table24[[#This Row],[A1toA3_GWP-biogenic]:[C1toC4_GWP-biogenic]])</f>
        <v>0.28868164476473085</v>
      </c>
      <c r="AC44" s="123">
        <f>Table24[[#This Row],[GWP-biogenic]]*Table24[[#This Row],[DENSITY]]/1000</f>
        <v>0.68100000000000016</v>
      </c>
      <c r="AD44" s="83">
        <f>(0.669)/Table24[[#This Row],[DENSITY]]*1000</f>
        <v>0.28359474353539638</v>
      </c>
      <c r="AE44" s="85">
        <f>(0.003+0.008+0.001)/Table24[[#This Row],[DENSITY]]*1000</f>
        <v>5.0869012293344642E-3</v>
      </c>
      <c r="AF44" s="178">
        <f ca="1">IF(OR($E44="Ecoinvent",$E44="Betonsortenrechner",$E44="KBOB",$V44&lt;=0,Table24[[#This Row],[VALID_TO]]&lt;=TODAY()),0,1)</f>
        <v>1</v>
      </c>
      <c r="AG44" s="178">
        <v>1</v>
      </c>
      <c r="AH44" s="178">
        <f ca="1">IF(AND(Table24[[#This Row],[ValidEPD]]&lt;&gt;0,Table24[[#This Row],[Man_Ausschluss]]&lt;&gt;0),1,0)</f>
        <v>1</v>
      </c>
      <c r="AI44" s="178" cm="1">
        <f t="array" aca="1" ref="AI44" ca="1">IF(Table24[[#This Row],[gültig]]&lt;&gt;0,
IF(V44=MIN(_xlfn._xlws.FILTER($V$2:$V$282,($P$2:$P$282=P44))),1,
IF(V44=MAX(_xlfn._xlws.FILTER($V$2:$V$282,($P$2:$P$282=P44))),1,0)),0)</f>
        <v>0</v>
      </c>
      <c r="AJ44" s="180"/>
      <c r="AK44" s="2"/>
      <c r="AL44" s="2"/>
    </row>
    <row r="45" spans="1:38" x14ac:dyDescent="0.45">
      <c r="A45" s="199" t="s">
        <v>640</v>
      </c>
      <c r="B45" s="200"/>
      <c r="C45" s="111">
        <v>44</v>
      </c>
      <c r="D45" s="201" t="s">
        <v>682</v>
      </c>
      <c r="E45" s="202" t="s">
        <v>681</v>
      </c>
      <c r="F45" s="202"/>
      <c r="G45" s="203">
        <v>45866</v>
      </c>
      <c r="H45" s="203">
        <v>47691</v>
      </c>
      <c r="I45" s="120" t="s">
        <v>52</v>
      </c>
      <c r="J45" s="204" t="s">
        <v>52</v>
      </c>
      <c r="K45" s="205" t="s">
        <v>740</v>
      </c>
      <c r="L45" s="206" t="s">
        <v>324</v>
      </c>
      <c r="M45" s="201" t="s">
        <v>316</v>
      </c>
      <c r="N45" s="207" t="s">
        <v>317</v>
      </c>
      <c r="O45" s="216" t="s">
        <v>416</v>
      </c>
      <c r="P45" s="96" t="s">
        <v>12</v>
      </c>
      <c r="Q45" s="96">
        <v>2391</v>
      </c>
      <c r="R45" s="102" t="s">
        <v>416</v>
      </c>
      <c r="S45" s="102" t="s">
        <v>416</v>
      </c>
      <c r="T45" s="102" t="s">
        <v>416</v>
      </c>
      <c r="U45" s="217" t="s">
        <v>416</v>
      </c>
      <c r="V45" s="92">
        <f>SUM(Table24[[#This Row],[A1toA3_GWP]:[C1toC4_GWP]])</f>
        <v>121.00376411543287</v>
      </c>
      <c r="W45" s="92"/>
      <c r="X45" s="92"/>
      <c r="Y45" s="92">
        <f>Table24[[#This Row],[Total_GWP]]*Table24[[#This Row],[DENSITY]]/1000</f>
        <v>289.32</v>
      </c>
      <c r="Z45" s="149">
        <f>279/Table24[[#This Row],[DENSITY]]*1000</f>
        <v>116.68757841907151</v>
      </c>
      <c r="AA45" s="81">
        <f>(9.53+2.21-1.42)/Table24[[#This Row],[DENSITY]]*1000</f>
        <v>4.3161856963613543</v>
      </c>
      <c r="AB45" s="87">
        <f>SUM(Table24[[#This Row],[A1toA3_GWP-biogenic]:[C1toC4_GWP-biogenic]])</f>
        <v>0.15207611877875366</v>
      </c>
      <c r="AC45" s="123">
        <f>Table24[[#This Row],[GWP-biogenic]]*Table24[[#This Row],[DENSITY]]/1000</f>
        <v>0.36361399999999999</v>
      </c>
      <c r="AD45" s="83">
        <f>(0.36)/Table24[[#This Row],[DENSITY]]*1000</f>
        <v>0.15056461731493098</v>
      </c>
      <c r="AE45" s="85">
        <f>(1.25*10^-3+6.04*10^-4+1.76*10^-3)/Table24[[#This Row],[DENSITY]]*1000</f>
        <v>1.5115014638226684E-3</v>
      </c>
      <c r="AF45" s="178">
        <f ca="1">IF(OR($E45="Ecoinvent",$E45="Betonsortenrechner",$E45="KBOB",$V45&lt;=0,Table24[[#This Row],[VALID_TO]]&lt;=TODAY()),0,1)</f>
        <v>1</v>
      </c>
      <c r="AG45" s="178">
        <v>1</v>
      </c>
      <c r="AH45" s="178">
        <f ca="1">IF(AND(Table24[[#This Row],[ValidEPD]]&lt;&gt;0,Table24[[#This Row],[Man_Ausschluss]]&lt;&gt;0),1,0)</f>
        <v>1</v>
      </c>
      <c r="AI45" s="178" cm="1">
        <f t="array" aca="1" ref="AI45" ca="1">IF(Table24[[#This Row],[gültig]]&lt;&gt;0,
IF(V45=MIN(_xlfn._xlws.FILTER($V$2:$V$282,($P$2:$P$282=P45))),1,
IF(V45=MAX(_xlfn._xlws.FILTER($V$2:$V$282,($P$2:$P$282=P45))),1,0)),0)</f>
        <v>1</v>
      </c>
      <c r="AJ45" s="180"/>
      <c r="AK45" s="2"/>
      <c r="AL45" s="2"/>
    </row>
    <row r="46" spans="1:38" x14ac:dyDescent="0.45">
      <c r="A46" s="199" t="s">
        <v>641</v>
      </c>
      <c r="B46" s="200"/>
      <c r="C46" s="111">
        <v>45</v>
      </c>
      <c r="D46" s="201" t="s">
        <v>683</v>
      </c>
      <c r="E46" s="202" t="s">
        <v>681</v>
      </c>
      <c r="F46" s="202"/>
      <c r="G46" s="203">
        <v>45874</v>
      </c>
      <c r="H46" s="203">
        <v>47699</v>
      </c>
      <c r="I46" s="120" t="s">
        <v>52</v>
      </c>
      <c r="J46" s="204" t="s">
        <v>52</v>
      </c>
      <c r="K46" s="205" t="s">
        <v>741</v>
      </c>
      <c r="L46" s="206" t="s">
        <v>324</v>
      </c>
      <c r="M46" s="201" t="s">
        <v>316</v>
      </c>
      <c r="N46" s="207" t="s">
        <v>317</v>
      </c>
      <c r="O46" s="216" t="s">
        <v>416</v>
      </c>
      <c r="P46" s="96" t="s">
        <v>12</v>
      </c>
      <c r="Q46" s="96">
        <v>2366</v>
      </c>
      <c r="R46" s="102" t="s">
        <v>416</v>
      </c>
      <c r="S46" s="102" t="s">
        <v>416</v>
      </c>
      <c r="T46" s="102" t="s">
        <v>416</v>
      </c>
      <c r="U46" s="217" t="s">
        <v>416</v>
      </c>
      <c r="V46" s="92">
        <f>SUM(Table24[[#This Row],[A1toA3_GWP]:[C1toC4_GWP]])</f>
        <v>118.13186813186813</v>
      </c>
      <c r="W46" s="92"/>
      <c r="X46" s="92"/>
      <c r="Y46" s="92">
        <f>Table24[[#This Row],[Total_GWP]]*Table24[[#This Row],[DENSITY]]/1000</f>
        <v>279.5</v>
      </c>
      <c r="Z46" s="149">
        <f>269/Table24[[#This Row],[DENSITY]]*1000</f>
        <v>113.69399830938292</v>
      </c>
      <c r="AA46" s="81">
        <f>(9.53+2.2-1.23)/Table24[[#This Row],[DENSITY]]*1000</f>
        <v>4.4378698224852071</v>
      </c>
      <c r="AB46" s="87">
        <f>SUM(Table24[[#This Row],[A1toA3_GWP-biogenic]:[C1toC4_GWP-biogenic]])</f>
        <v>0.14945097210481825</v>
      </c>
      <c r="AC46" s="123">
        <f>Table24[[#This Row],[GWP-biogenic]]*Table24[[#This Row],[DENSITY]]/1000</f>
        <v>0.353601</v>
      </c>
      <c r="AD46" s="83">
        <f>(0.35)/Table24[[#This Row],[DENSITY]]*1000</f>
        <v>0.14792899408284024</v>
      </c>
      <c r="AE46" s="85">
        <f>(1.25*10^-3+6.01*10^-4+1.75*10^-3)/Table24[[#This Row],[DENSITY]]*1000</f>
        <v>1.5219780219780218E-3</v>
      </c>
      <c r="AF46" s="178">
        <f ca="1">IF(OR($E46="Ecoinvent",$E46="Betonsortenrechner",$E46="KBOB",$V46&lt;=0,Table24[[#This Row],[VALID_TO]]&lt;=TODAY()),0,1)</f>
        <v>1</v>
      </c>
      <c r="AG46" s="178">
        <v>1</v>
      </c>
      <c r="AH46" s="178">
        <f ca="1">IF(AND(Table24[[#This Row],[ValidEPD]]&lt;&gt;0,Table24[[#This Row],[Man_Ausschluss]]&lt;&gt;0),1,0)</f>
        <v>1</v>
      </c>
      <c r="AI46" s="178" cm="1">
        <f t="array" aca="1" ref="AI46" ca="1">IF(Table24[[#This Row],[gültig]]&lt;&gt;0,
IF(V46=MIN(_xlfn._xlws.FILTER($V$2:$V$282,($P$2:$P$282=P46))),1,
IF(V46=MAX(_xlfn._xlws.FILTER($V$2:$V$282,($P$2:$P$282=P46))),1,0)),0)</f>
        <v>0</v>
      </c>
      <c r="AJ46" s="180"/>
      <c r="AK46" s="2"/>
      <c r="AL46" s="2"/>
    </row>
    <row r="47" spans="1:38" x14ac:dyDescent="0.45">
      <c r="A47" s="199" t="s">
        <v>642</v>
      </c>
      <c r="B47" s="200"/>
      <c r="C47" s="111">
        <v>46</v>
      </c>
      <c r="D47" s="201" t="s">
        <v>684</v>
      </c>
      <c r="E47" s="202" t="s">
        <v>681</v>
      </c>
      <c r="F47" s="202"/>
      <c r="G47" s="203">
        <v>45866</v>
      </c>
      <c r="H47" s="203">
        <v>47691</v>
      </c>
      <c r="I47" s="120" t="s">
        <v>52</v>
      </c>
      <c r="J47" s="204" t="s">
        <v>52</v>
      </c>
      <c r="K47" s="205" t="s">
        <v>742</v>
      </c>
      <c r="L47" s="206" t="s">
        <v>324</v>
      </c>
      <c r="M47" s="201" t="s">
        <v>316</v>
      </c>
      <c r="N47" s="207" t="s">
        <v>317</v>
      </c>
      <c r="O47" s="216" t="s">
        <v>416</v>
      </c>
      <c r="P47" s="96" t="s">
        <v>7</v>
      </c>
      <c r="Q47" s="96">
        <v>2401</v>
      </c>
      <c r="R47" s="102" t="s">
        <v>416</v>
      </c>
      <c r="S47" s="102" t="s">
        <v>416</v>
      </c>
      <c r="T47" s="102" t="s">
        <v>416</v>
      </c>
      <c r="U47" s="217" t="s">
        <v>416</v>
      </c>
      <c r="V47" s="92">
        <f>SUM(Table24[[#This Row],[A1toA3_GWP]:[C1toC4_GWP]])</f>
        <v>82.107455226988748</v>
      </c>
      <c r="W47" s="92"/>
      <c r="X47" s="92"/>
      <c r="Y47" s="92">
        <f>Table24[[#This Row],[Total_GWP]]*Table24[[#This Row],[DENSITY]]/1000</f>
        <v>197.13999999999996</v>
      </c>
      <c r="Z47" s="149">
        <f>187/Table24[[#This Row],[DENSITY]]*1000</f>
        <v>77.884214910453977</v>
      </c>
      <c r="AA47" s="81">
        <f>(9.53+2.23-1.62)/Table24[[#This Row],[DENSITY]]*1000</f>
        <v>4.2232403165347776</v>
      </c>
      <c r="AB47" s="87">
        <f>SUM(Table24[[#This Row],[A1toA3_GWP-biogenic]:[C1toC4_GWP-biogenic]])</f>
        <v>7.231570179092045E-2</v>
      </c>
      <c r="AC47" s="123">
        <f>Table24[[#This Row],[GWP-biogenic]]*Table24[[#This Row],[DENSITY]]/1000</f>
        <v>0.17363000000000001</v>
      </c>
      <c r="AD47" s="83">
        <f>(0.17)/Table24[[#This Row],[DENSITY]]*1000</f>
        <v>7.0803831736776346E-2</v>
      </c>
      <c r="AE47" s="85">
        <f>(1.25*10^-3+6.1*10^-4+1.77*10^-3)/Table24[[#This Row],[DENSITY]]*1000</f>
        <v>1.511870054144107E-3</v>
      </c>
      <c r="AF47" s="178">
        <f ca="1">IF(OR($E47="Ecoinvent",$E47="Betonsortenrechner",$E47="KBOB",$V47&lt;=0,Table24[[#This Row],[VALID_TO]]&lt;=TODAY()),0,1)</f>
        <v>1</v>
      </c>
      <c r="AG47" s="178">
        <v>1</v>
      </c>
      <c r="AH47" s="178">
        <f ca="1">IF(AND(Table24[[#This Row],[ValidEPD]]&lt;&gt;0,Table24[[#This Row],[Man_Ausschluss]]&lt;&gt;0),1,0)</f>
        <v>1</v>
      </c>
      <c r="AI47" s="178" cm="1">
        <f t="array" aca="1" ref="AI47" ca="1">IF(Table24[[#This Row],[gültig]]&lt;&gt;0,
IF(V47=MIN(_xlfn._xlws.FILTER($V$2:$V$282,($P$2:$P$282=P47))),1,
IF(V47=MAX(_xlfn._xlws.FILTER($V$2:$V$282,($P$2:$P$282=P47))),1,0)),0)</f>
        <v>0</v>
      </c>
      <c r="AJ47" s="180"/>
      <c r="AK47" s="2"/>
      <c r="AL47" s="2"/>
    </row>
    <row r="48" spans="1:38" s="154" customFormat="1" x14ac:dyDescent="0.45">
      <c r="A48" s="199" t="s">
        <v>643</v>
      </c>
      <c r="B48" s="218"/>
      <c r="C48" s="111">
        <v>47</v>
      </c>
      <c r="D48" s="219"/>
      <c r="E48" s="220"/>
      <c r="F48" s="220"/>
      <c r="G48" s="221"/>
      <c r="H48" s="221"/>
      <c r="I48" s="222"/>
      <c r="J48" s="223"/>
      <c r="K48" s="224"/>
      <c r="L48" s="225"/>
      <c r="M48" s="219"/>
      <c r="N48" s="226"/>
      <c r="O48" s="227"/>
      <c r="P48" s="222"/>
      <c r="Q48" s="222"/>
      <c r="R48" s="228"/>
      <c r="S48" s="228"/>
      <c r="T48" s="228"/>
      <c r="U48" s="229"/>
      <c r="V48" s="230"/>
      <c r="W48" s="230"/>
      <c r="X48" s="230"/>
      <c r="Y48" s="230"/>
      <c r="Z48" s="231"/>
      <c r="AA48" s="232"/>
      <c r="AB48" s="233"/>
      <c r="AC48" s="234"/>
      <c r="AD48" s="235"/>
      <c r="AE48" s="236"/>
      <c r="AF48" s="233">
        <f ca="1">IF(OR($E48="Ecoinvent",$E48="Betonsortenrechner",$E48="KBOB",$V48&lt;=0,Table24[[#This Row],[VALID_TO]]&lt;=TODAY()),0,1)</f>
        <v>0</v>
      </c>
      <c r="AG48" s="233">
        <v>0</v>
      </c>
      <c r="AH48" s="233">
        <f ca="1">IF(AND(Table24[[#This Row],[ValidEPD]]&lt;&gt;0,Table24[[#This Row],[Man_Ausschluss]]&lt;&gt;0),1,0)</f>
        <v>0</v>
      </c>
      <c r="AI48" s="178" cm="1">
        <f t="array" aca="1" ref="AI48" ca="1">IF(Table24[[#This Row],[gültig]]&lt;&gt;0,
IF(V48=MIN(_xlfn._xlws.FILTER($V$2:$V$282,($P$2:$P$282=P48))),1,
IF(V48=MAX(_xlfn._xlws.FILTER($V$2:$V$282,($P$2:$P$282=P48))),1,0)),0)</f>
        <v>0</v>
      </c>
      <c r="AJ48" s="180"/>
      <c r="AK48" s="153"/>
      <c r="AL48" s="153"/>
    </row>
    <row r="49" spans="1:38" x14ac:dyDescent="0.45">
      <c r="A49" s="199" t="s">
        <v>644</v>
      </c>
      <c r="B49" s="200"/>
      <c r="C49" s="111">
        <v>48</v>
      </c>
      <c r="D49" s="201" t="s">
        <v>685</v>
      </c>
      <c r="E49" s="202" t="s">
        <v>681</v>
      </c>
      <c r="F49" s="202"/>
      <c r="G49" s="203">
        <v>45866</v>
      </c>
      <c r="H49" s="203">
        <v>47691</v>
      </c>
      <c r="I49" s="120" t="s">
        <v>52</v>
      </c>
      <c r="J49" s="204" t="s">
        <v>52</v>
      </c>
      <c r="K49" s="205" t="s">
        <v>743</v>
      </c>
      <c r="L49" s="206" t="s">
        <v>324</v>
      </c>
      <c r="M49" s="201" t="s">
        <v>316</v>
      </c>
      <c r="N49" s="207" t="s">
        <v>317</v>
      </c>
      <c r="O49" s="216" t="s">
        <v>416</v>
      </c>
      <c r="P49" s="96" t="s">
        <v>12</v>
      </c>
      <c r="Q49" s="96">
        <v>2367</v>
      </c>
      <c r="R49" s="102" t="s">
        <v>416</v>
      </c>
      <c r="S49" s="102" t="s">
        <v>416</v>
      </c>
      <c r="T49" s="102" t="s">
        <v>416</v>
      </c>
      <c r="U49" s="217" t="s">
        <v>416</v>
      </c>
      <c r="V49" s="92">
        <f>SUM(Table24[[#This Row],[A1toA3_GWP]:[C1toC4_GWP]])</f>
        <v>87.908745247148289</v>
      </c>
      <c r="W49" s="92"/>
      <c r="X49" s="92"/>
      <c r="Y49" s="92">
        <f>Table24[[#This Row],[Total_GWP]]*Table24[[#This Row],[DENSITY]]/1000</f>
        <v>208.08</v>
      </c>
      <c r="Z49" s="149">
        <f>198/Table24[[#This Row],[DENSITY]]*1000</f>
        <v>83.650190114068437</v>
      </c>
      <c r="AA49" s="81">
        <f>(9.53+2.2-1.65)/Table24[[#This Row],[DENSITY]]*1000</f>
        <v>4.2585551330798479</v>
      </c>
      <c r="AB49" s="87">
        <f>SUM(Table24[[#This Row],[A1toA3_GWP-biogenic]:[C1toC4_GWP-biogenic]])</f>
        <v>0.10714026193493874</v>
      </c>
      <c r="AC49" s="123">
        <f>Table24[[#This Row],[GWP-biogenic]]*Table24[[#This Row],[DENSITY]]/1000</f>
        <v>0.25360100000000002</v>
      </c>
      <c r="AD49" s="83">
        <f>(0.25)/Table24[[#This Row],[DENSITY]]*1000</f>
        <v>0.10561892691170258</v>
      </c>
      <c r="AE49" s="85">
        <f>(1.25*10^-3+6.01*10^-4+1.75*10^-3)/Table24[[#This Row],[DENSITY]]*1000</f>
        <v>1.5213350232361638E-3</v>
      </c>
      <c r="AF49" s="87">
        <f ca="1">IF(OR($E49="Ecoinvent",$E49="Betonsortenrechner",$E49="KBOB",$V49&lt;=0,Table24[[#This Row],[VALID_TO]]&lt;=TODAY()),0,1)</f>
        <v>1</v>
      </c>
      <c r="AG49" s="87">
        <v>1</v>
      </c>
      <c r="AH49" s="87">
        <f ca="1">IF(AND(Table24[[#This Row],[ValidEPD]]&lt;&gt;0,Table24[[#This Row],[Man_Ausschluss]]&lt;&gt;0),1,0)</f>
        <v>1</v>
      </c>
      <c r="AI49" s="178" cm="1">
        <f t="array" aca="1" ref="AI49" ca="1">IF(Table24[[#This Row],[gültig]]&lt;&gt;0,
IF(V49=MIN(_xlfn._xlws.FILTER($V$2:$V$282,($P$2:$P$282=P49))),1,
IF(V49=MAX(_xlfn._xlws.FILTER($V$2:$V$282,($P$2:$P$282=P49))),1,0)),0)</f>
        <v>0</v>
      </c>
      <c r="AJ49" s="180"/>
      <c r="AK49" s="2"/>
      <c r="AL49" s="2"/>
    </row>
    <row r="50" spans="1:38" x14ac:dyDescent="0.45">
      <c r="A50" s="199" t="s">
        <v>667</v>
      </c>
      <c r="B50" s="200"/>
      <c r="C50" s="111">
        <v>49</v>
      </c>
      <c r="D50" s="201" t="s">
        <v>686</v>
      </c>
      <c r="E50" s="202" t="s">
        <v>681</v>
      </c>
      <c r="F50" s="202"/>
      <c r="G50" s="203">
        <v>45866</v>
      </c>
      <c r="H50" s="203">
        <v>47691</v>
      </c>
      <c r="I50" s="120" t="s">
        <v>52</v>
      </c>
      <c r="J50" s="204" t="s">
        <v>52</v>
      </c>
      <c r="K50" s="205" t="s">
        <v>743</v>
      </c>
      <c r="L50" s="206" t="s">
        <v>324</v>
      </c>
      <c r="M50" s="201" t="s">
        <v>316</v>
      </c>
      <c r="N50" s="207" t="s">
        <v>317</v>
      </c>
      <c r="O50" s="216" t="s">
        <v>416</v>
      </c>
      <c r="P50" s="96" t="s">
        <v>12</v>
      </c>
      <c r="Q50" s="96">
        <v>2367</v>
      </c>
      <c r="R50" s="102" t="s">
        <v>416</v>
      </c>
      <c r="S50" s="102" t="s">
        <v>416</v>
      </c>
      <c r="T50" s="102" t="s">
        <v>416</v>
      </c>
      <c r="U50" s="217" t="s">
        <v>416</v>
      </c>
      <c r="V50" s="92">
        <f>SUM(Table24[[#This Row],[A1toA3_GWP]:[C1toC4_GWP]])</f>
        <v>87.908745247148289</v>
      </c>
      <c r="W50" s="92"/>
      <c r="X50" s="92"/>
      <c r="Y50" s="92">
        <f>Table24[[#This Row],[Total_GWP]]*Table24[[#This Row],[DENSITY]]/1000</f>
        <v>208.08</v>
      </c>
      <c r="Z50" s="149">
        <f>198/Table24[[#This Row],[DENSITY]]*1000</f>
        <v>83.650190114068437</v>
      </c>
      <c r="AA50" s="81">
        <f>(9.53+2.2-1.65)/Table24[[#This Row],[DENSITY]]*1000</f>
        <v>4.2585551330798479</v>
      </c>
      <c r="AB50" s="87">
        <f>SUM(Table24[[#This Row],[A1toA3_GWP-biogenic]:[C1toC4_GWP-biogenic]])</f>
        <v>0.10714026193493874</v>
      </c>
      <c r="AC50" s="123">
        <f>Table24[[#This Row],[GWP-biogenic]]*Table24[[#This Row],[DENSITY]]/1000</f>
        <v>0.25360100000000002</v>
      </c>
      <c r="AD50" s="83">
        <f>(0.25)/Table24[[#This Row],[DENSITY]]*1000</f>
        <v>0.10561892691170258</v>
      </c>
      <c r="AE50" s="85">
        <f>(1.25*10^-3+6.01*10^-4+1.75*10^-3)/Table24[[#This Row],[DENSITY]]*1000</f>
        <v>1.5213350232361638E-3</v>
      </c>
      <c r="AF50" s="87">
        <f ca="1">IF(OR($E50="Ecoinvent",$E50="Betonsortenrechner",$E50="KBOB",$V50&lt;=0,Table24[[#This Row],[VALID_TO]]&lt;=TODAY()),0,1)</f>
        <v>1</v>
      </c>
      <c r="AG50" s="87">
        <v>1</v>
      </c>
      <c r="AH50" s="87">
        <f ca="1">IF(AND(Table24[[#This Row],[ValidEPD]]&lt;&gt;0,Table24[[#This Row],[Man_Ausschluss]]&lt;&gt;0),1,0)</f>
        <v>1</v>
      </c>
      <c r="AI50" s="178" cm="1">
        <f t="array" aca="1" ref="AI50" ca="1">IF(Table24[[#This Row],[gültig]]&lt;&gt;0,
IF(V50=MIN(_xlfn._xlws.FILTER($V$2:$V$282,($P$2:$P$282=P50))),1,
IF(V50=MAX(_xlfn._xlws.FILTER($V$2:$V$282,($P$2:$P$282=P50))),1,0)),0)</f>
        <v>0</v>
      </c>
      <c r="AJ50" s="180"/>
      <c r="AK50" s="2"/>
      <c r="AL50" s="2"/>
    </row>
    <row r="51" spans="1:38" x14ac:dyDescent="0.45">
      <c r="A51" s="199" t="s">
        <v>668</v>
      </c>
      <c r="B51" s="200"/>
      <c r="C51" s="111">
        <v>50</v>
      </c>
      <c r="D51" s="201" t="s">
        <v>687</v>
      </c>
      <c r="E51" s="202" t="s">
        <v>681</v>
      </c>
      <c r="F51" s="202"/>
      <c r="G51" s="203">
        <v>45866</v>
      </c>
      <c r="H51" s="203">
        <v>47691</v>
      </c>
      <c r="I51" s="120" t="s">
        <v>52</v>
      </c>
      <c r="J51" s="204" t="s">
        <v>52</v>
      </c>
      <c r="K51" s="205" t="s">
        <v>744</v>
      </c>
      <c r="L51" s="206" t="s">
        <v>324</v>
      </c>
      <c r="M51" s="201" t="s">
        <v>316</v>
      </c>
      <c r="N51" s="207" t="s">
        <v>317</v>
      </c>
      <c r="O51" s="216" t="s">
        <v>416</v>
      </c>
      <c r="P51" s="96" t="s">
        <v>12</v>
      </c>
      <c r="Q51" s="96">
        <v>2378</v>
      </c>
      <c r="R51" s="102" t="s">
        <v>416</v>
      </c>
      <c r="S51" s="102" t="s">
        <v>416</v>
      </c>
      <c r="T51" s="102" t="s">
        <v>416</v>
      </c>
      <c r="U51" s="217" t="s">
        <v>416</v>
      </c>
      <c r="V51" s="92">
        <f>SUM(Table24[[#This Row],[A1toA3_GWP]:[C1toC4_GWP]])</f>
        <v>89.65096719932717</v>
      </c>
      <c r="W51" s="92"/>
      <c r="X51" s="92"/>
      <c r="Y51" s="92">
        <f>Table24[[#This Row],[Total_GWP]]*Table24[[#This Row],[DENSITY]]/1000</f>
        <v>213.19</v>
      </c>
      <c r="Z51" s="149">
        <f>203/Table24[[#This Row],[DENSITY]]*1000</f>
        <v>85.365853658536594</v>
      </c>
      <c r="AA51" s="81">
        <f>(9.53+2.2-1.54)/Table24[[#This Row],[DENSITY]]*1000</f>
        <v>4.2851135407905812</v>
      </c>
      <c r="AB51" s="87">
        <f>SUM(Table24[[#This Row],[A1toA3_GWP-biogenic]:[C1toC4_GWP-biogenic]])</f>
        <v>0.10664592094196804</v>
      </c>
      <c r="AC51" s="123">
        <f>Table24[[#This Row],[GWP-biogenic]]*Table24[[#This Row],[DENSITY]]/1000</f>
        <v>0.253604</v>
      </c>
      <c r="AD51" s="83">
        <f>(0.25)/Table24[[#This Row],[DENSITY]]*1000</f>
        <v>0.10513036164844407</v>
      </c>
      <c r="AE51" s="85">
        <f>(1.25*10^-3+6.04*10^-4+1.75*10^-3)/Table24[[#This Row],[DENSITY]]*1000</f>
        <v>1.51555929352397E-3</v>
      </c>
      <c r="AF51" s="87">
        <f ca="1">IF(OR($E51="Ecoinvent",$E51="Betonsortenrechner",$E51="KBOB",$V51&lt;=0,Table24[[#This Row],[VALID_TO]]&lt;=TODAY()),0,1)</f>
        <v>1</v>
      </c>
      <c r="AG51" s="87">
        <v>1</v>
      </c>
      <c r="AH51" s="87">
        <f ca="1">IF(AND(Table24[[#This Row],[ValidEPD]]&lt;&gt;0,Table24[[#This Row],[Man_Ausschluss]]&lt;&gt;0),1,0)</f>
        <v>1</v>
      </c>
      <c r="AI51" s="178" cm="1">
        <f t="array" aca="1" ref="AI51" ca="1">IF(Table24[[#This Row],[gültig]]&lt;&gt;0,
IF(V51=MIN(_xlfn._xlws.FILTER($V$2:$V$282,($P$2:$P$282=P51))),1,
IF(V51=MAX(_xlfn._xlws.FILTER($V$2:$V$282,($P$2:$P$282=P51))),1,0)),0)</f>
        <v>0</v>
      </c>
      <c r="AJ51" s="180"/>
      <c r="AK51" s="2"/>
      <c r="AL51" s="2"/>
    </row>
    <row r="52" spans="1:38" x14ac:dyDescent="0.45">
      <c r="A52" s="199" t="s">
        <v>669</v>
      </c>
      <c r="B52" s="200"/>
      <c r="C52" s="111">
        <v>51</v>
      </c>
      <c r="D52" s="201" t="s">
        <v>688</v>
      </c>
      <c r="E52" s="202" t="s">
        <v>681</v>
      </c>
      <c r="F52" s="202"/>
      <c r="G52" s="203">
        <v>45866</v>
      </c>
      <c r="H52" s="203">
        <v>47691</v>
      </c>
      <c r="I52" s="120" t="s">
        <v>52</v>
      </c>
      <c r="J52" s="204" t="s">
        <v>52</v>
      </c>
      <c r="K52" s="205" t="s">
        <v>745</v>
      </c>
      <c r="L52" s="206" t="s">
        <v>324</v>
      </c>
      <c r="M52" s="201" t="s">
        <v>316</v>
      </c>
      <c r="N52" s="207" t="s">
        <v>317</v>
      </c>
      <c r="O52" s="216" t="s">
        <v>416</v>
      </c>
      <c r="P52" s="96" t="s">
        <v>12</v>
      </c>
      <c r="Q52" s="96">
        <v>2374</v>
      </c>
      <c r="R52" s="102" t="s">
        <v>416</v>
      </c>
      <c r="S52" s="102" t="s">
        <v>416</v>
      </c>
      <c r="T52" s="102" t="s">
        <v>416</v>
      </c>
      <c r="U52" s="217" t="s">
        <v>416</v>
      </c>
      <c r="V52" s="92">
        <f>SUM(Table24[[#This Row],[A1toA3_GWP]:[C1toC4_GWP]])</f>
        <v>92.34625105307498</v>
      </c>
      <c r="W52" s="92"/>
      <c r="X52" s="92"/>
      <c r="Y52" s="92">
        <f>Table24[[#This Row],[Total_GWP]]*Table24[[#This Row],[DENSITY]]/1000</f>
        <v>219.23</v>
      </c>
      <c r="Z52" s="149">
        <f>209/Table24[[#This Row],[DENSITY]]*1000</f>
        <v>88.03706823925863</v>
      </c>
      <c r="AA52" s="81">
        <f>(9.53+2.2-1.5)/Table24[[#This Row],[DENSITY]]*1000</f>
        <v>4.3091828138163439</v>
      </c>
      <c r="AB52" s="87">
        <f>SUM(Table24[[#This Row],[A1toA3_GWP-biogenic]:[C1toC4_GWP-biogenic]])</f>
        <v>0.11527548441449033</v>
      </c>
      <c r="AC52" s="123">
        <f>Table24[[#This Row],[GWP-biogenic]]*Table24[[#This Row],[DENSITY]]/1000</f>
        <v>0.27366400000000002</v>
      </c>
      <c r="AD52" s="83">
        <f>(0.27)/Table24[[#This Row],[DENSITY]]*1000</f>
        <v>0.11373209772535806</v>
      </c>
      <c r="AE52" s="85">
        <f>(1.25*10^-3+6.04*10^-4+1.81*10^-3)/Table24[[#This Row],[DENSITY]]*1000</f>
        <v>1.5433866891322665E-3</v>
      </c>
      <c r="AF52" s="87">
        <f ca="1">IF(OR($E52="Ecoinvent",$E52="Betonsortenrechner",$E52="KBOB",$V52&lt;=0,Table24[[#This Row],[VALID_TO]]&lt;=TODAY()),0,1)</f>
        <v>1</v>
      </c>
      <c r="AG52" s="87">
        <v>1</v>
      </c>
      <c r="AH52" s="87">
        <f ca="1">IF(AND(Table24[[#This Row],[ValidEPD]]&lt;&gt;0,Table24[[#This Row],[Man_Ausschluss]]&lt;&gt;0),1,0)</f>
        <v>1</v>
      </c>
      <c r="AI52" s="178" cm="1">
        <f t="array" aca="1" ref="AI52" ca="1">IF(Table24[[#This Row],[gültig]]&lt;&gt;0,
IF(V52=MIN(_xlfn._xlws.FILTER($V$2:$V$282,($P$2:$P$282=P52))),1,
IF(V52=MAX(_xlfn._xlws.FILTER($V$2:$V$282,($P$2:$P$282=P52))),1,0)),0)</f>
        <v>0</v>
      </c>
      <c r="AJ52" s="180"/>
      <c r="AK52" s="2"/>
      <c r="AL52" s="2"/>
    </row>
    <row r="53" spans="1:38" x14ac:dyDescent="0.45">
      <c r="A53" s="199" t="s">
        <v>670</v>
      </c>
      <c r="B53" s="200"/>
      <c r="C53" s="111">
        <v>52</v>
      </c>
      <c r="D53" s="201" t="s">
        <v>689</v>
      </c>
      <c r="E53" s="202" t="s">
        <v>681</v>
      </c>
      <c r="F53" s="202"/>
      <c r="G53" s="203">
        <v>45866</v>
      </c>
      <c r="H53" s="203">
        <v>47691</v>
      </c>
      <c r="I53" s="120" t="s">
        <v>52</v>
      </c>
      <c r="J53" s="204" t="s">
        <v>52</v>
      </c>
      <c r="K53" s="205" t="s">
        <v>746</v>
      </c>
      <c r="L53" s="206" t="s">
        <v>324</v>
      </c>
      <c r="M53" s="201" t="s">
        <v>316</v>
      </c>
      <c r="N53" s="207" t="s">
        <v>317</v>
      </c>
      <c r="O53" s="216" t="s">
        <v>416</v>
      </c>
      <c r="P53" s="96" t="s">
        <v>12</v>
      </c>
      <c r="Q53" s="96">
        <v>2398</v>
      </c>
      <c r="R53" s="102" t="s">
        <v>416</v>
      </c>
      <c r="S53" s="102" t="s">
        <v>416</v>
      </c>
      <c r="T53" s="102" t="s">
        <v>416</v>
      </c>
      <c r="U53" s="217" t="s">
        <v>416</v>
      </c>
      <c r="V53" s="92">
        <f>SUM(Table24[[#This Row],[A1toA3_GWP]:[C1toC4_GWP]])</f>
        <v>95.967472894078398</v>
      </c>
      <c r="W53" s="92"/>
      <c r="X53" s="92"/>
      <c r="Y53" s="92">
        <f>Table24[[#This Row],[Total_GWP]]*Table24[[#This Row],[DENSITY]]/1000</f>
        <v>230.13</v>
      </c>
      <c r="Z53" s="149">
        <f>220/Table24[[#This Row],[DENSITY]]*1000</f>
        <v>91.743119266055047</v>
      </c>
      <c r="AA53" s="81">
        <f>(9.53+2.23-1.63)/Table24[[#This Row],[DENSITY]]*1000</f>
        <v>4.2243536280233522</v>
      </c>
      <c r="AB53" s="87">
        <f>SUM(Table24[[#This Row],[A1toA3_GWP-biogenic]:[C1toC4_GWP-biogenic]])</f>
        <v>0.10159674728940785</v>
      </c>
      <c r="AC53" s="123">
        <f>Table24[[#This Row],[GWP-biogenic]]*Table24[[#This Row],[DENSITY]]/1000</f>
        <v>0.24362900000000001</v>
      </c>
      <c r="AD53" s="83">
        <f>(0.24)/Table24[[#This Row],[DENSITY]]*1000</f>
        <v>0.10008340283569642</v>
      </c>
      <c r="AE53" s="85">
        <f>(1.25*10^-3+6.09*10^-4+1.77*10^-3)/Table24[[#This Row],[DENSITY]]*1000</f>
        <v>1.5133444537114263E-3</v>
      </c>
      <c r="AF53" s="87">
        <f ca="1">IF(OR($E53="Ecoinvent",$E53="Betonsortenrechner",$E53="KBOB",$V53&lt;=0,Table24[[#This Row],[VALID_TO]]&lt;=TODAY()),0,1)</f>
        <v>1</v>
      </c>
      <c r="AG53" s="87">
        <v>1</v>
      </c>
      <c r="AH53" s="87">
        <f ca="1">IF(AND(Table24[[#This Row],[ValidEPD]]&lt;&gt;0,Table24[[#This Row],[Man_Ausschluss]]&lt;&gt;0),1,0)</f>
        <v>1</v>
      </c>
      <c r="AI53" s="178" cm="1">
        <f t="array" aca="1" ref="AI53" ca="1">IF(Table24[[#This Row],[gültig]]&lt;&gt;0,
IF(V53=MIN(_xlfn._xlws.FILTER($V$2:$V$282,($P$2:$P$282=P53))),1,
IF(V53=MAX(_xlfn._xlws.FILTER($V$2:$V$282,($P$2:$P$282=P53))),1,0)),0)</f>
        <v>0</v>
      </c>
      <c r="AJ53" s="180"/>
      <c r="AK53" s="2"/>
      <c r="AL53" s="2"/>
    </row>
    <row r="54" spans="1:38" x14ac:dyDescent="0.45">
      <c r="A54" s="199" t="s">
        <v>671</v>
      </c>
      <c r="B54" s="200"/>
      <c r="C54" s="111">
        <v>53</v>
      </c>
      <c r="D54" s="201" t="s">
        <v>690</v>
      </c>
      <c r="E54" s="202" t="s">
        <v>681</v>
      </c>
      <c r="F54" s="202"/>
      <c r="G54" s="203">
        <v>45866</v>
      </c>
      <c r="H54" s="203">
        <v>47691</v>
      </c>
      <c r="I54" s="120" t="s">
        <v>52</v>
      </c>
      <c r="J54" s="204" t="s">
        <v>52</v>
      </c>
      <c r="K54" s="205" t="s">
        <v>747</v>
      </c>
      <c r="L54" s="206" t="s">
        <v>324</v>
      </c>
      <c r="M54" s="201" t="s">
        <v>316</v>
      </c>
      <c r="N54" s="207" t="s">
        <v>317</v>
      </c>
      <c r="O54" s="216" t="s">
        <v>416</v>
      </c>
      <c r="P54" s="96" t="s">
        <v>691</v>
      </c>
      <c r="Q54" s="96">
        <v>2453</v>
      </c>
      <c r="R54" s="102" t="s">
        <v>416</v>
      </c>
      <c r="S54" s="102" t="s">
        <v>416</v>
      </c>
      <c r="T54" s="102" t="s">
        <v>416</v>
      </c>
      <c r="U54" s="217" t="s">
        <v>416</v>
      </c>
      <c r="V54" s="92">
        <f>SUM(Table24[[#This Row],[A1toA3_GWP]:[C1toC4_GWP]])</f>
        <v>97.52547900529963</v>
      </c>
      <c r="W54" s="92"/>
      <c r="X54" s="92"/>
      <c r="Y54" s="92">
        <f>Table24[[#This Row],[Total_GWP]]*Table24[[#This Row],[DENSITY]]/1000</f>
        <v>239.23</v>
      </c>
      <c r="Z54" s="149">
        <f>229/Table24[[#This Row],[DENSITY]]*1000</f>
        <v>93.355075417855687</v>
      </c>
      <c r="AA54" s="81">
        <f>(9.53+2.28-1.58)/Table24[[#This Row],[DENSITY]]*1000</f>
        <v>4.1704035874439453</v>
      </c>
      <c r="AB54" s="87">
        <f>SUM(Table24[[#This Row],[A1toA3_GWP-biogenic]:[C1toC4_GWP-biogenic]])</f>
        <v>0.12380065226253566</v>
      </c>
      <c r="AC54" s="123">
        <f>Table24[[#This Row],[GWP-biogenic]]*Table24[[#This Row],[DENSITY]]/1000</f>
        <v>0.30368299999999998</v>
      </c>
      <c r="AD54" s="83">
        <f>(0.3)/Table24[[#This Row],[DENSITY]]*1000</f>
        <v>0.12229922543823887</v>
      </c>
      <c r="AE54" s="85">
        <f>(1.25*10^-3+6.23*10^-4+1.81*10^-3)/Table24[[#This Row],[DENSITY]]*1000</f>
        <v>1.5014268242967796E-3</v>
      </c>
      <c r="AF54" s="87">
        <f ca="1">IF(OR($E54="Ecoinvent",$E54="Betonsortenrechner",$E54="KBOB",$V54&lt;=0,Table24[[#This Row],[VALID_TO]]&lt;=TODAY()),0,1)</f>
        <v>1</v>
      </c>
      <c r="AG54" s="87">
        <v>0</v>
      </c>
      <c r="AH54" s="87">
        <f ca="1">IF(AND(Table24[[#This Row],[ValidEPD]]&lt;&gt;0,Table24[[#This Row],[Man_Ausschluss]]&lt;&gt;0),1,0)</f>
        <v>0</v>
      </c>
      <c r="AI54" s="178" cm="1">
        <f t="array" aca="1" ref="AI54" ca="1">IF(Table24[[#This Row],[gültig]]&lt;&gt;0,
IF(V54=MIN(_xlfn._xlws.FILTER($V$2:$V$282,($P$2:$P$282=P54))),1,
IF(V54=MAX(_xlfn._xlws.FILTER($V$2:$V$282,($P$2:$P$282=P54))),1,0)),0)</f>
        <v>0</v>
      </c>
      <c r="AJ54" s="180"/>
      <c r="AK54" s="2"/>
      <c r="AL54" s="2"/>
    </row>
    <row r="55" spans="1:38" x14ac:dyDescent="0.45">
      <c r="A55" s="199" t="s">
        <v>672</v>
      </c>
      <c r="B55" s="200"/>
      <c r="C55" s="111">
        <v>54</v>
      </c>
      <c r="D55" s="201" t="s">
        <v>692</v>
      </c>
      <c r="E55" s="202" t="s">
        <v>681</v>
      </c>
      <c r="F55" s="202"/>
      <c r="G55" s="203">
        <v>45727</v>
      </c>
      <c r="H55" s="203">
        <v>47552</v>
      </c>
      <c r="I55" s="120" t="s">
        <v>52</v>
      </c>
      <c r="J55" s="204" t="s">
        <v>52</v>
      </c>
      <c r="K55" s="205" t="s">
        <v>748</v>
      </c>
      <c r="L55" s="206" t="s">
        <v>324</v>
      </c>
      <c r="M55" s="201" t="s">
        <v>316</v>
      </c>
      <c r="N55" s="207" t="s">
        <v>317</v>
      </c>
      <c r="O55" s="216" t="s">
        <v>416</v>
      </c>
      <c r="P55" s="96" t="s">
        <v>12</v>
      </c>
      <c r="Q55" s="96">
        <v>2342</v>
      </c>
      <c r="R55" s="102" t="s">
        <v>416</v>
      </c>
      <c r="S55" s="102" t="s">
        <v>416</v>
      </c>
      <c r="T55" s="102" t="s">
        <v>416</v>
      </c>
      <c r="U55" s="217" t="s">
        <v>416</v>
      </c>
      <c r="V55" s="92">
        <f>SUM(Table24[[#This Row],[A1toA3_GWP]:[C1toC4_GWP]])</f>
        <v>99.052092228864225</v>
      </c>
      <c r="W55" s="92"/>
      <c r="X55" s="92"/>
      <c r="Y55" s="92">
        <f>Table24[[#This Row],[Total_GWP]]*Table24[[#This Row],[DENSITY]]/1000</f>
        <v>231.98000000000002</v>
      </c>
      <c r="Z55" s="149">
        <f>222/Table24[[#This Row],[DENSITY]]*1000</f>
        <v>94.790777113578145</v>
      </c>
      <c r="AA55" s="81">
        <f>(9.53+1.72-1.27)/Table24[[#This Row],[DENSITY]]*1000</f>
        <v>4.26131511528608</v>
      </c>
      <c r="AB55" s="87">
        <f>SUM(Table24[[#This Row],[A1toA3_GWP-biogenic]:[C1toC4_GWP-biogenic]])</f>
        <v>0.13796541417591801</v>
      </c>
      <c r="AC55" s="123">
        <f>Table24[[#This Row],[GWP-biogenic]]*Table24[[#This Row],[DENSITY]]/1000</f>
        <v>0.32311499999999999</v>
      </c>
      <c r="AD55" s="83">
        <f>(0.32)/Table24[[#This Row],[DENSITY]]*1000</f>
        <v>0.13663535439795046</v>
      </c>
      <c r="AE55" s="85">
        <f>(1.25*10^-3+1.35*10^-4+1.73*10^-3)/Table24[[#This Row],[DENSITY]]*1000</f>
        <v>1.3300597779675491E-3</v>
      </c>
      <c r="AF55" s="87">
        <f ca="1">IF(OR($E55="Ecoinvent",$E55="Betonsortenrechner",$E55="KBOB",$V55&lt;=0,Table24[[#This Row],[VALID_TO]]&lt;=TODAY()),0,1)</f>
        <v>1</v>
      </c>
      <c r="AG55" s="87">
        <v>1</v>
      </c>
      <c r="AH55" s="87">
        <f ca="1">IF(AND(Table24[[#This Row],[ValidEPD]]&lt;&gt;0,Table24[[#This Row],[Man_Ausschluss]]&lt;&gt;0),1,0)</f>
        <v>1</v>
      </c>
      <c r="AI55" s="178" cm="1">
        <f t="array" aca="1" ref="AI55" ca="1">IF(Table24[[#This Row],[gültig]]&lt;&gt;0,
IF(V55=MIN(_xlfn._xlws.FILTER($V$2:$V$282,($P$2:$P$282=P55))),1,
IF(V55=MAX(_xlfn._xlws.FILTER($V$2:$V$282,($P$2:$P$282=P55))),1,0)),0)</f>
        <v>0</v>
      </c>
      <c r="AJ55" s="180"/>
      <c r="AK55" s="2"/>
      <c r="AL55" s="2"/>
    </row>
    <row r="56" spans="1:38" x14ac:dyDescent="0.45">
      <c r="A56" s="199" t="s">
        <v>673</v>
      </c>
      <c r="B56" s="200"/>
      <c r="C56" s="111">
        <v>55</v>
      </c>
      <c r="D56" s="201" t="s">
        <v>693</v>
      </c>
      <c r="E56" s="202" t="s">
        <v>681</v>
      </c>
      <c r="F56" s="202"/>
      <c r="G56" s="203">
        <v>45798</v>
      </c>
      <c r="H56" s="203">
        <v>47623</v>
      </c>
      <c r="I56" s="120" t="s">
        <v>52</v>
      </c>
      <c r="J56" s="204" t="s">
        <v>52</v>
      </c>
      <c r="K56" s="205" t="s">
        <v>749</v>
      </c>
      <c r="L56" s="206" t="s">
        <v>324</v>
      </c>
      <c r="M56" s="201" t="s">
        <v>316</v>
      </c>
      <c r="N56" s="207" t="s">
        <v>317</v>
      </c>
      <c r="O56" s="216" t="s">
        <v>416</v>
      </c>
      <c r="P56" s="96" t="s">
        <v>12</v>
      </c>
      <c r="Q56" s="96">
        <v>2387</v>
      </c>
      <c r="R56" s="102" t="s">
        <v>416</v>
      </c>
      <c r="S56" s="102" t="s">
        <v>416</v>
      </c>
      <c r="T56" s="102" t="s">
        <v>416</v>
      </c>
      <c r="U56" s="217" t="s">
        <v>416</v>
      </c>
      <c r="V56" s="92">
        <f>SUM(Table24[[#This Row],[A1toA3_GWP]:[C1toC4_GWP]])</f>
        <v>69.430247172182661</v>
      </c>
      <c r="W56" s="92"/>
      <c r="X56" s="92"/>
      <c r="Y56" s="92">
        <f>Table24[[#This Row],[Total_GWP]]*Table24[[#This Row],[DENSITY]]/1000</f>
        <v>165.73</v>
      </c>
      <c r="Z56" s="149">
        <f>156/Table24[[#This Row],[DENSITY]]*1000</f>
        <v>65.354000837871808</v>
      </c>
      <c r="AA56" s="81">
        <f>(9.53+2.22-2.02)/Table24[[#This Row],[DENSITY]]*1000</f>
        <v>4.0762463343108504</v>
      </c>
      <c r="AB56" s="87">
        <f>SUM(Table24[[#This Row],[A1toA3_GWP-biogenic]:[C1toC4_GWP-biogenic]])</f>
        <v>0.90641642228739006</v>
      </c>
      <c r="AC56" s="123">
        <f>Table24[[#This Row],[GWP-biogenic]]*Table24[[#This Row],[DENSITY]]/1000</f>
        <v>2.1636160000000002</v>
      </c>
      <c r="AD56" s="83">
        <f>(2.16)/Table24[[#This Row],[DENSITY]]*1000</f>
        <v>0.90490155006284045</v>
      </c>
      <c r="AE56" s="85">
        <f>(1.25*10^-3+6.06*10^-4+1.76*10^-3)/Table24[[#This Row],[DENSITY]]*1000</f>
        <v>1.5148722245496441E-3</v>
      </c>
      <c r="AF56" s="87">
        <f ca="1">IF(OR($E56="Ecoinvent",$E56="Betonsortenrechner",$E56="KBOB",$V56&lt;=0,Table24[[#This Row],[VALID_TO]]&lt;=TODAY()),0,1)</f>
        <v>1</v>
      </c>
      <c r="AG56" s="87">
        <v>1</v>
      </c>
      <c r="AH56" s="87">
        <f ca="1">IF(AND(Table24[[#This Row],[ValidEPD]]&lt;&gt;0,Table24[[#This Row],[Man_Ausschluss]]&lt;&gt;0),1,0)</f>
        <v>1</v>
      </c>
      <c r="AI56" s="178" cm="1">
        <f t="array" aca="1" ref="AI56" ca="1">IF(Table24[[#This Row],[gültig]]&lt;&gt;0,
IF(V56=MIN(_xlfn._xlws.FILTER($V$2:$V$282,($P$2:$P$282=P56))),1,
IF(V56=MAX(_xlfn._xlws.FILTER($V$2:$V$282,($P$2:$P$282=P56))),1,0)),0)</f>
        <v>0</v>
      </c>
      <c r="AJ56" s="180"/>
      <c r="AK56" s="2"/>
      <c r="AL56" s="2"/>
    </row>
    <row r="57" spans="1:38" x14ac:dyDescent="0.45">
      <c r="A57" s="199" t="s">
        <v>674</v>
      </c>
      <c r="B57" s="200"/>
      <c r="C57" s="111">
        <v>56</v>
      </c>
      <c r="D57" s="201" t="s">
        <v>694</v>
      </c>
      <c r="E57" s="202" t="s">
        <v>681</v>
      </c>
      <c r="F57" s="202"/>
      <c r="G57" s="203">
        <v>45727</v>
      </c>
      <c r="H57" s="203">
        <v>47552</v>
      </c>
      <c r="I57" s="120" t="s">
        <v>52</v>
      </c>
      <c r="J57" s="204" t="s">
        <v>52</v>
      </c>
      <c r="K57" s="205" t="s">
        <v>749</v>
      </c>
      <c r="L57" s="206" t="s">
        <v>324</v>
      </c>
      <c r="M57" s="201" t="s">
        <v>316</v>
      </c>
      <c r="N57" s="207" t="s">
        <v>317</v>
      </c>
      <c r="O57" s="216" t="s">
        <v>416</v>
      </c>
      <c r="P57" s="96" t="s">
        <v>12</v>
      </c>
      <c r="Q57" s="96">
        <v>2363</v>
      </c>
      <c r="R57" s="102" t="s">
        <v>416</v>
      </c>
      <c r="S57" s="102" t="s">
        <v>416</v>
      </c>
      <c r="T57" s="102" t="s">
        <v>416</v>
      </c>
      <c r="U57" s="217" t="s">
        <v>416</v>
      </c>
      <c r="V57" s="92">
        <f>SUM(Table24[[#This Row],[A1toA3_GWP]:[C1toC4_GWP]])</f>
        <v>79.064748201438846</v>
      </c>
      <c r="W57" s="92"/>
      <c r="X57" s="92"/>
      <c r="Y57" s="92">
        <f>Table24[[#This Row],[Total_GWP]]*Table24[[#This Row],[DENSITY]]/1000</f>
        <v>186.83</v>
      </c>
      <c r="Z57" s="149">
        <f>177/Table24[[#This Row],[DENSITY]]*1000</f>
        <v>74.904782056707575</v>
      </c>
      <c r="AA57" s="81">
        <f>(9.53+1.74-1.44)/Table24[[#This Row],[DENSITY]]*1000</f>
        <v>4.1599661447312739</v>
      </c>
      <c r="AB57" s="87">
        <f>SUM(Table24[[#This Row],[A1toA3_GWP-biogenic]:[C1toC4_GWP-biogenic]])</f>
        <v>8.5961066440964892E-2</v>
      </c>
      <c r="AC57" s="123">
        <f>Table24[[#This Row],[GWP-biogenic]]*Table24[[#This Row],[DENSITY]]/1000</f>
        <v>0.20312600000000003</v>
      </c>
      <c r="AD57" s="83">
        <f>(0.2)/Table24[[#This Row],[DENSITY]]*1000</f>
        <v>8.46381718154888E-2</v>
      </c>
      <c r="AE57" s="85">
        <f>(1.25*10^-3+1.36*10^-4+1.74*10^-3)/Table24[[#This Row],[DENSITY]]*1000</f>
        <v>1.3228946254760898E-3</v>
      </c>
      <c r="AF57" s="87">
        <f ca="1">IF(OR($E57="Ecoinvent",$E57="Betonsortenrechner",$E57="KBOB",$V57&lt;=0,Table24[[#This Row],[VALID_TO]]&lt;=TODAY()),0,1)</f>
        <v>1</v>
      </c>
      <c r="AG57" s="87">
        <v>1</v>
      </c>
      <c r="AH57" s="87">
        <f ca="1">IF(AND(Table24[[#This Row],[ValidEPD]]&lt;&gt;0,Table24[[#This Row],[Man_Ausschluss]]&lt;&gt;0),1,0)</f>
        <v>1</v>
      </c>
      <c r="AI57" s="178" cm="1">
        <f t="array" aca="1" ref="AI57" ca="1">IF(Table24[[#This Row],[gültig]]&lt;&gt;0,
IF(V57=MIN(_xlfn._xlws.FILTER($V$2:$V$282,($P$2:$P$282=P57))),1,
IF(V57=MAX(_xlfn._xlws.FILTER($V$2:$V$282,($P$2:$P$282=P57))),1,0)),0)</f>
        <v>0</v>
      </c>
      <c r="AJ57" s="180"/>
      <c r="AK57" s="2"/>
      <c r="AL57" s="2"/>
    </row>
    <row r="58" spans="1:38" x14ac:dyDescent="0.45">
      <c r="A58" s="199" t="s">
        <v>675</v>
      </c>
      <c r="B58" s="200"/>
      <c r="C58" s="111">
        <v>57</v>
      </c>
      <c r="D58" s="201" t="s">
        <v>695</v>
      </c>
      <c r="E58" s="202" t="s">
        <v>681</v>
      </c>
      <c r="F58" s="202"/>
      <c r="G58" s="203">
        <v>45727</v>
      </c>
      <c r="H58" s="203">
        <v>47552</v>
      </c>
      <c r="I58" s="120" t="s">
        <v>52</v>
      </c>
      <c r="J58" s="204" t="s">
        <v>52</v>
      </c>
      <c r="K58" s="205" t="s">
        <v>750</v>
      </c>
      <c r="L58" s="206" t="s">
        <v>324</v>
      </c>
      <c r="M58" s="201" t="s">
        <v>316</v>
      </c>
      <c r="N58" s="207" t="s">
        <v>317</v>
      </c>
      <c r="O58" s="216" t="s">
        <v>416</v>
      </c>
      <c r="P58" s="96" t="s">
        <v>12</v>
      </c>
      <c r="Q58" s="96">
        <v>2387</v>
      </c>
      <c r="R58" s="102" t="s">
        <v>416</v>
      </c>
      <c r="S58" s="102" t="s">
        <v>416</v>
      </c>
      <c r="T58" s="102" t="s">
        <v>416</v>
      </c>
      <c r="U58" s="217" t="s">
        <v>416</v>
      </c>
      <c r="V58" s="92">
        <f>SUM(Table24[[#This Row],[A1toA3_GWP]:[C1toC4_GWP]])</f>
        <v>80.377042312526186</v>
      </c>
      <c r="W58" s="92"/>
      <c r="X58" s="92"/>
      <c r="Y58" s="92">
        <f>Table24[[#This Row],[Total_GWP]]*Table24[[#This Row],[DENSITY]]/1000</f>
        <v>191.86</v>
      </c>
      <c r="Z58" s="149">
        <f>182/Table24[[#This Row],[DENSITY]]*1000</f>
        <v>76.246334310850443</v>
      </c>
      <c r="AA58" s="81">
        <f>(9.53+1.75-1.42)/Table24[[#This Row],[DENSITY]]*1000</f>
        <v>4.1307080016757434</v>
      </c>
      <c r="AB58" s="87">
        <f>SUM(Table24[[#This Row],[A1toA3_GWP-biogenic]:[C1toC4_GWP-biogenic]])</f>
        <v>0.11024172601591956</v>
      </c>
      <c r="AC58" s="123">
        <f>Table24[[#This Row],[GWP-biogenic]]*Table24[[#This Row],[DENSITY]]/1000</f>
        <v>0.26314699999999996</v>
      </c>
      <c r="AD58" s="83">
        <f>(0.26)/Table24[[#This Row],[DENSITY]]*1000</f>
        <v>0.10892333472978634</v>
      </c>
      <c r="AE58" s="85">
        <f>(1.25*10^-3+1.37*10^-4+1.76*10^-3)/Table24[[#This Row],[DENSITY]]*1000</f>
        <v>1.3183912861332216E-3</v>
      </c>
      <c r="AF58" s="87">
        <f ca="1">IF(OR($E58="Ecoinvent",$E58="Betonsortenrechner",$E58="KBOB",$V58&lt;=0,Table24[[#This Row],[VALID_TO]]&lt;=TODAY()),0,1)</f>
        <v>1</v>
      </c>
      <c r="AG58" s="87">
        <v>1</v>
      </c>
      <c r="AH58" s="87">
        <f ca="1">IF(AND(Table24[[#This Row],[ValidEPD]]&lt;&gt;0,Table24[[#This Row],[Man_Ausschluss]]&lt;&gt;0),1,0)</f>
        <v>1</v>
      </c>
      <c r="AI58" s="178" cm="1">
        <f t="array" aca="1" ref="AI58" ca="1">IF(Table24[[#This Row],[gültig]]&lt;&gt;0,
IF(V58=MIN(_xlfn._xlws.FILTER($V$2:$V$282,($P$2:$P$282=P58))),1,
IF(V58=MAX(_xlfn._xlws.FILTER($V$2:$V$282,($P$2:$P$282=P58))),1,0)),0)</f>
        <v>0</v>
      </c>
      <c r="AJ58" s="180"/>
      <c r="AK58" s="2"/>
      <c r="AL58" s="2"/>
    </row>
    <row r="59" spans="1:38" x14ac:dyDescent="0.45">
      <c r="A59" s="199" t="s">
        <v>676</v>
      </c>
      <c r="B59" s="200"/>
      <c r="C59" s="111">
        <v>58</v>
      </c>
      <c r="D59" s="201" t="s">
        <v>696</v>
      </c>
      <c r="E59" s="202" t="s">
        <v>681</v>
      </c>
      <c r="F59" s="202"/>
      <c r="G59" s="203">
        <v>45727</v>
      </c>
      <c r="H59" s="203">
        <v>47552</v>
      </c>
      <c r="I59" s="120" t="s">
        <v>52</v>
      </c>
      <c r="J59" s="204" t="s">
        <v>52</v>
      </c>
      <c r="K59" s="205" t="s">
        <v>751</v>
      </c>
      <c r="L59" s="206" t="s">
        <v>324</v>
      </c>
      <c r="M59" s="201" t="s">
        <v>316</v>
      </c>
      <c r="N59" s="207" t="s">
        <v>317</v>
      </c>
      <c r="O59" s="216" t="s">
        <v>416</v>
      </c>
      <c r="P59" s="96" t="s">
        <v>12</v>
      </c>
      <c r="Q59" s="96">
        <v>2387</v>
      </c>
      <c r="R59" s="102" t="s">
        <v>416</v>
      </c>
      <c r="S59" s="102" t="s">
        <v>416</v>
      </c>
      <c r="T59" s="102" t="s">
        <v>416</v>
      </c>
      <c r="U59" s="217" t="s">
        <v>416</v>
      </c>
      <c r="V59" s="92">
        <f>SUM(Table24[[#This Row],[A1toA3_GWP]:[C1toC4_GWP]])</f>
        <v>80.795978215333051</v>
      </c>
      <c r="W59" s="92"/>
      <c r="X59" s="92"/>
      <c r="Y59" s="92">
        <f>Table24[[#This Row],[Total_GWP]]*Table24[[#This Row],[DENSITY]]/1000</f>
        <v>192.86</v>
      </c>
      <c r="Z59" s="149">
        <f>183/Table24[[#This Row],[DENSITY]]*1000</f>
        <v>76.665270213657308</v>
      </c>
      <c r="AA59" s="81">
        <f>(9.53+1.75-1.42)/Table24[[#This Row],[DENSITY]]*1000</f>
        <v>4.1307080016757434</v>
      </c>
      <c r="AB59" s="87">
        <f>SUM(Table24[[#This Row],[A1toA3_GWP-biogenic]:[C1toC4_GWP-biogenic]])</f>
        <v>0.11443108504398827</v>
      </c>
      <c r="AC59" s="123">
        <f>Table24[[#This Row],[GWP-biogenic]]*Table24[[#This Row],[DENSITY]]/1000</f>
        <v>0.27314699999999997</v>
      </c>
      <c r="AD59" s="83">
        <f>(0.27)/Table24[[#This Row],[DENSITY]]*1000</f>
        <v>0.11311269375785506</v>
      </c>
      <c r="AE59" s="85">
        <f>(1.25*10^-3+1.37*10^-4+1.76*10^-3)/Table24[[#This Row],[DENSITY]]*1000</f>
        <v>1.3183912861332216E-3</v>
      </c>
      <c r="AF59" s="87">
        <f ca="1">IF(OR($E59="Ecoinvent",$E59="Betonsortenrechner",$E59="KBOB",$V59&lt;=0,Table24[[#This Row],[VALID_TO]]&lt;=TODAY()),0,1)</f>
        <v>1</v>
      </c>
      <c r="AG59" s="87">
        <v>1</v>
      </c>
      <c r="AH59" s="87">
        <f ca="1">IF(AND(Table24[[#This Row],[ValidEPD]]&lt;&gt;0,Table24[[#This Row],[Man_Ausschluss]]&lt;&gt;0),1,0)</f>
        <v>1</v>
      </c>
      <c r="AI59" s="178" cm="1">
        <f t="array" aca="1" ref="AI59" ca="1">IF(Table24[[#This Row],[gültig]]&lt;&gt;0,
IF(V59=MIN(_xlfn._xlws.FILTER($V$2:$V$282,($P$2:$P$282=P59))),1,
IF(V59=MAX(_xlfn._xlws.FILTER($V$2:$V$282,($P$2:$P$282=P59))),1,0)),0)</f>
        <v>0</v>
      </c>
      <c r="AJ59" s="180"/>
      <c r="AK59" s="2"/>
      <c r="AL59" s="2"/>
    </row>
    <row r="60" spans="1:38" x14ac:dyDescent="0.45">
      <c r="A60" s="199" t="s">
        <v>677</v>
      </c>
      <c r="B60" s="200"/>
      <c r="C60" s="111">
        <v>59</v>
      </c>
      <c r="D60" s="201" t="s">
        <v>697</v>
      </c>
      <c r="E60" s="202" t="s">
        <v>681</v>
      </c>
      <c r="F60" s="202"/>
      <c r="G60" s="203">
        <v>45727</v>
      </c>
      <c r="H60" s="203">
        <v>47552</v>
      </c>
      <c r="I60" s="120" t="s">
        <v>52</v>
      </c>
      <c r="J60" s="204" t="s">
        <v>52</v>
      </c>
      <c r="K60" s="205" t="s">
        <v>752</v>
      </c>
      <c r="L60" s="206" t="s">
        <v>324</v>
      </c>
      <c r="M60" s="201" t="s">
        <v>316</v>
      </c>
      <c r="N60" s="207" t="s">
        <v>317</v>
      </c>
      <c r="O60" s="216" t="s">
        <v>416</v>
      </c>
      <c r="P60" s="96" t="s">
        <v>12</v>
      </c>
      <c r="Q60" s="96">
        <v>2328</v>
      </c>
      <c r="R60" s="102" t="s">
        <v>416</v>
      </c>
      <c r="S60" s="102" t="s">
        <v>416</v>
      </c>
      <c r="T60" s="102" t="s">
        <v>416</v>
      </c>
      <c r="U60" s="217" t="s">
        <v>416</v>
      </c>
      <c r="V60" s="92">
        <f>SUM(Table24[[#This Row],[A1toA3_GWP]:[C1toC4_GWP]])</f>
        <v>108.48367697594502</v>
      </c>
      <c r="W60" s="92"/>
      <c r="X60" s="92"/>
      <c r="Y60" s="92">
        <f>Table24[[#This Row],[Total_GWP]]*Table24[[#This Row],[DENSITY]]/1000</f>
        <v>252.55</v>
      </c>
      <c r="Z60" s="149">
        <f>243/Table24[[#This Row],[DENSITY]]*1000</f>
        <v>104.38144329896907</v>
      </c>
      <c r="AA60" s="81">
        <f>(9.53+1.71-1.69)/Table24[[#This Row],[DENSITY]]*1000</f>
        <v>4.1022336769759447</v>
      </c>
      <c r="AB60" s="87">
        <f>SUM(Table24[[#This Row],[A1toA3_GWP-biogenic]:[C1toC4_GWP-biogenic]])</f>
        <v>0.14308591065292095</v>
      </c>
      <c r="AC60" s="123">
        <f>Table24[[#This Row],[GWP-biogenic]]*Table24[[#This Row],[DENSITY]]/1000</f>
        <v>0.33310400000000001</v>
      </c>
      <c r="AD60" s="83">
        <f>(0.33)/Table24[[#This Row],[DENSITY]]*1000</f>
        <v>0.14175257731958762</v>
      </c>
      <c r="AE60" s="85">
        <f>(1.25*10^-3+1.34*10^-4+1.72*10^-3)/Table24[[#This Row],[DENSITY]]*1000</f>
        <v>1.3333333333333335E-3</v>
      </c>
      <c r="AF60" s="87">
        <f ca="1">IF(OR($E60="Ecoinvent",$E60="Betonsortenrechner",$E60="KBOB",$V60&lt;=0,Table24[[#This Row],[VALID_TO]]&lt;=TODAY()),0,1)</f>
        <v>1</v>
      </c>
      <c r="AG60" s="87">
        <v>1</v>
      </c>
      <c r="AH60" s="87">
        <f ca="1">IF(AND(Table24[[#This Row],[ValidEPD]]&lt;&gt;0,Table24[[#This Row],[Man_Ausschluss]]&lt;&gt;0),1,0)</f>
        <v>1</v>
      </c>
      <c r="AI60" s="178" cm="1">
        <f t="array" aca="1" ref="AI60" ca="1">IF(Table24[[#This Row],[gültig]]&lt;&gt;0,
IF(V60=MIN(_xlfn._xlws.FILTER($V$2:$V$282,($P$2:$P$282=P60))),1,
IF(V60=MAX(_xlfn._xlws.FILTER($V$2:$V$282,($P$2:$P$282=P60))),1,0)),0)</f>
        <v>0</v>
      </c>
      <c r="AJ60" s="180"/>
      <c r="AK60" s="2"/>
      <c r="AL60" s="2"/>
    </row>
    <row r="61" spans="1:38" x14ac:dyDescent="0.45">
      <c r="A61" s="199" t="s">
        <v>678</v>
      </c>
      <c r="B61" s="200"/>
      <c r="C61" s="111">
        <v>60</v>
      </c>
      <c r="D61" s="201" t="s">
        <v>698</v>
      </c>
      <c r="E61" s="202" t="s">
        <v>681</v>
      </c>
      <c r="F61" s="202"/>
      <c r="G61" s="203">
        <v>45798</v>
      </c>
      <c r="H61" s="203">
        <v>47623</v>
      </c>
      <c r="I61" s="120" t="s">
        <v>52</v>
      </c>
      <c r="J61" s="204" t="s">
        <v>52</v>
      </c>
      <c r="K61" s="205" t="s">
        <v>752</v>
      </c>
      <c r="L61" s="206" t="s">
        <v>324</v>
      </c>
      <c r="M61" s="201" t="s">
        <v>316</v>
      </c>
      <c r="N61" s="207" t="s">
        <v>317</v>
      </c>
      <c r="O61" s="216" t="s">
        <v>416</v>
      </c>
      <c r="P61" s="96" t="s">
        <v>12</v>
      </c>
      <c r="Q61" s="96">
        <v>2328</v>
      </c>
      <c r="R61" s="102" t="s">
        <v>416</v>
      </c>
      <c r="S61" s="102" t="s">
        <v>416</v>
      </c>
      <c r="T61" s="102" t="s">
        <v>416</v>
      </c>
      <c r="U61" s="217" t="s">
        <v>416</v>
      </c>
      <c r="V61" s="92">
        <f>SUM(Table24[[#This Row],[A1toA3_GWP]:[C1toC4_GWP]])</f>
        <v>93.097079037800682</v>
      </c>
      <c r="W61" s="92"/>
      <c r="X61" s="92"/>
      <c r="Y61" s="92">
        <f>Table24[[#This Row],[Total_GWP]]*Table24[[#This Row],[DENSITY]]/1000</f>
        <v>216.73</v>
      </c>
      <c r="Z61" s="149">
        <f>207/Table24[[#This Row],[DENSITY]]*1000</f>
        <v>88.917525773195877</v>
      </c>
      <c r="AA61" s="81">
        <f>(9.53+2.16-1.96)/Table24[[#This Row],[DENSITY]]*1000</f>
        <v>4.1795532646048112</v>
      </c>
      <c r="AB61" s="87">
        <f>SUM(Table24[[#This Row],[A1toA3_GWP-biogenic]:[C1toC4_GWP-biogenic]])</f>
        <v>1.2558251718213058</v>
      </c>
      <c r="AC61" s="123">
        <f>Table24[[#This Row],[GWP-biogenic]]*Table24[[#This Row],[DENSITY]]/1000</f>
        <v>2.9235610000000003</v>
      </c>
      <c r="AD61" s="83">
        <f>(2.92)/Table24[[#This Row],[DENSITY]]*1000</f>
        <v>1.2542955326460481</v>
      </c>
      <c r="AE61" s="85">
        <f>(1.25*10^-3+5.91*10^-4+1.72*10^-3)/Table24[[#This Row],[DENSITY]]*1000</f>
        <v>1.5296391752577319E-3</v>
      </c>
      <c r="AF61" s="87">
        <f ca="1">IF(OR($E61="Ecoinvent",$E61="Betonsortenrechner",$E61="KBOB",$V61&lt;=0,Table24[[#This Row],[VALID_TO]]&lt;=TODAY()),0,1)</f>
        <v>1</v>
      </c>
      <c r="AG61" s="87">
        <v>1</v>
      </c>
      <c r="AH61" s="87">
        <f ca="1">IF(AND(Table24[[#This Row],[ValidEPD]]&lt;&gt;0,Table24[[#This Row],[Man_Ausschluss]]&lt;&gt;0),1,0)</f>
        <v>1</v>
      </c>
      <c r="AI61" s="178" cm="1">
        <f t="array" aca="1" ref="AI61" ca="1">IF(Table24[[#This Row],[gültig]]&lt;&gt;0,
IF(V61=MIN(_xlfn._xlws.FILTER($V$2:$V$282,($P$2:$P$282=P61))),1,
IF(V61=MAX(_xlfn._xlws.FILTER($V$2:$V$282,($P$2:$P$282=P61))),1,0)),0)</f>
        <v>0</v>
      </c>
      <c r="AJ61" s="180"/>
      <c r="AK61" s="2"/>
      <c r="AL61" s="2"/>
    </row>
    <row r="62" spans="1:38" x14ac:dyDescent="0.45">
      <c r="A62" s="199" t="s">
        <v>679</v>
      </c>
      <c r="B62" s="200"/>
      <c r="C62" s="111">
        <v>61</v>
      </c>
      <c r="D62" s="210" t="s">
        <v>699</v>
      </c>
      <c r="E62" s="202" t="s">
        <v>681</v>
      </c>
      <c r="F62" s="211"/>
      <c r="G62" s="203">
        <v>45866</v>
      </c>
      <c r="H62" s="203">
        <v>47691</v>
      </c>
      <c r="I62" s="120" t="s">
        <v>52</v>
      </c>
      <c r="J62" s="204" t="s">
        <v>52</v>
      </c>
      <c r="K62" s="205" t="s">
        <v>753</v>
      </c>
      <c r="L62" s="206" t="s">
        <v>324</v>
      </c>
      <c r="M62" s="201" t="s">
        <v>316</v>
      </c>
      <c r="N62" s="207" t="s">
        <v>317</v>
      </c>
      <c r="O62" s="216" t="s">
        <v>416</v>
      </c>
      <c r="P62" s="96" t="s">
        <v>12</v>
      </c>
      <c r="Q62" s="96">
        <v>2378</v>
      </c>
      <c r="R62" s="102" t="s">
        <v>416</v>
      </c>
      <c r="S62" s="102" t="s">
        <v>416</v>
      </c>
      <c r="T62" s="102" t="s">
        <v>416</v>
      </c>
      <c r="U62" s="217" t="s">
        <v>416</v>
      </c>
      <c r="V62" s="92">
        <f>SUM(Table24[[#This Row],[A1toA3_GWP]:[C1toC4_GWP]])</f>
        <v>91.295206055508828</v>
      </c>
      <c r="W62" s="92"/>
      <c r="X62" s="92"/>
      <c r="Y62" s="92">
        <f>Table24[[#This Row],[Total_GWP]]*Table24[[#This Row],[DENSITY]]/1000</f>
        <v>217.1</v>
      </c>
      <c r="Z62" s="149">
        <f>207/Table24[[#This Row],[DENSITY]]*1000</f>
        <v>87.047939444911691</v>
      </c>
      <c r="AA62" s="81">
        <f>(9.53+2.21-1.64)/Table24[[#This Row],[DENSITY]]*1000</f>
        <v>4.2472666105971388</v>
      </c>
      <c r="AB62" s="87">
        <f>SUM(Table24[[#This Row],[A1toA3_GWP-biogenic]:[C1toC4_GWP-biogenic]])</f>
        <v>0.11085113540790581</v>
      </c>
      <c r="AC62" s="123">
        <f>Table24[[#This Row],[GWP-biogenic]]*Table24[[#This Row],[DENSITY]]/1000</f>
        <v>0.26360400000000006</v>
      </c>
      <c r="AD62" s="83">
        <f>(0.26)/Table24[[#This Row],[DENSITY]]*1000</f>
        <v>0.10933557611438184</v>
      </c>
      <c r="AE62" s="85">
        <f>(1.25*10^-3+6.04*10^-4+1.75*10^-3)/Table24[[#This Row],[DENSITY]]*1000</f>
        <v>1.51555929352397E-3</v>
      </c>
      <c r="AF62" s="87">
        <f ca="1">IF(OR($E62="Ecoinvent",$E62="Betonsortenrechner",$E62="KBOB",$V62&lt;=0,Table24[[#This Row],[VALID_TO]]&lt;=TODAY()),0,1)</f>
        <v>1</v>
      </c>
      <c r="AG62" s="87">
        <v>1</v>
      </c>
      <c r="AH62" s="87">
        <f ca="1">IF(AND(Table24[[#This Row],[ValidEPD]]&lt;&gt;0,Table24[[#This Row],[Man_Ausschluss]]&lt;&gt;0),1,0)</f>
        <v>1</v>
      </c>
      <c r="AI62" s="178" cm="1">
        <f t="array" aca="1" ref="AI62" ca="1">IF(Table24[[#This Row],[gültig]]&lt;&gt;0,
IF(V62=MIN(_xlfn._xlws.FILTER($V$2:$V$282,($P$2:$P$282=P62))),1,
IF(V62=MAX(_xlfn._xlws.FILTER($V$2:$V$282,($P$2:$P$282=P62))),1,0)),0)</f>
        <v>0</v>
      </c>
      <c r="AJ62" s="180"/>
      <c r="AK62" s="118"/>
      <c r="AL62" s="2"/>
    </row>
    <row r="63" spans="1:38" s="8" customFormat="1" x14ac:dyDescent="0.45">
      <c r="A63" s="237" t="s">
        <v>704</v>
      </c>
      <c r="B63" s="238"/>
      <c r="C63" s="112">
        <v>63</v>
      </c>
      <c r="D63" s="239" t="s">
        <v>416</v>
      </c>
      <c r="E63" s="240" t="s">
        <v>833</v>
      </c>
      <c r="F63" s="240" t="s">
        <v>712</v>
      </c>
      <c r="G63" s="241"/>
      <c r="H63" s="241"/>
      <c r="I63" s="242" t="s">
        <v>52</v>
      </c>
      <c r="J63" s="243" t="s">
        <v>52</v>
      </c>
      <c r="K63" s="239" t="s">
        <v>724</v>
      </c>
      <c r="L63" s="244" t="s">
        <v>324</v>
      </c>
      <c r="M63" s="239" t="s">
        <v>316</v>
      </c>
      <c r="N63" s="245" t="s">
        <v>317</v>
      </c>
      <c r="O63" s="246" t="s">
        <v>471</v>
      </c>
      <c r="P63" s="242" t="s">
        <v>28</v>
      </c>
      <c r="Q63" s="341">
        <v>2269</v>
      </c>
      <c r="R63" s="240" t="s">
        <v>416</v>
      </c>
      <c r="S63" s="240" t="s">
        <v>416</v>
      </c>
      <c r="T63" s="240" t="s">
        <v>416</v>
      </c>
      <c r="U63" s="247" t="s">
        <v>416</v>
      </c>
      <c r="V63" s="248">
        <f>SUM(Table24[[#This Row],[A1toA3_GWP]:[C1toC4_GWP]])</f>
        <v>104.7</v>
      </c>
      <c r="W63" s="248"/>
      <c r="X63" s="248"/>
      <c r="Y63" s="248">
        <f>Table24[[#This Row],[Total_GWP]]*Table24[[#This Row],[DENSITY]]/1000</f>
        <v>237.56430000000003</v>
      </c>
      <c r="Z63" s="337">
        <v>92</v>
      </c>
      <c r="AA63" s="338">
        <v>12.7</v>
      </c>
      <c r="AB63" s="87"/>
      <c r="AC63" s="123"/>
      <c r="AD63" s="160"/>
      <c r="AE63" s="250"/>
      <c r="AF63" s="160">
        <f ca="1">IF(OR($E63="Ecoinvent",$E63="Betonsortenrechner",$E63="KBOB",$V63&lt;=0,Table24[[#This Row],[VALID_TO]]&lt;=TODAY()),0,1)</f>
        <v>0</v>
      </c>
      <c r="AG63" s="160">
        <v>1</v>
      </c>
      <c r="AH63" s="160">
        <f ca="1">IF(AND(Table24[[#This Row],[ValidEPD]]&lt;&gt;0,Table24[[#This Row],[Man_Ausschluss]]&lt;&gt;0),1,0)</f>
        <v>0</v>
      </c>
      <c r="AI63" s="178" cm="1">
        <f t="array" aca="1" ref="AI63" ca="1">IF(Table24[[#This Row],[gültig]]&lt;&gt;0,
IF(V63=MIN(_xlfn._xlws.FILTER($V$2:$V$282,($P$2:$P$282=P63))),1,
IF(V63=MAX(_xlfn._xlws.FILTER($V$2:$V$282,($P$2:$P$282=P63))),1,0)),0)</f>
        <v>0</v>
      </c>
      <c r="AJ63" s="180"/>
      <c r="AK63" s="9"/>
      <c r="AL63" s="9"/>
    </row>
    <row r="64" spans="1:38" s="8" customFormat="1" x14ac:dyDescent="0.45">
      <c r="A64" s="237" t="s">
        <v>705</v>
      </c>
      <c r="B64" s="238"/>
      <c r="C64" s="112">
        <v>64</v>
      </c>
      <c r="D64" s="239" t="s">
        <v>416</v>
      </c>
      <c r="E64" s="240" t="s">
        <v>833</v>
      </c>
      <c r="F64" s="240" t="s">
        <v>713</v>
      </c>
      <c r="G64" s="241"/>
      <c r="H64" s="241"/>
      <c r="I64" s="242" t="s">
        <v>52</v>
      </c>
      <c r="J64" s="243" t="s">
        <v>52</v>
      </c>
      <c r="K64" s="239" t="s">
        <v>725</v>
      </c>
      <c r="L64" s="244" t="s">
        <v>324</v>
      </c>
      <c r="M64" s="239" t="s">
        <v>316</v>
      </c>
      <c r="N64" s="245" t="s">
        <v>317</v>
      </c>
      <c r="O64" s="246" t="s">
        <v>471</v>
      </c>
      <c r="P64" s="242" t="s">
        <v>28</v>
      </c>
      <c r="Q64" s="341">
        <v>2293</v>
      </c>
      <c r="R64" s="240" t="s">
        <v>416</v>
      </c>
      <c r="S64" s="240" t="s">
        <v>416</v>
      </c>
      <c r="T64" s="240" t="s">
        <v>416</v>
      </c>
      <c r="U64" s="247" t="s">
        <v>416</v>
      </c>
      <c r="V64" s="248">
        <f>SUM(Table24[[#This Row],[A1toA3_GWP]:[C1toC4_GWP]])</f>
        <v>109.7</v>
      </c>
      <c r="W64" s="248"/>
      <c r="X64" s="248"/>
      <c r="Y64" s="248">
        <f>Table24[[#This Row],[Total_GWP]]*Table24[[#This Row],[DENSITY]]/1000</f>
        <v>251.5421</v>
      </c>
      <c r="Z64" s="337">
        <v>97</v>
      </c>
      <c r="AA64" s="338">
        <v>12.7</v>
      </c>
      <c r="AB64" s="87"/>
      <c r="AC64" s="123"/>
      <c r="AD64" s="160"/>
      <c r="AE64" s="250"/>
      <c r="AF64" s="160">
        <f ca="1">IF(OR($E64="Ecoinvent",$E64="Betonsortenrechner",$E64="KBOB",$V64&lt;=0,Table24[[#This Row],[VALID_TO]]&lt;=TODAY()),0,1)</f>
        <v>0</v>
      </c>
      <c r="AG64" s="160">
        <v>1</v>
      </c>
      <c r="AH64" s="160">
        <f ca="1">IF(AND(Table24[[#This Row],[ValidEPD]]&lt;&gt;0,Table24[[#This Row],[Man_Ausschluss]]&lt;&gt;0),1,0)</f>
        <v>0</v>
      </c>
      <c r="AI64" s="178" cm="1">
        <f t="array" aca="1" ref="AI64" ca="1">IF(Table24[[#This Row],[gültig]]&lt;&gt;0,
IF(V64=MIN(_xlfn._xlws.FILTER($V$2:$V$282,($P$2:$P$282=P64))),1,
IF(V64=MAX(_xlfn._xlws.FILTER($V$2:$V$282,($P$2:$P$282=P64))),1,0)),0)</f>
        <v>0</v>
      </c>
      <c r="AJ64" s="180"/>
      <c r="AK64" s="9"/>
      <c r="AL64" s="9"/>
    </row>
    <row r="65" spans="1:38" s="8" customFormat="1" x14ac:dyDescent="0.45">
      <c r="A65" s="237" t="s">
        <v>706</v>
      </c>
      <c r="B65" s="238"/>
      <c r="C65" s="112">
        <v>65</v>
      </c>
      <c r="D65" s="239" t="s">
        <v>416</v>
      </c>
      <c r="E65" s="240" t="s">
        <v>833</v>
      </c>
      <c r="F65" s="240" t="s">
        <v>714</v>
      </c>
      <c r="G65" s="241"/>
      <c r="H65" s="241"/>
      <c r="I65" s="242" t="s">
        <v>52</v>
      </c>
      <c r="J65" s="243" t="s">
        <v>52</v>
      </c>
      <c r="K65" s="239" t="s">
        <v>726</v>
      </c>
      <c r="L65" s="244" t="s">
        <v>324</v>
      </c>
      <c r="M65" s="239" t="s">
        <v>316</v>
      </c>
      <c r="N65" s="245" t="s">
        <v>317</v>
      </c>
      <c r="O65" s="246" t="s">
        <v>471</v>
      </c>
      <c r="P65" s="242" t="s">
        <v>7</v>
      </c>
      <c r="Q65" s="341">
        <v>2333</v>
      </c>
      <c r="R65" s="240" t="s">
        <v>416</v>
      </c>
      <c r="S65" s="240" t="s">
        <v>416</v>
      </c>
      <c r="T65" s="240" t="s">
        <v>416</v>
      </c>
      <c r="U65" s="247" t="s">
        <v>416</v>
      </c>
      <c r="V65" s="248">
        <f>SUM(Table24[[#This Row],[A1toA3_GWP]:[C1toC4_GWP]])</f>
        <v>113.7</v>
      </c>
      <c r="W65" s="248"/>
      <c r="X65" s="248"/>
      <c r="Y65" s="248">
        <f>Table24[[#This Row],[Total_GWP]]*Table24[[#This Row],[DENSITY]]/1000</f>
        <v>265.26210000000003</v>
      </c>
      <c r="Z65" s="337">
        <v>101</v>
      </c>
      <c r="AA65" s="338">
        <v>12.7</v>
      </c>
      <c r="AB65" s="87"/>
      <c r="AC65" s="123"/>
      <c r="AD65" s="160"/>
      <c r="AE65" s="250"/>
      <c r="AF65" s="160">
        <f ca="1">IF(OR($E65="Ecoinvent",$E65="Betonsortenrechner",$E65="KBOB",$V65&lt;=0,Table24[[#This Row],[VALID_TO]]&lt;=TODAY()),0,1)</f>
        <v>0</v>
      </c>
      <c r="AG65" s="160">
        <v>1</v>
      </c>
      <c r="AH65" s="160">
        <f ca="1">IF(AND(Table24[[#This Row],[ValidEPD]]&lt;&gt;0,Table24[[#This Row],[Man_Ausschluss]]&lt;&gt;0),1,0)</f>
        <v>0</v>
      </c>
      <c r="AI65" s="178" cm="1">
        <f t="array" aca="1" ref="AI65" ca="1">IF(Table24[[#This Row],[gültig]]&lt;&gt;0,
IF(V65=MIN(_xlfn._xlws.FILTER($V$2:$V$282,($P$2:$P$282=P65))),1,
IF(V65=MAX(_xlfn._xlws.FILTER($V$2:$V$282,($P$2:$P$282=P65))),1,0)),0)</f>
        <v>0</v>
      </c>
      <c r="AJ65" s="180"/>
      <c r="AK65" s="9"/>
      <c r="AL65" s="9"/>
    </row>
    <row r="66" spans="1:38" s="8" customFormat="1" x14ac:dyDescent="0.45">
      <c r="A66" s="237" t="s">
        <v>707</v>
      </c>
      <c r="B66" s="238"/>
      <c r="C66" s="112">
        <v>66</v>
      </c>
      <c r="D66" s="239" t="s">
        <v>416</v>
      </c>
      <c r="E66" s="240" t="s">
        <v>833</v>
      </c>
      <c r="F66" s="240" t="s">
        <v>715</v>
      </c>
      <c r="G66" s="241"/>
      <c r="H66" s="241"/>
      <c r="I66" s="242" t="s">
        <v>52</v>
      </c>
      <c r="J66" s="243" t="s">
        <v>52</v>
      </c>
      <c r="K66" s="239" t="s">
        <v>727</v>
      </c>
      <c r="L66" s="244" t="s">
        <v>324</v>
      </c>
      <c r="M66" s="239" t="s">
        <v>316</v>
      </c>
      <c r="N66" s="245" t="s">
        <v>317</v>
      </c>
      <c r="O66" s="246" t="s">
        <v>471</v>
      </c>
      <c r="P66" s="242" t="s">
        <v>12</v>
      </c>
      <c r="Q66" s="341">
        <v>2353</v>
      </c>
      <c r="R66" s="240" t="s">
        <v>416</v>
      </c>
      <c r="S66" s="240" t="s">
        <v>416</v>
      </c>
      <c r="T66" s="240" t="s">
        <v>416</v>
      </c>
      <c r="U66" s="247" t="s">
        <v>416</v>
      </c>
      <c r="V66" s="248">
        <f>SUM(Table24[[#This Row],[A1toA3_GWP]:[C1toC4_GWP]])</f>
        <v>119.7</v>
      </c>
      <c r="W66" s="248"/>
      <c r="X66" s="248"/>
      <c r="Y66" s="248">
        <f>Table24[[#This Row],[Total_GWP]]*Table24[[#This Row],[DENSITY]]/1000</f>
        <v>281.65410000000003</v>
      </c>
      <c r="Z66" s="337">
        <v>107</v>
      </c>
      <c r="AA66" s="338">
        <v>12.7</v>
      </c>
      <c r="AB66" s="87"/>
      <c r="AC66" s="123"/>
      <c r="AD66" s="160"/>
      <c r="AE66" s="250"/>
      <c r="AF66" s="160">
        <f ca="1">IF(OR($E66="Ecoinvent",$E66="Betonsortenrechner",$E66="KBOB",$V66&lt;=0,Table24[[#This Row],[VALID_TO]]&lt;=TODAY()),0,1)</f>
        <v>0</v>
      </c>
      <c r="AG66" s="160">
        <v>1</v>
      </c>
      <c r="AH66" s="160">
        <f ca="1">IF(AND(Table24[[#This Row],[ValidEPD]]&lt;&gt;0,Table24[[#This Row],[Man_Ausschluss]]&lt;&gt;0),1,0)</f>
        <v>0</v>
      </c>
      <c r="AI66" s="178" cm="1">
        <f t="array" aca="1" ref="AI66" ca="1">IF(Table24[[#This Row],[gültig]]&lt;&gt;0,
IF(V66=MIN(_xlfn._xlws.FILTER($V$2:$V$282,($P$2:$P$282=P66))),1,
IF(V66=MAX(_xlfn._xlws.FILTER($V$2:$V$282,($P$2:$P$282=P66))),1,0)),0)</f>
        <v>0</v>
      </c>
      <c r="AJ66" s="180"/>
      <c r="AK66" s="9"/>
      <c r="AL66" s="9"/>
    </row>
    <row r="67" spans="1:38" s="8" customFormat="1" x14ac:dyDescent="0.45">
      <c r="A67" s="237" t="s">
        <v>708</v>
      </c>
      <c r="B67" s="238"/>
      <c r="C67" s="112">
        <v>67</v>
      </c>
      <c r="D67" s="239" t="s">
        <v>416</v>
      </c>
      <c r="E67" s="240" t="s">
        <v>833</v>
      </c>
      <c r="F67" s="240" t="s">
        <v>716</v>
      </c>
      <c r="G67" s="241"/>
      <c r="H67" s="241"/>
      <c r="I67" s="242" t="s">
        <v>52</v>
      </c>
      <c r="J67" s="243" t="s">
        <v>52</v>
      </c>
      <c r="K67" s="239" t="s">
        <v>728</v>
      </c>
      <c r="L67" s="244" t="s">
        <v>324</v>
      </c>
      <c r="M67" s="239" t="s">
        <v>316</v>
      </c>
      <c r="N67" s="245" t="s">
        <v>317</v>
      </c>
      <c r="O67" s="246" t="s">
        <v>471</v>
      </c>
      <c r="P67" s="242" t="s">
        <v>28</v>
      </c>
      <c r="Q67" s="341">
        <v>2208.6999999999998</v>
      </c>
      <c r="R67" s="240" t="s">
        <v>416</v>
      </c>
      <c r="S67" s="240" t="s">
        <v>416</v>
      </c>
      <c r="T67" s="240" t="s">
        <v>416</v>
      </c>
      <c r="U67" s="247" t="s">
        <v>416</v>
      </c>
      <c r="V67" s="248">
        <f>SUM(Table24[[#This Row],[A1toA3_GWP]:[C1toC4_GWP]])</f>
        <v>76.5</v>
      </c>
      <c r="W67" s="248"/>
      <c r="X67" s="248"/>
      <c r="Y67" s="248">
        <f>Table24[[#This Row],[Total_GWP]]*Table24[[#This Row],[DENSITY]]/1000</f>
        <v>168.96554999999998</v>
      </c>
      <c r="Z67" s="337">
        <v>63.5</v>
      </c>
      <c r="AA67" s="338">
        <v>13</v>
      </c>
      <c r="AB67" s="87"/>
      <c r="AC67" s="123"/>
      <c r="AD67" s="160"/>
      <c r="AE67" s="250"/>
      <c r="AF67" s="160">
        <f ca="1">IF(OR($E67="Ecoinvent",$E67="Betonsortenrechner",$E67="KBOB",$V67&lt;=0,Table24[[#This Row],[VALID_TO]]&lt;=TODAY()),0,1)</f>
        <v>0</v>
      </c>
      <c r="AG67" s="160">
        <v>1</v>
      </c>
      <c r="AH67" s="160">
        <f ca="1">IF(AND(Table24[[#This Row],[ValidEPD]]&lt;&gt;0,Table24[[#This Row],[Man_Ausschluss]]&lt;&gt;0),1,0)</f>
        <v>0</v>
      </c>
      <c r="AI67" s="178" cm="1">
        <f t="array" aca="1" ref="AI67" ca="1">IF(Table24[[#This Row],[gültig]]&lt;&gt;0,
IF(V67=MIN(_xlfn._xlws.FILTER($V$2:$V$282,($P$2:$P$282=P67))),1,
IF(V67=MAX(_xlfn._xlws.FILTER($V$2:$V$282,($P$2:$P$282=P67))),1,0)),0)</f>
        <v>0</v>
      </c>
      <c r="AJ67" s="180"/>
      <c r="AK67" s="9"/>
      <c r="AL67" s="9"/>
    </row>
    <row r="68" spans="1:38" s="8" customFormat="1" x14ac:dyDescent="0.45">
      <c r="A68" s="237" t="s">
        <v>709</v>
      </c>
      <c r="B68" s="238"/>
      <c r="C68" s="112">
        <v>68</v>
      </c>
      <c r="D68" s="239" t="s">
        <v>416</v>
      </c>
      <c r="E68" s="240" t="s">
        <v>833</v>
      </c>
      <c r="F68" s="240" t="s">
        <v>717</v>
      </c>
      <c r="G68" s="241"/>
      <c r="H68" s="241"/>
      <c r="I68" s="242" t="s">
        <v>52</v>
      </c>
      <c r="J68" s="243" t="s">
        <v>52</v>
      </c>
      <c r="K68" s="239" t="s">
        <v>729</v>
      </c>
      <c r="L68" s="244" t="s">
        <v>324</v>
      </c>
      <c r="M68" s="239" t="s">
        <v>316</v>
      </c>
      <c r="N68" s="245" t="s">
        <v>317</v>
      </c>
      <c r="O68" s="246" t="s">
        <v>471</v>
      </c>
      <c r="P68" s="242" t="s">
        <v>12</v>
      </c>
      <c r="Q68" s="341">
        <v>2250.2999999999997</v>
      </c>
      <c r="R68" s="240" t="s">
        <v>416</v>
      </c>
      <c r="S68" s="240" t="s">
        <v>416</v>
      </c>
      <c r="T68" s="240" t="s">
        <v>416</v>
      </c>
      <c r="U68" s="247" t="s">
        <v>416</v>
      </c>
      <c r="V68" s="248">
        <f>SUM(Table24[[#This Row],[A1toA3_GWP]:[C1toC4_GWP]])</f>
        <v>79.599999999999994</v>
      </c>
      <c r="W68" s="248"/>
      <c r="X68" s="248"/>
      <c r="Y68" s="248">
        <f>Table24[[#This Row],[Total_GWP]]*Table24[[#This Row],[DENSITY]]/1000</f>
        <v>179.12387999999999</v>
      </c>
      <c r="Z68" s="337">
        <v>66.599999999999994</v>
      </c>
      <c r="AA68" s="338">
        <v>13</v>
      </c>
      <c r="AB68" s="87"/>
      <c r="AC68" s="123"/>
      <c r="AD68" s="160"/>
      <c r="AE68" s="250"/>
      <c r="AF68" s="160">
        <f ca="1">IF(OR($E68="Ecoinvent",$E68="Betonsortenrechner",$E68="KBOB",$V68&lt;=0,Table24[[#This Row],[VALID_TO]]&lt;=TODAY()),0,1)</f>
        <v>0</v>
      </c>
      <c r="AG68" s="160">
        <v>1</v>
      </c>
      <c r="AH68" s="160">
        <f ca="1">IF(AND(Table24[[#This Row],[ValidEPD]]&lt;&gt;0,Table24[[#This Row],[Man_Ausschluss]]&lt;&gt;0),1,0)</f>
        <v>0</v>
      </c>
      <c r="AI68" s="178" cm="1">
        <f t="array" aca="1" ref="AI68" ca="1">IF(Table24[[#This Row],[gültig]]&lt;&gt;0,
IF(V68=MIN(_xlfn._xlws.FILTER($V$2:$V$282,($P$2:$P$282=P68))),1,
IF(V68=MAX(_xlfn._xlws.FILTER($V$2:$V$282,($P$2:$P$282=P68))),1,0)),0)</f>
        <v>0</v>
      </c>
      <c r="AJ68" s="180"/>
      <c r="AK68" s="9"/>
      <c r="AL68" s="9"/>
    </row>
    <row r="69" spans="1:38" s="8" customFormat="1" x14ac:dyDescent="0.45">
      <c r="A69" s="237" t="s">
        <v>710</v>
      </c>
      <c r="B69" s="238"/>
      <c r="C69" s="112">
        <v>69</v>
      </c>
      <c r="D69" s="239" t="s">
        <v>416</v>
      </c>
      <c r="E69" s="240" t="s">
        <v>833</v>
      </c>
      <c r="F69" s="240" t="s">
        <v>718</v>
      </c>
      <c r="G69" s="241"/>
      <c r="H69" s="241"/>
      <c r="I69" s="242" t="s">
        <v>52</v>
      </c>
      <c r="J69" s="243" t="s">
        <v>52</v>
      </c>
      <c r="K69" s="239" t="s">
        <v>730</v>
      </c>
      <c r="L69" s="244" t="s">
        <v>324</v>
      </c>
      <c r="M69" s="239" t="s">
        <v>316</v>
      </c>
      <c r="N69" s="245" t="s">
        <v>317</v>
      </c>
      <c r="O69" s="246" t="s">
        <v>736</v>
      </c>
      <c r="P69" s="242" t="s">
        <v>28</v>
      </c>
      <c r="Q69" s="341">
        <v>2311.4</v>
      </c>
      <c r="R69" s="240" t="s">
        <v>416</v>
      </c>
      <c r="S69" s="240" t="s">
        <v>416</v>
      </c>
      <c r="T69" s="240" t="s">
        <v>416</v>
      </c>
      <c r="U69" s="247" t="s">
        <v>416</v>
      </c>
      <c r="V69" s="248">
        <f>SUM(Table24[[#This Row],[A1toA3_GWP]:[C1toC4_GWP]])</f>
        <v>90.399999999999991</v>
      </c>
      <c r="W69" s="248"/>
      <c r="X69" s="248"/>
      <c r="Y69" s="248">
        <f>Table24[[#This Row],[Total_GWP]]*Table24[[#This Row],[DENSITY]]/1000</f>
        <v>208.95056</v>
      </c>
      <c r="Z69" s="337">
        <v>77.8</v>
      </c>
      <c r="AA69" s="338">
        <v>12.6</v>
      </c>
      <c r="AB69" s="87"/>
      <c r="AC69" s="123"/>
      <c r="AD69" s="160"/>
      <c r="AE69" s="250"/>
      <c r="AF69" s="160">
        <f ca="1">IF(OR($E69="Ecoinvent",$E69="Betonsortenrechner",$E69="KBOB",$V69&lt;=0,Table24[[#This Row],[VALID_TO]]&lt;=TODAY()),0,1)</f>
        <v>0</v>
      </c>
      <c r="AG69" s="160">
        <v>1</v>
      </c>
      <c r="AH69" s="160">
        <f ca="1">IF(AND(Table24[[#This Row],[ValidEPD]]&lt;&gt;0,Table24[[#This Row],[Man_Ausschluss]]&lt;&gt;0),1,0)</f>
        <v>0</v>
      </c>
      <c r="AI69" s="178" cm="1">
        <f t="array" aca="1" ref="AI69" ca="1">IF(Table24[[#This Row],[gültig]]&lt;&gt;0,
IF(V69=MIN(_xlfn._xlws.FILTER($V$2:$V$282,($P$2:$P$282=P69))),1,
IF(V69=MAX(_xlfn._xlws.FILTER($V$2:$V$282,($P$2:$P$282=P69))),1,0)),0)</f>
        <v>0</v>
      </c>
      <c r="AJ69" s="180"/>
      <c r="AK69" s="9"/>
      <c r="AL69" s="9"/>
    </row>
    <row r="70" spans="1:38" s="8" customFormat="1" x14ac:dyDescent="0.45">
      <c r="A70" s="237" t="s">
        <v>711</v>
      </c>
      <c r="B70" s="238"/>
      <c r="C70" s="112">
        <v>70</v>
      </c>
      <c r="D70" s="239" t="s">
        <v>416</v>
      </c>
      <c r="E70" s="240" t="s">
        <v>833</v>
      </c>
      <c r="F70" s="240" t="s">
        <v>719</v>
      </c>
      <c r="G70" s="241"/>
      <c r="H70" s="241"/>
      <c r="I70" s="242" t="s">
        <v>52</v>
      </c>
      <c r="J70" s="243" t="s">
        <v>52</v>
      </c>
      <c r="K70" s="239" t="s">
        <v>731</v>
      </c>
      <c r="L70" s="244" t="s">
        <v>324</v>
      </c>
      <c r="M70" s="239" t="s">
        <v>316</v>
      </c>
      <c r="N70" s="245" t="s">
        <v>317</v>
      </c>
      <c r="O70" s="246" t="s">
        <v>737</v>
      </c>
      <c r="P70" s="242" t="s">
        <v>28</v>
      </c>
      <c r="Q70" s="341">
        <v>2311.4</v>
      </c>
      <c r="R70" s="240" t="s">
        <v>416</v>
      </c>
      <c r="S70" s="240" t="s">
        <v>416</v>
      </c>
      <c r="T70" s="240" t="s">
        <v>416</v>
      </c>
      <c r="U70" s="247" t="s">
        <v>416</v>
      </c>
      <c r="V70" s="248">
        <f>SUM(Table24[[#This Row],[A1toA3_GWP]:[C1toC4_GWP]])</f>
        <v>83.6</v>
      </c>
      <c r="W70" s="248"/>
      <c r="X70" s="248"/>
      <c r="Y70" s="248">
        <f>Table24[[#This Row],[Total_GWP]]*Table24[[#This Row],[DENSITY]]/1000</f>
        <v>193.23304000000002</v>
      </c>
      <c r="Z70" s="337">
        <v>71</v>
      </c>
      <c r="AA70" s="338">
        <v>12.6</v>
      </c>
      <c r="AB70" s="87"/>
      <c r="AC70" s="123"/>
      <c r="AD70" s="160"/>
      <c r="AE70" s="250"/>
      <c r="AF70" s="160">
        <f ca="1">IF(OR($E70="Ecoinvent",$E70="Betonsortenrechner",$E70="KBOB",$V70&lt;=0,Table24[[#This Row],[VALID_TO]]&lt;=TODAY()),0,1)</f>
        <v>0</v>
      </c>
      <c r="AG70" s="160">
        <v>1</v>
      </c>
      <c r="AH70" s="160">
        <f ca="1">IF(AND(Table24[[#This Row],[ValidEPD]]&lt;&gt;0,Table24[[#This Row],[Man_Ausschluss]]&lt;&gt;0),1,0)</f>
        <v>0</v>
      </c>
      <c r="AI70" s="178" cm="1">
        <f t="array" aca="1" ref="AI70" ca="1">IF(Table24[[#This Row],[gültig]]&lt;&gt;0,
IF(V70=MIN(_xlfn._xlws.FILTER($V$2:$V$282,($P$2:$P$282=P70))),1,
IF(V70=MAX(_xlfn._xlws.FILTER($V$2:$V$282,($P$2:$P$282=P70))),1,0)),0)</f>
        <v>0</v>
      </c>
      <c r="AJ70" s="180"/>
      <c r="AK70" s="9"/>
      <c r="AL70" s="9"/>
    </row>
    <row r="71" spans="1:38" s="8" customFormat="1" x14ac:dyDescent="0.45">
      <c r="A71" s="237" t="s">
        <v>701</v>
      </c>
      <c r="B71" s="238"/>
      <c r="C71" s="112">
        <v>71</v>
      </c>
      <c r="D71" s="239" t="s">
        <v>416</v>
      </c>
      <c r="E71" s="240" t="s">
        <v>833</v>
      </c>
      <c r="F71" s="240" t="s">
        <v>720</v>
      </c>
      <c r="G71" s="241"/>
      <c r="H71" s="241"/>
      <c r="I71" s="242" t="s">
        <v>52</v>
      </c>
      <c r="J71" s="243" t="s">
        <v>52</v>
      </c>
      <c r="K71" s="239" t="s">
        <v>732</v>
      </c>
      <c r="L71" s="244" t="s">
        <v>324</v>
      </c>
      <c r="M71" s="239" t="s">
        <v>316</v>
      </c>
      <c r="N71" s="245" t="s">
        <v>317</v>
      </c>
      <c r="O71" s="246" t="s">
        <v>736</v>
      </c>
      <c r="P71" s="242" t="s">
        <v>28</v>
      </c>
      <c r="Q71" s="341">
        <v>2292.2399999999998</v>
      </c>
      <c r="R71" s="240" t="s">
        <v>416</v>
      </c>
      <c r="S71" s="240" t="s">
        <v>416</v>
      </c>
      <c r="T71" s="240" t="s">
        <v>416</v>
      </c>
      <c r="U71" s="247" t="s">
        <v>416</v>
      </c>
      <c r="V71" s="248">
        <f>SUM(Table24[[#This Row],[A1toA3_GWP]:[C1toC4_GWP]])</f>
        <v>0</v>
      </c>
      <c r="W71" s="248"/>
      <c r="X71" s="248"/>
      <c r="Y71" s="248">
        <f>Table24[[#This Row],[Total_GWP]]*Table24[[#This Row],[DENSITY]]/1000</f>
        <v>0</v>
      </c>
      <c r="Z71" s="337"/>
      <c r="AA71" s="338"/>
      <c r="AB71" s="87"/>
      <c r="AC71" s="123"/>
      <c r="AD71" s="160"/>
      <c r="AE71" s="250"/>
      <c r="AF71" s="160">
        <f ca="1">IF(OR($E71="Ecoinvent",$E71="Betonsortenrechner",$E71="KBOB",$V71&lt;=0,Table24[[#This Row],[VALID_TO]]&lt;=TODAY()),0,1)</f>
        <v>0</v>
      </c>
      <c r="AG71" s="160">
        <v>1</v>
      </c>
      <c r="AH71" s="160">
        <f ca="1">IF(AND(Table24[[#This Row],[ValidEPD]]&lt;&gt;0,Table24[[#This Row],[Man_Ausschluss]]&lt;&gt;0),1,0)</f>
        <v>0</v>
      </c>
      <c r="AI71" s="178" cm="1">
        <f t="array" aca="1" ref="AI71" ca="1">IF(Table24[[#This Row],[gültig]]&lt;&gt;0,
IF(V71=MIN(_xlfn._xlws.FILTER($V$2:$V$282,($P$2:$P$282=P71))),1,
IF(V71=MAX(_xlfn._xlws.FILTER($V$2:$V$282,($P$2:$P$282=P71))),1,0)),0)</f>
        <v>0</v>
      </c>
      <c r="AJ71" s="180"/>
      <c r="AK71" s="9"/>
      <c r="AL71" s="9"/>
    </row>
    <row r="72" spans="1:38" s="8" customFormat="1" x14ac:dyDescent="0.45">
      <c r="A72" s="237" t="s">
        <v>702</v>
      </c>
      <c r="B72" s="238"/>
      <c r="C72" s="112">
        <v>72</v>
      </c>
      <c r="D72" s="239" t="s">
        <v>416</v>
      </c>
      <c r="E72" s="240" t="s">
        <v>833</v>
      </c>
      <c r="F72" s="240" t="s">
        <v>721</v>
      </c>
      <c r="G72" s="241"/>
      <c r="H72" s="241"/>
      <c r="I72" s="242" t="s">
        <v>52</v>
      </c>
      <c r="J72" s="243" t="s">
        <v>52</v>
      </c>
      <c r="K72" s="239" t="s">
        <v>733</v>
      </c>
      <c r="L72" s="244" t="s">
        <v>324</v>
      </c>
      <c r="M72" s="239" t="s">
        <v>316</v>
      </c>
      <c r="N72" s="245" t="s">
        <v>317</v>
      </c>
      <c r="O72" s="246" t="s">
        <v>737</v>
      </c>
      <c r="P72" s="242" t="s">
        <v>28</v>
      </c>
      <c r="Q72" s="341">
        <v>2272.1</v>
      </c>
      <c r="R72" s="240" t="s">
        <v>416</v>
      </c>
      <c r="S72" s="240" t="s">
        <v>416</v>
      </c>
      <c r="T72" s="240" t="s">
        <v>416</v>
      </c>
      <c r="U72" s="247" t="s">
        <v>416</v>
      </c>
      <c r="V72" s="248">
        <f>SUM(Table24[[#This Row],[A1toA3_GWP]:[C1toC4_GWP]])</f>
        <v>83.899999999999991</v>
      </c>
      <c r="W72" s="248"/>
      <c r="X72" s="248"/>
      <c r="Y72" s="248">
        <f>Table24[[#This Row],[Total_GWP]]*Table24[[#This Row],[DENSITY]]/1000</f>
        <v>190.62918999999997</v>
      </c>
      <c r="Z72" s="337">
        <v>71.3</v>
      </c>
      <c r="AA72" s="338">
        <v>12.6</v>
      </c>
      <c r="AB72" s="87"/>
      <c r="AC72" s="123"/>
      <c r="AD72" s="160"/>
      <c r="AE72" s="250"/>
      <c r="AF72" s="160">
        <f ca="1">IF(OR($E72="Ecoinvent",$E72="Betonsortenrechner",$E72="KBOB",$V72&lt;=0,Table24[[#This Row],[VALID_TO]]&lt;=TODAY()),0,1)</f>
        <v>0</v>
      </c>
      <c r="AG72" s="160">
        <v>1</v>
      </c>
      <c r="AH72" s="160">
        <f ca="1">IF(AND(Table24[[#This Row],[ValidEPD]]&lt;&gt;0,Table24[[#This Row],[Man_Ausschluss]]&lt;&gt;0),1,0)</f>
        <v>0</v>
      </c>
      <c r="AI72" s="178" cm="1">
        <f t="array" aca="1" ref="AI72" ca="1">IF(Table24[[#This Row],[gültig]]&lt;&gt;0,
IF(V72=MIN(_xlfn._xlws.FILTER($V$2:$V$282,($P$2:$P$282=P72))),1,
IF(V72=MAX(_xlfn._xlws.FILTER($V$2:$V$282,($P$2:$P$282=P72))),1,0)),0)</f>
        <v>0</v>
      </c>
      <c r="AJ72" s="180"/>
      <c r="AK72" s="9"/>
      <c r="AL72" s="9"/>
    </row>
    <row r="73" spans="1:38" s="8" customFormat="1" x14ac:dyDescent="0.45">
      <c r="A73" s="237" t="s">
        <v>703</v>
      </c>
      <c r="B73" s="238"/>
      <c r="C73" s="112">
        <v>73</v>
      </c>
      <c r="D73" s="239" t="s">
        <v>416</v>
      </c>
      <c r="E73" s="240" t="s">
        <v>833</v>
      </c>
      <c r="F73" s="240" t="s">
        <v>722</v>
      </c>
      <c r="G73" s="241"/>
      <c r="H73" s="241"/>
      <c r="I73" s="242" t="s">
        <v>52</v>
      </c>
      <c r="J73" s="243" t="s">
        <v>52</v>
      </c>
      <c r="K73" s="239" t="s">
        <v>734</v>
      </c>
      <c r="L73" s="244" t="s">
        <v>324</v>
      </c>
      <c r="M73" s="239" t="s">
        <v>316</v>
      </c>
      <c r="N73" s="245" t="s">
        <v>317</v>
      </c>
      <c r="O73" s="246" t="s">
        <v>737</v>
      </c>
      <c r="P73" s="242" t="s">
        <v>12</v>
      </c>
      <c r="Q73" s="341">
        <v>2263.9</v>
      </c>
      <c r="R73" s="240" t="s">
        <v>416</v>
      </c>
      <c r="S73" s="240" t="s">
        <v>416</v>
      </c>
      <c r="T73" s="240" t="s">
        <v>416</v>
      </c>
      <c r="U73" s="247" t="s">
        <v>416</v>
      </c>
      <c r="V73" s="248">
        <f>SUM(Table24[[#This Row],[A1toA3_GWP]:[C1toC4_GWP]])</f>
        <v>89.899999999999991</v>
      </c>
      <c r="W73" s="248"/>
      <c r="X73" s="248"/>
      <c r="Y73" s="248">
        <f>Table24[[#This Row],[Total_GWP]]*Table24[[#This Row],[DENSITY]]/1000</f>
        <v>203.52461</v>
      </c>
      <c r="Z73" s="337">
        <v>77.3</v>
      </c>
      <c r="AA73" s="338">
        <v>12.6</v>
      </c>
      <c r="AB73" s="87"/>
      <c r="AC73" s="123"/>
      <c r="AD73" s="160"/>
      <c r="AE73" s="250"/>
      <c r="AF73" s="160">
        <f ca="1">IF(OR($E73="Ecoinvent",$E73="Betonsortenrechner",$E73="KBOB",$V73&lt;=0,Table24[[#This Row],[VALID_TO]]&lt;=TODAY()),0,1)</f>
        <v>0</v>
      </c>
      <c r="AG73" s="160">
        <v>1</v>
      </c>
      <c r="AH73" s="160">
        <f ca="1">IF(AND(Table24[[#This Row],[ValidEPD]]&lt;&gt;0,Table24[[#This Row],[Man_Ausschluss]]&lt;&gt;0),1,0)</f>
        <v>0</v>
      </c>
      <c r="AI73" s="178" cm="1">
        <f t="array" aca="1" ref="AI73" ca="1">IF(Table24[[#This Row],[gültig]]&lt;&gt;0,
IF(V73=MIN(_xlfn._xlws.FILTER($V$2:$V$282,($P$2:$P$282=P73))),1,
IF(V73=MAX(_xlfn._xlws.FILTER($V$2:$V$282,($P$2:$P$282=P73))),1,0)),0)</f>
        <v>0</v>
      </c>
      <c r="AJ73" s="180"/>
      <c r="AK73" s="9"/>
      <c r="AL73" s="9"/>
    </row>
    <row r="74" spans="1:38" s="8" customFormat="1" x14ac:dyDescent="0.45">
      <c r="A74" s="237" t="s">
        <v>700</v>
      </c>
      <c r="B74" s="238"/>
      <c r="C74" s="112">
        <v>74</v>
      </c>
      <c r="D74" s="239" t="s">
        <v>416</v>
      </c>
      <c r="E74" s="240" t="s">
        <v>833</v>
      </c>
      <c r="F74" s="240" t="s">
        <v>723</v>
      </c>
      <c r="G74" s="241"/>
      <c r="H74" s="241"/>
      <c r="I74" s="242" t="s">
        <v>52</v>
      </c>
      <c r="J74" s="243" t="s">
        <v>52</v>
      </c>
      <c r="K74" s="239" t="s">
        <v>735</v>
      </c>
      <c r="L74" s="244" t="s">
        <v>324</v>
      </c>
      <c r="M74" s="239" t="s">
        <v>316</v>
      </c>
      <c r="N74" s="245" t="s">
        <v>317</v>
      </c>
      <c r="O74" s="246" t="s">
        <v>737</v>
      </c>
      <c r="P74" s="242" t="s">
        <v>28</v>
      </c>
      <c r="Q74" s="341">
        <v>2252.8000000000002</v>
      </c>
      <c r="R74" s="240" t="s">
        <v>416</v>
      </c>
      <c r="S74" s="240" t="s">
        <v>416</v>
      </c>
      <c r="T74" s="240" t="s">
        <v>416</v>
      </c>
      <c r="U74" s="247" t="s">
        <v>416</v>
      </c>
      <c r="V74" s="248">
        <f>SUM(Table24[[#This Row],[A1toA3_GWP]:[C1toC4_GWP]])</f>
        <v>84.399999999999991</v>
      </c>
      <c r="W74" s="248"/>
      <c r="X74" s="248"/>
      <c r="Y74" s="248">
        <f>Table24[[#This Row],[Total_GWP]]*Table24[[#This Row],[DENSITY]]/1000</f>
        <v>190.13632000000001</v>
      </c>
      <c r="Z74" s="337">
        <v>71.8</v>
      </c>
      <c r="AA74" s="338">
        <v>12.6</v>
      </c>
      <c r="AB74" s="87"/>
      <c r="AC74" s="123"/>
      <c r="AD74" s="160"/>
      <c r="AE74" s="250"/>
      <c r="AF74" s="160">
        <f ca="1">IF(OR($E74="Ecoinvent",$E74="Betonsortenrechner",$E74="KBOB",$V74&lt;=0,Table24[[#This Row],[VALID_TO]]&lt;=TODAY()),0,1)</f>
        <v>0</v>
      </c>
      <c r="AG74" s="160">
        <v>1</v>
      </c>
      <c r="AH74" s="160">
        <f ca="1">IF(AND(Table24[[#This Row],[ValidEPD]]&lt;&gt;0,Table24[[#This Row],[Man_Ausschluss]]&lt;&gt;0),1,0)</f>
        <v>0</v>
      </c>
      <c r="AI74" s="178" cm="1">
        <f t="array" aca="1" ref="AI74" ca="1">IF(Table24[[#This Row],[gültig]]&lt;&gt;0,
IF(V74=MIN(_xlfn._xlws.FILTER($V$2:$V$282,($P$2:$P$282=P74))),1,
IF(V74=MAX(_xlfn._xlws.FILTER($V$2:$V$282,($P$2:$P$282=P74))),1,0)),0)</f>
        <v>0</v>
      </c>
      <c r="AJ74" s="180"/>
      <c r="AK74" s="9"/>
      <c r="AL74" s="9"/>
    </row>
    <row r="75" spans="1:38" x14ac:dyDescent="0.45">
      <c r="A75" s="237" t="s">
        <v>472</v>
      </c>
      <c r="B75" s="238"/>
      <c r="C75" s="112">
        <v>75</v>
      </c>
      <c r="D75" s="239" t="s">
        <v>416</v>
      </c>
      <c r="E75" s="240" t="s">
        <v>833</v>
      </c>
      <c r="F75" s="251" t="s">
        <v>484</v>
      </c>
      <c r="G75" s="241"/>
      <c r="H75" s="241"/>
      <c r="I75" s="242" t="s">
        <v>52</v>
      </c>
      <c r="J75" s="243" t="s">
        <v>52</v>
      </c>
      <c r="K75" s="239" t="s">
        <v>465</v>
      </c>
      <c r="L75" s="244" t="s">
        <v>324</v>
      </c>
      <c r="M75" s="239" t="s">
        <v>316</v>
      </c>
      <c r="N75" s="245" t="s">
        <v>317</v>
      </c>
      <c r="O75" s="252" t="s">
        <v>471</v>
      </c>
      <c r="P75" s="242" t="s">
        <v>28</v>
      </c>
      <c r="Q75" s="341">
        <v>2367.6</v>
      </c>
      <c r="R75" s="240" t="s">
        <v>416</v>
      </c>
      <c r="S75" s="240" t="s">
        <v>416</v>
      </c>
      <c r="T75" s="240" t="s">
        <v>416</v>
      </c>
      <c r="U75" s="247" t="s">
        <v>416</v>
      </c>
      <c r="V75" s="248">
        <f>SUM(Table24[[#This Row],[A1toA3_GWP]:[C1toC4_GWP]])</f>
        <v>68.5</v>
      </c>
      <c r="W75" s="248"/>
      <c r="X75" s="248"/>
      <c r="Y75" s="248">
        <f>Table24[[#This Row],[Total_GWP]]*Table24[[#This Row],[DENSITY]]/1000</f>
        <v>162.1806</v>
      </c>
      <c r="Z75" s="337">
        <v>55.9</v>
      </c>
      <c r="AA75" s="338">
        <v>12.6</v>
      </c>
      <c r="AB75" s="160"/>
      <c r="AC75" s="160"/>
      <c r="AD75" s="160"/>
      <c r="AE75" s="250"/>
      <c r="AF75" s="160">
        <f ca="1">IF(OR($E75="Ecoinvent",$E75="Betonsortenrechner",$E75="KBOB",$V75&lt;=0,Table24[[#This Row],[VALID_TO]]&lt;=TODAY()),0,1)</f>
        <v>0</v>
      </c>
      <c r="AG75" s="160">
        <v>1</v>
      </c>
      <c r="AH75" s="160">
        <f ca="1">IF(AND(Table24[[#This Row],[ValidEPD]]&lt;&gt;0,Table24[[#This Row],[Man_Ausschluss]]&lt;&gt;0),1,0)</f>
        <v>0</v>
      </c>
      <c r="AI75" s="178" cm="1">
        <f t="array" aca="1" ref="AI75" ca="1">IF(Table24[[#This Row],[gültig]]&lt;&gt;0,
IF(V75=MIN(_xlfn._xlws.FILTER($V$2:$V$282,($P$2:$P$282=P75))),1,
IF(V75=MAX(_xlfn._xlws.FILTER($V$2:$V$282,($P$2:$P$282=P75))),1,0)),0)</f>
        <v>0</v>
      </c>
      <c r="AJ75" s="180"/>
      <c r="AK75" s="2"/>
      <c r="AL75" s="2"/>
    </row>
    <row r="76" spans="1:38" x14ac:dyDescent="0.45">
      <c r="A76" s="237" t="s">
        <v>473</v>
      </c>
      <c r="B76" s="238"/>
      <c r="C76" s="112">
        <v>76</v>
      </c>
      <c r="D76" s="239" t="s">
        <v>416</v>
      </c>
      <c r="E76" s="240" t="s">
        <v>833</v>
      </c>
      <c r="F76" s="251" t="s">
        <v>485</v>
      </c>
      <c r="G76" s="241"/>
      <c r="H76" s="241"/>
      <c r="I76" s="242" t="s">
        <v>52</v>
      </c>
      <c r="J76" s="253" t="s">
        <v>52</v>
      </c>
      <c r="K76" s="254" t="s">
        <v>466</v>
      </c>
      <c r="L76" s="244" t="s">
        <v>324</v>
      </c>
      <c r="M76" s="239" t="s">
        <v>316</v>
      </c>
      <c r="N76" s="245" t="s">
        <v>317</v>
      </c>
      <c r="O76" s="252" t="s">
        <v>471</v>
      </c>
      <c r="P76" s="242" t="s">
        <v>28</v>
      </c>
      <c r="Q76" s="341">
        <v>2377.6</v>
      </c>
      <c r="R76" s="240" t="s">
        <v>416</v>
      </c>
      <c r="S76" s="240" t="s">
        <v>416</v>
      </c>
      <c r="T76" s="240" t="s">
        <v>416</v>
      </c>
      <c r="U76" s="247" t="s">
        <v>416</v>
      </c>
      <c r="V76" s="248">
        <f>SUM(Table24[[#This Row],[A1toA3_GWP]:[C1toC4_GWP]])</f>
        <v>71</v>
      </c>
      <c r="W76" s="248"/>
      <c r="X76" s="248"/>
      <c r="Y76" s="248">
        <f>Table24[[#This Row],[Total_GWP]]*Table24[[#This Row],[DENSITY]]/1000</f>
        <v>168.80960000000002</v>
      </c>
      <c r="Z76" s="337">
        <v>58.4</v>
      </c>
      <c r="AA76" s="338">
        <v>12.6</v>
      </c>
      <c r="AB76" s="160"/>
      <c r="AC76" s="160"/>
      <c r="AD76" s="160"/>
      <c r="AE76" s="250"/>
      <c r="AF76" s="160">
        <f ca="1">IF(OR($E76="Ecoinvent",$E76="Betonsortenrechner",$E76="KBOB",$V76&lt;=0,Table24[[#This Row],[VALID_TO]]&lt;=TODAY()),0,1)</f>
        <v>0</v>
      </c>
      <c r="AG76" s="160">
        <v>1</v>
      </c>
      <c r="AH76" s="160">
        <f ca="1">IF(AND(Table24[[#This Row],[ValidEPD]]&lt;&gt;0,Table24[[#This Row],[Man_Ausschluss]]&lt;&gt;0),1,0)</f>
        <v>0</v>
      </c>
      <c r="AI76" s="178" cm="1">
        <f t="array" aca="1" ref="AI76" ca="1">IF(Table24[[#This Row],[gültig]]&lt;&gt;0,
IF(V76=MIN(_xlfn._xlws.FILTER($V$2:$V$282,($P$2:$P$282=P76))),1,
IF(V76=MAX(_xlfn._xlws.FILTER($V$2:$V$282,($P$2:$P$282=P76))),1,0)),0)</f>
        <v>0</v>
      </c>
      <c r="AJ76" s="180"/>
      <c r="AK76" s="2"/>
      <c r="AL76" s="2"/>
    </row>
    <row r="77" spans="1:38" x14ac:dyDescent="0.45">
      <c r="A77" s="237" t="s">
        <v>474</v>
      </c>
      <c r="B77" s="238"/>
      <c r="C77" s="112">
        <v>77</v>
      </c>
      <c r="D77" s="239" t="s">
        <v>416</v>
      </c>
      <c r="E77" s="240" t="s">
        <v>833</v>
      </c>
      <c r="F77" s="255" t="s">
        <v>486</v>
      </c>
      <c r="G77" s="241"/>
      <c r="H77" s="241"/>
      <c r="I77" s="242" t="s">
        <v>52</v>
      </c>
      <c r="J77" s="253" t="s">
        <v>52</v>
      </c>
      <c r="K77" s="254" t="s">
        <v>467</v>
      </c>
      <c r="L77" s="244" t="s">
        <v>324</v>
      </c>
      <c r="M77" s="239" t="s">
        <v>316</v>
      </c>
      <c r="N77" s="245" t="s">
        <v>317</v>
      </c>
      <c r="O77" s="252" t="s">
        <v>471</v>
      </c>
      <c r="P77" s="242" t="s">
        <v>12</v>
      </c>
      <c r="Q77" s="341">
        <v>2373</v>
      </c>
      <c r="R77" s="240" t="s">
        <v>416</v>
      </c>
      <c r="S77" s="240" t="s">
        <v>416</v>
      </c>
      <c r="T77" s="240" t="s">
        <v>416</v>
      </c>
      <c r="U77" s="247" t="s">
        <v>416</v>
      </c>
      <c r="V77" s="248">
        <f>SUM(Table24[[#This Row],[A1toA3_GWP]:[C1toC4_GWP]])</f>
        <v>76.8</v>
      </c>
      <c r="W77" s="248"/>
      <c r="X77" s="248"/>
      <c r="Y77" s="248">
        <f>Table24[[#This Row],[Total_GWP]]*Table24[[#This Row],[DENSITY]]/1000</f>
        <v>182.24639999999999</v>
      </c>
      <c r="Z77" s="337">
        <v>64.2</v>
      </c>
      <c r="AA77" s="338">
        <v>12.6</v>
      </c>
      <c r="AB77" s="160"/>
      <c r="AC77" s="160"/>
      <c r="AD77" s="160"/>
      <c r="AE77" s="250"/>
      <c r="AF77" s="160">
        <f ca="1">IF(OR($E77="Ecoinvent",$E77="Betonsortenrechner",$E77="KBOB",$V77&lt;=0,Table24[[#This Row],[VALID_TO]]&lt;=TODAY()),0,1)</f>
        <v>0</v>
      </c>
      <c r="AG77" s="160">
        <v>1</v>
      </c>
      <c r="AH77" s="160">
        <f ca="1">IF(AND(Table24[[#This Row],[ValidEPD]]&lt;&gt;0,Table24[[#This Row],[Man_Ausschluss]]&lt;&gt;0),1,0)</f>
        <v>0</v>
      </c>
      <c r="AI77" s="178" cm="1">
        <f t="array" aca="1" ref="AI77" ca="1">IF(Table24[[#This Row],[gültig]]&lt;&gt;0,
IF(V77=MIN(_xlfn._xlws.FILTER($V$2:$V$282,($P$2:$P$282=P77))),1,
IF(V77=MAX(_xlfn._xlws.FILTER($V$2:$V$282,($P$2:$P$282=P77))),1,0)),0)</f>
        <v>0</v>
      </c>
      <c r="AJ77" s="180"/>
      <c r="AK77" s="2"/>
      <c r="AL77" s="2"/>
    </row>
    <row r="78" spans="1:38" x14ac:dyDescent="0.45">
      <c r="A78" s="237" t="s">
        <v>475</v>
      </c>
      <c r="B78" s="238"/>
      <c r="C78" s="112">
        <v>78</v>
      </c>
      <c r="D78" s="239" t="s">
        <v>416</v>
      </c>
      <c r="E78" s="240" t="s">
        <v>833</v>
      </c>
      <c r="F78" s="255" t="s">
        <v>487</v>
      </c>
      <c r="G78" s="241"/>
      <c r="H78" s="241"/>
      <c r="I78" s="242" t="s">
        <v>52</v>
      </c>
      <c r="J78" s="253" t="s">
        <v>52</v>
      </c>
      <c r="K78" s="254" t="s">
        <v>468</v>
      </c>
      <c r="L78" s="244" t="s">
        <v>324</v>
      </c>
      <c r="M78" s="239" t="s">
        <v>316</v>
      </c>
      <c r="N78" s="245" t="s">
        <v>317</v>
      </c>
      <c r="O78" s="252" t="s">
        <v>471</v>
      </c>
      <c r="P78" s="242" t="s">
        <v>12</v>
      </c>
      <c r="Q78" s="341">
        <v>2388.1999999999998</v>
      </c>
      <c r="R78" s="240" t="s">
        <v>416</v>
      </c>
      <c r="S78" s="240" t="s">
        <v>416</v>
      </c>
      <c r="T78" s="240" t="s">
        <v>416</v>
      </c>
      <c r="U78" s="247" t="s">
        <v>416</v>
      </c>
      <c r="V78" s="248">
        <f>SUM(Table24[[#This Row],[A1toA3_GWP]:[C1toC4_GWP]])</f>
        <v>78.5</v>
      </c>
      <c r="W78" s="248"/>
      <c r="X78" s="248"/>
      <c r="Y78" s="248">
        <f>Table24[[#This Row],[Total_GWP]]*Table24[[#This Row],[DENSITY]]/1000</f>
        <v>187.47369999999998</v>
      </c>
      <c r="Z78" s="337">
        <v>65.900000000000006</v>
      </c>
      <c r="AA78" s="338">
        <v>12.6</v>
      </c>
      <c r="AB78" s="160"/>
      <c r="AC78" s="160"/>
      <c r="AD78" s="160"/>
      <c r="AE78" s="250"/>
      <c r="AF78" s="160">
        <f ca="1">IF(OR($E78="Ecoinvent",$E78="Betonsortenrechner",$E78="KBOB",$V78&lt;=0,Table24[[#This Row],[VALID_TO]]&lt;=TODAY()),0,1)</f>
        <v>0</v>
      </c>
      <c r="AG78" s="160">
        <v>1</v>
      </c>
      <c r="AH78" s="160">
        <f ca="1">IF(AND(Table24[[#This Row],[ValidEPD]]&lt;&gt;0,Table24[[#This Row],[Man_Ausschluss]]&lt;&gt;0),1,0)</f>
        <v>0</v>
      </c>
      <c r="AI78" s="178" cm="1">
        <f t="array" aca="1" ref="AI78" ca="1">IF(Table24[[#This Row],[gültig]]&lt;&gt;0,
IF(V78=MIN(_xlfn._xlws.FILTER($V$2:$V$282,($P$2:$P$282=P78))),1,
IF(V78=MAX(_xlfn._xlws.FILTER($V$2:$V$282,($P$2:$P$282=P78))),1,0)),0)</f>
        <v>0</v>
      </c>
      <c r="AJ78" s="180"/>
      <c r="AK78" s="2"/>
      <c r="AL78" s="2"/>
    </row>
    <row r="79" spans="1:38" x14ac:dyDescent="0.45">
      <c r="A79" s="237" t="s">
        <v>476</v>
      </c>
      <c r="B79" s="238"/>
      <c r="C79" s="113">
        <v>79</v>
      </c>
      <c r="D79" s="239" t="s">
        <v>416</v>
      </c>
      <c r="E79" s="240" t="s">
        <v>833</v>
      </c>
      <c r="F79" s="255" t="s">
        <v>488</v>
      </c>
      <c r="G79" s="241"/>
      <c r="H79" s="241"/>
      <c r="I79" s="242" t="s">
        <v>52</v>
      </c>
      <c r="J79" s="253" t="s">
        <v>52</v>
      </c>
      <c r="K79" s="254" t="s">
        <v>469</v>
      </c>
      <c r="L79" s="244" t="s">
        <v>324</v>
      </c>
      <c r="M79" s="239" t="s">
        <v>316</v>
      </c>
      <c r="N79" s="245" t="s">
        <v>317</v>
      </c>
      <c r="O79" s="252" t="s">
        <v>827</v>
      </c>
      <c r="P79" s="242" t="s">
        <v>7</v>
      </c>
      <c r="Q79" s="341">
        <v>2343.6</v>
      </c>
      <c r="R79" s="240" t="s">
        <v>416</v>
      </c>
      <c r="S79" s="240" t="s">
        <v>416</v>
      </c>
      <c r="T79" s="240" t="s">
        <v>416</v>
      </c>
      <c r="U79" s="247" t="s">
        <v>416</v>
      </c>
      <c r="V79" s="248">
        <f>SUM(Table24[[#This Row],[A1toA3_GWP]:[C1toC4_GWP]])</f>
        <v>103.1</v>
      </c>
      <c r="W79" s="248"/>
      <c r="X79" s="248"/>
      <c r="Y79" s="248">
        <f>Table24[[#This Row],[Total_GWP]]*Table24[[#This Row],[DENSITY]]/1000</f>
        <v>241.62515999999997</v>
      </c>
      <c r="Z79" s="337">
        <v>90.5</v>
      </c>
      <c r="AA79" s="338">
        <v>12.6</v>
      </c>
      <c r="AB79" s="160"/>
      <c r="AC79" s="160"/>
      <c r="AD79" s="160"/>
      <c r="AE79" s="250"/>
      <c r="AF79" s="160">
        <f ca="1">IF(OR($E79="Ecoinvent",$E79="Betonsortenrechner",$E79="KBOB",$V79&lt;=0,Table24[[#This Row],[VALID_TO]]&lt;=TODAY()),0,1)</f>
        <v>0</v>
      </c>
      <c r="AG79" s="160">
        <v>1</v>
      </c>
      <c r="AH79" s="160">
        <f ca="1">IF(AND(Table24[[#This Row],[ValidEPD]]&lt;&gt;0,Table24[[#This Row],[Man_Ausschluss]]&lt;&gt;0),1,0)</f>
        <v>0</v>
      </c>
      <c r="AI79" s="178" cm="1">
        <f t="array" aca="1" ref="AI79" ca="1">IF(Table24[[#This Row],[gültig]]&lt;&gt;0,
IF(V79=MIN(_xlfn._xlws.FILTER($V$2:$V$282,($P$2:$P$282=P79))),1,
IF(V79=MAX(_xlfn._xlws.FILTER($V$2:$V$282,($P$2:$P$282=P79))),1,0)),0)</f>
        <v>0</v>
      </c>
      <c r="AJ79" s="180"/>
      <c r="AK79" s="2"/>
      <c r="AL79" s="2"/>
    </row>
    <row r="80" spans="1:38" x14ac:dyDescent="0.45">
      <c r="A80" s="237" t="s">
        <v>477</v>
      </c>
      <c r="B80" s="238"/>
      <c r="C80" s="112">
        <v>80</v>
      </c>
      <c r="D80" s="239" t="s">
        <v>416</v>
      </c>
      <c r="E80" s="240" t="s">
        <v>833</v>
      </c>
      <c r="F80" s="255" t="s">
        <v>489</v>
      </c>
      <c r="G80" s="241"/>
      <c r="H80" s="241"/>
      <c r="I80" s="242" t="s">
        <v>52</v>
      </c>
      <c r="J80" s="253" t="s">
        <v>52</v>
      </c>
      <c r="K80" s="254" t="s">
        <v>470</v>
      </c>
      <c r="L80" s="244" t="s">
        <v>324</v>
      </c>
      <c r="M80" s="239" t="s">
        <v>316</v>
      </c>
      <c r="N80" s="245" t="s">
        <v>317</v>
      </c>
      <c r="O80" s="252" t="s">
        <v>827</v>
      </c>
      <c r="P80" s="242" t="s">
        <v>12</v>
      </c>
      <c r="Q80" s="341">
        <v>2333.9</v>
      </c>
      <c r="R80" s="240" t="s">
        <v>416</v>
      </c>
      <c r="S80" s="240" t="s">
        <v>416</v>
      </c>
      <c r="T80" s="240" t="s">
        <v>416</v>
      </c>
      <c r="U80" s="247" t="s">
        <v>416</v>
      </c>
      <c r="V80" s="248">
        <f>SUM(Table24[[#This Row],[A1toA3_GWP]:[C1toC4_GWP]])</f>
        <v>107.3</v>
      </c>
      <c r="W80" s="248"/>
      <c r="X80" s="248"/>
      <c r="Y80" s="248">
        <f>Table24[[#This Row],[Total_GWP]]*Table24[[#This Row],[DENSITY]]/1000</f>
        <v>250.42747</v>
      </c>
      <c r="Z80" s="337">
        <v>94.7</v>
      </c>
      <c r="AA80" s="338">
        <v>12.6</v>
      </c>
      <c r="AB80" s="160"/>
      <c r="AC80" s="160"/>
      <c r="AD80" s="160"/>
      <c r="AE80" s="250"/>
      <c r="AF80" s="160">
        <f ca="1">IF(OR($E80="Ecoinvent",$E80="Betonsortenrechner",$E80="KBOB",$V80&lt;=0,Table24[[#This Row],[VALID_TO]]&lt;=TODAY()),0,1)</f>
        <v>0</v>
      </c>
      <c r="AG80" s="160">
        <v>1</v>
      </c>
      <c r="AH80" s="160">
        <f ca="1">IF(AND(Table24[[#This Row],[ValidEPD]]&lt;&gt;0,Table24[[#This Row],[Man_Ausschluss]]&lt;&gt;0),1,0)</f>
        <v>0</v>
      </c>
      <c r="AI80" s="178" cm="1">
        <f t="array" aca="1" ref="AI80" ca="1">IF(Table24[[#This Row],[gültig]]&lt;&gt;0,
IF(V80=MIN(_xlfn._xlws.FILTER($V$2:$V$282,($P$2:$P$282=P80))),1,
IF(V80=MAX(_xlfn._xlws.FILTER($V$2:$V$282,($P$2:$P$282=P80))),1,0)),0)</f>
        <v>0</v>
      </c>
      <c r="AJ80" s="180"/>
      <c r="AK80" s="2"/>
      <c r="AL80" s="2"/>
    </row>
    <row r="81" spans="1:38" x14ac:dyDescent="0.45">
      <c r="A81" s="359" t="s">
        <v>799</v>
      </c>
      <c r="B81" s="200"/>
      <c r="C81" s="112">
        <v>81</v>
      </c>
      <c r="D81" s="239" t="s">
        <v>416</v>
      </c>
      <c r="E81" s="240" t="s">
        <v>833</v>
      </c>
      <c r="F81" s="357" t="s">
        <v>785</v>
      </c>
      <c r="G81" s="354"/>
      <c r="H81" s="354"/>
      <c r="I81" s="242" t="s">
        <v>52</v>
      </c>
      <c r="J81" s="253" t="s">
        <v>52</v>
      </c>
      <c r="K81" s="344" t="s">
        <v>828</v>
      </c>
      <c r="L81" s="244" t="s">
        <v>324</v>
      </c>
      <c r="M81" s="239" t="s">
        <v>316</v>
      </c>
      <c r="N81" s="245" t="s">
        <v>317</v>
      </c>
      <c r="O81" s="358" t="s">
        <v>471</v>
      </c>
      <c r="P81" s="342" t="s">
        <v>28</v>
      </c>
      <c r="Q81" s="341">
        <v>2255.6999999999998</v>
      </c>
      <c r="R81" s="352"/>
      <c r="S81" s="352"/>
      <c r="T81" s="352"/>
      <c r="U81" s="355"/>
      <c r="V81" s="248">
        <f>SUM(Table24[[#This Row],[A1toA3_GWP]:[C1toC4_GWP]])</f>
        <v>99.1</v>
      </c>
      <c r="W81" s="248"/>
      <c r="X81" s="248"/>
      <c r="Y81" s="248">
        <f>Table24[[#This Row],[Total_GWP]]*Table24[[#This Row],[DENSITY]]/1000</f>
        <v>223.53986999999998</v>
      </c>
      <c r="Z81" s="337">
        <v>86.1</v>
      </c>
      <c r="AA81" s="338">
        <v>13</v>
      </c>
      <c r="AB81" s="83"/>
      <c r="AC81" s="83"/>
      <c r="AD81" s="83"/>
      <c r="AE81" s="85"/>
      <c r="AF81" s="160">
        <f ca="1">IF(OR($E81="Ecoinvent",$E81="Betonsortenrechner",$E81="KBOB",$V81&lt;=0,Table24[[#This Row],[VALID_TO]]&lt;=TODAY()),0,1)</f>
        <v>0</v>
      </c>
      <c r="AG81" s="160">
        <v>1</v>
      </c>
      <c r="AH81" s="160">
        <f ca="1">IF(AND(Table24[[#This Row],[ValidEPD]]&lt;&gt;0,Table24[[#This Row],[Man_Ausschluss]]&lt;&gt;0),1,0)</f>
        <v>0</v>
      </c>
      <c r="AI81" s="178" cm="1">
        <f t="array" aca="1" ref="AI81" ca="1">IF(Table24[[#This Row],[gültig]]&lt;&gt;0,
IF(V81=MIN(_xlfn._xlws.FILTER($V$2:$V$282,($P$2:$P$282=P81))),1,
IF(V81=MAX(_xlfn._xlws.FILTER($V$2:$V$282,($P$2:$P$282=P81))),1,0)),0)</f>
        <v>0</v>
      </c>
      <c r="AJ81" s="180"/>
      <c r="AK81" s="356"/>
      <c r="AL81" s="2"/>
    </row>
    <row r="82" spans="1:38" x14ac:dyDescent="0.45">
      <c r="A82" s="359" t="s">
        <v>800</v>
      </c>
      <c r="B82" s="200"/>
      <c r="C82" s="113">
        <v>82</v>
      </c>
      <c r="D82" s="239" t="s">
        <v>416</v>
      </c>
      <c r="E82" s="240" t="s">
        <v>833</v>
      </c>
      <c r="F82" s="357" t="s">
        <v>786</v>
      </c>
      <c r="G82" s="354"/>
      <c r="H82" s="354"/>
      <c r="I82" s="242" t="s">
        <v>52</v>
      </c>
      <c r="J82" s="253" t="s">
        <v>52</v>
      </c>
      <c r="K82" s="344" t="s">
        <v>829</v>
      </c>
      <c r="L82" s="244" t="s">
        <v>324</v>
      </c>
      <c r="M82" s="239" t="s">
        <v>316</v>
      </c>
      <c r="N82" s="245" t="s">
        <v>317</v>
      </c>
      <c r="O82" s="358" t="s">
        <v>471</v>
      </c>
      <c r="P82" s="342" t="s">
        <v>12</v>
      </c>
      <c r="Q82" s="341">
        <v>2299.7999999999997</v>
      </c>
      <c r="R82" s="352"/>
      <c r="S82" s="352"/>
      <c r="T82" s="352"/>
      <c r="U82" s="355"/>
      <c r="V82" s="248">
        <f>SUM(Table24[[#This Row],[A1toA3_GWP]:[C1toC4_GWP]])</f>
        <v>103.5</v>
      </c>
      <c r="W82" s="248"/>
      <c r="X82" s="248"/>
      <c r="Y82" s="248">
        <f>Table24[[#This Row],[Total_GWP]]*Table24[[#This Row],[DENSITY]]/1000</f>
        <v>238.02929999999995</v>
      </c>
      <c r="Z82" s="337">
        <v>90.5</v>
      </c>
      <c r="AA82" s="338">
        <v>13</v>
      </c>
      <c r="AB82" s="83"/>
      <c r="AC82" s="83"/>
      <c r="AD82" s="83"/>
      <c r="AE82" s="85"/>
      <c r="AF82" s="160">
        <f ca="1">IF(OR($E82="Ecoinvent",$E82="Betonsortenrechner",$E82="KBOB",$V82&lt;=0,Table24[[#This Row],[VALID_TO]]&lt;=TODAY()),0,1)</f>
        <v>0</v>
      </c>
      <c r="AG82" s="160">
        <v>1</v>
      </c>
      <c r="AH82" s="160">
        <f ca="1">IF(AND(Table24[[#This Row],[ValidEPD]]&lt;&gt;0,Table24[[#This Row],[Man_Ausschluss]]&lt;&gt;0),1,0)</f>
        <v>0</v>
      </c>
      <c r="AI82" s="178" cm="1">
        <f t="array" aca="1" ref="AI82" ca="1">IF(Table24[[#This Row],[gültig]]&lt;&gt;0,
IF(V82=MIN(_xlfn._xlws.FILTER($V$2:$V$282,($P$2:$P$282=P82))),1,
IF(V82=MAX(_xlfn._xlws.FILTER($V$2:$V$282,($P$2:$P$282=P82))),1,0)),0)</f>
        <v>0</v>
      </c>
      <c r="AJ82" s="180"/>
      <c r="AK82" s="356"/>
      <c r="AL82" s="2"/>
    </row>
    <row r="83" spans="1:38" x14ac:dyDescent="0.45">
      <c r="A83" s="359" t="s">
        <v>801</v>
      </c>
      <c r="B83" s="200"/>
      <c r="C83" s="112">
        <v>83</v>
      </c>
      <c r="D83" s="239" t="s">
        <v>416</v>
      </c>
      <c r="E83" s="240" t="s">
        <v>833</v>
      </c>
      <c r="F83" s="357" t="s">
        <v>787</v>
      </c>
      <c r="G83" s="354"/>
      <c r="H83" s="354"/>
      <c r="I83" s="242" t="s">
        <v>52</v>
      </c>
      <c r="J83" s="253" t="s">
        <v>52</v>
      </c>
      <c r="K83" s="344" t="s">
        <v>813</v>
      </c>
      <c r="L83" s="244" t="s">
        <v>324</v>
      </c>
      <c r="M83" s="239" t="s">
        <v>316</v>
      </c>
      <c r="N83" s="245" t="s">
        <v>317</v>
      </c>
      <c r="O83" s="358" t="s">
        <v>825</v>
      </c>
      <c r="P83" s="342" t="s">
        <v>28</v>
      </c>
      <c r="Q83" s="341">
        <v>2388</v>
      </c>
      <c r="R83" s="352"/>
      <c r="S83" s="352"/>
      <c r="T83" s="352"/>
      <c r="U83" s="355"/>
      <c r="V83" s="248">
        <f>SUM(Table24[[#This Row],[A1toA3_GWP]:[C1toC4_GWP]])</f>
        <v>81.099999999999994</v>
      </c>
      <c r="W83" s="248"/>
      <c r="X83" s="248"/>
      <c r="Y83" s="248">
        <f>Table24[[#This Row],[Total_GWP]]*Table24[[#This Row],[DENSITY]]/1000</f>
        <v>193.66679999999999</v>
      </c>
      <c r="Z83" s="337">
        <v>68.5</v>
      </c>
      <c r="AA83" s="338">
        <v>12.6</v>
      </c>
      <c r="AB83" s="83"/>
      <c r="AC83" s="83"/>
      <c r="AD83" s="83"/>
      <c r="AE83" s="85"/>
      <c r="AF83" s="160">
        <f ca="1">IF(OR($E83="Ecoinvent",$E83="Betonsortenrechner",$E83="KBOB",$V83&lt;=0,Table24[[#This Row],[VALID_TO]]&lt;=TODAY()),0,1)</f>
        <v>0</v>
      </c>
      <c r="AG83" s="160">
        <v>1</v>
      </c>
      <c r="AH83" s="160">
        <f ca="1">IF(AND(Table24[[#This Row],[ValidEPD]]&lt;&gt;0,Table24[[#This Row],[Man_Ausschluss]]&lt;&gt;0),1,0)</f>
        <v>0</v>
      </c>
      <c r="AI83" s="178" cm="1">
        <f t="array" aca="1" ref="AI83" ca="1">IF(Table24[[#This Row],[gültig]]&lt;&gt;0,
IF(V83=MIN(_xlfn._xlws.FILTER($V$2:$V$282,($P$2:$P$282=P83))),1,
IF(V83=MAX(_xlfn._xlws.FILTER($V$2:$V$282,($P$2:$P$282=P83))),1,0)),0)</f>
        <v>0</v>
      </c>
      <c r="AJ83" s="180"/>
      <c r="AK83" s="356"/>
      <c r="AL83" s="2"/>
    </row>
    <row r="84" spans="1:38" x14ac:dyDescent="0.45">
      <c r="A84" s="359" t="s">
        <v>802</v>
      </c>
      <c r="B84" s="200"/>
      <c r="C84" s="112">
        <v>84</v>
      </c>
      <c r="D84" s="239" t="s">
        <v>416</v>
      </c>
      <c r="E84" s="240" t="s">
        <v>833</v>
      </c>
      <c r="F84" s="357" t="s">
        <v>788</v>
      </c>
      <c r="G84" s="354"/>
      <c r="H84" s="354"/>
      <c r="I84" s="242" t="s">
        <v>52</v>
      </c>
      <c r="J84" s="253" t="s">
        <v>52</v>
      </c>
      <c r="K84" s="344" t="s">
        <v>814</v>
      </c>
      <c r="L84" s="244" t="s">
        <v>324</v>
      </c>
      <c r="M84" s="239" t="s">
        <v>316</v>
      </c>
      <c r="N84" s="245" t="s">
        <v>317</v>
      </c>
      <c r="O84" s="358" t="s">
        <v>825</v>
      </c>
      <c r="P84" s="342" t="s">
        <v>28</v>
      </c>
      <c r="Q84" s="341">
        <v>2336</v>
      </c>
      <c r="R84" s="352"/>
      <c r="S84" s="352"/>
      <c r="T84" s="352"/>
      <c r="U84" s="355"/>
      <c r="V84" s="248">
        <f>SUM(Table24[[#This Row],[A1toA3_GWP]:[C1toC4_GWP]])</f>
        <v>85.8</v>
      </c>
      <c r="W84" s="248"/>
      <c r="X84" s="248"/>
      <c r="Y84" s="248">
        <f>Table24[[#This Row],[Total_GWP]]*Table24[[#This Row],[DENSITY]]/1000</f>
        <v>200.4288</v>
      </c>
      <c r="Z84" s="337">
        <v>73.2</v>
      </c>
      <c r="AA84" s="338">
        <v>12.6</v>
      </c>
      <c r="AB84" s="83"/>
      <c r="AC84" s="83"/>
      <c r="AD84" s="83"/>
      <c r="AE84" s="85"/>
      <c r="AF84" s="160">
        <f ca="1">IF(OR($E84="Ecoinvent",$E84="Betonsortenrechner",$E84="KBOB",$V84&lt;=0,Table24[[#This Row],[VALID_TO]]&lt;=TODAY()),0,1)</f>
        <v>0</v>
      </c>
      <c r="AG84" s="160">
        <v>1</v>
      </c>
      <c r="AH84" s="160">
        <f ca="1">IF(AND(Table24[[#This Row],[ValidEPD]]&lt;&gt;0,Table24[[#This Row],[Man_Ausschluss]]&lt;&gt;0),1,0)</f>
        <v>0</v>
      </c>
      <c r="AI84" s="178" cm="1">
        <f t="array" aca="1" ref="AI84" ca="1">IF(Table24[[#This Row],[gültig]]&lt;&gt;0,
IF(V84=MIN(_xlfn._xlws.FILTER($V$2:$V$282,($P$2:$P$282=P84))),1,
IF(V84=MAX(_xlfn._xlws.FILTER($V$2:$V$282,($P$2:$P$282=P84))),1,0)),0)</f>
        <v>0</v>
      </c>
      <c r="AJ84" s="180"/>
      <c r="AK84" s="356"/>
      <c r="AL84" s="2"/>
    </row>
    <row r="85" spans="1:38" x14ac:dyDescent="0.45">
      <c r="A85" s="359" t="s">
        <v>803</v>
      </c>
      <c r="B85" s="200"/>
      <c r="C85" s="113">
        <v>85</v>
      </c>
      <c r="D85" s="239" t="s">
        <v>416</v>
      </c>
      <c r="E85" s="240" t="s">
        <v>833</v>
      </c>
      <c r="F85" s="357" t="s">
        <v>789</v>
      </c>
      <c r="G85" s="354"/>
      <c r="H85" s="354"/>
      <c r="I85" s="242" t="s">
        <v>52</v>
      </c>
      <c r="J85" s="253" t="s">
        <v>52</v>
      </c>
      <c r="K85" s="344" t="s">
        <v>815</v>
      </c>
      <c r="L85" s="244" t="s">
        <v>324</v>
      </c>
      <c r="M85" s="239" t="s">
        <v>316</v>
      </c>
      <c r="N85" s="245" t="s">
        <v>317</v>
      </c>
      <c r="O85" s="358" t="s">
        <v>825</v>
      </c>
      <c r="P85" s="342" t="s">
        <v>28</v>
      </c>
      <c r="Q85" s="341">
        <v>2269</v>
      </c>
      <c r="R85" s="352"/>
      <c r="S85" s="352"/>
      <c r="T85" s="352"/>
      <c r="U85" s="355"/>
      <c r="V85" s="248">
        <f>SUM(Table24[[#This Row],[A1toA3_GWP]:[C1toC4_GWP]])</f>
        <v>91.899999999999991</v>
      </c>
      <c r="W85" s="248"/>
      <c r="X85" s="248"/>
      <c r="Y85" s="248">
        <f>Table24[[#This Row],[Total_GWP]]*Table24[[#This Row],[DENSITY]]/1000</f>
        <v>208.52109999999999</v>
      </c>
      <c r="Z85" s="337">
        <v>79.3</v>
      </c>
      <c r="AA85" s="338">
        <v>12.6</v>
      </c>
      <c r="AB85" s="83"/>
      <c r="AC85" s="83"/>
      <c r="AD85" s="83"/>
      <c r="AE85" s="85"/>
      <c r="AF85" s="160">
        <f ca="1">IF(OR($E85="Ecoinvent",$E85="Betonsortenrechner",$E85="KBOB",$V85&lt;=0,Table24[[#This Row],[VALID_TO]]&lt;=TODAY()),0,1)</f>
        <v>0</v>
      </c>
      <c r="AG85" s="160">
        <v>1</v>
      </c>
      <c r="AH85" s="160">
        <f ca="1">IF(AND(Table24[[#This Row],[ValidEPD]]&lt;&gt;0,Table24[[#This Row],[Man_Ausschluss]]&lt;&gt;0),1,0)</f>
        <v>0</v>
      </c>
      <c r="AI85" s="178" cm="1">
        <f t="array" aca="1" ref="AI85" ca="1">IF(Table24[[#This Row],[gültig]]&lt;&gt;0,
IF(V85=MIN(_xlfn._xlws.FILTER($V$2:$V$282,($P$2:$P$282=P85))),1,
IF(V85=MAX(_xlfn._xlws.FILTER($V$2:$V$282,($P$2:$P$282=P85))),1,0)),0)</f>
        <v>0</v>
      </c>
      <c r="AJ85" s="180"/>
      <c r="AK85" s="356"/>
      <c r="AL85" s="2"/>
    </row>
    <row r="86" spans="1:38" x14ac:dyDescent="0.45">
      <c r="A86" s="359" t="s">
        <v>804</v>
      </c>
      <c r="B86" s="200"/>
      <c r="C86" s="112">
        <v>86</v>
      </c>
      <c r="D86" s="239" t="s">
        <v>416</v>
      </c>
      <c r="E86" s="240" t="s">
        <v>833</v>
      </c>
      <c r="F86" s="357" t="s">
        <v>790</v>
      </c>
      <c r="G86" s="354"/>
      <c r="H86" s="354"/>
      <c r="I86" s="242" t="s">
        <v>52</v>
      </c>
      <c r="J86" s="253" t="s">
        <v>52</v>
      </c>
      <c r="K86" s="344" t="s">
        <v>816</v>
      </c>
      <c r="L86" s="244" t="s">
        <v>324</v>
      </c>
      <c r="M86" s="239" t="s">
        <v>316</v>
      </c>
      <c r="N86" s="245" t="s">
        <v>317</v>
      </c>
      <c r="O86" s="358" t="s">
        <v>825</v>
      </c>
      <c r="P86" s="342" t="s">
        <v>7</v>
      </c>
      <c r="Q86" s="341">
        <v>2394</v>
      </c>
      <c r="R86" s="352"/>
      <c r="S86" s="352"/>
      <c r="T86" s="352"/>
      <c r="U86" s="355"/>
      <c r="V86" s="248">
        <f>SUM(Table24[[#This Row],[A1toA3_GWP]:[C1toC4_GWP]])</f>
        <v>81.399999999999991</v>
      </c>
      <c r="W86" s="248"/>
      <c r="X86" s="248"/>
      <c r="Y86" s="248">
        <f>Table24[[#This Row],[Total_GWP]]*Table24[[#This Row],[DENSITY]]/1000</f>
        <v>194.87159999999997</v>
      </c>
      <c r="Z86" s="337">
        <v>68.8</v>
      </c>
      <c r="AA86" s="338">
        <v>12.6</v>
      </c>
      <c r="AB86" s="83"/>
      <c r="AC86" s="83"/>
      <c r="AD86" s="83"/>
      <c r="AE86" s="85"/>
      <c r="AF86" s="160">
        <f ca="1">IF(OR($E86="Ecoinvent",$E86="Betonsortenrechner",$E86="KBOB",$V86&lt;=0,Table24[[#This Row],[VALID_TO]]&lt;=TODAY()),0,1)</f>
        <v>0</v>
      </c>
      <c r="AG86" s="160">
        <v>1</v>
      </c>
      <c r="AH86" s="160">
        <f ca="1">IF(AND(Table24[[#This Row],[ValidEPD]]&lt;&gt;0,Table24[[#This Row],[Man_Ausschluss]]&lt;&gt;0),1,0)</f>
        <v>0</v>
      </c>
      <c r="AI86" s="178" cm="1">
        <f t="array" aca="1" ref="AI86" ca="1">IF(Table24[[#This Row],[gültig]]&lt;&gt;0,
IF(V86=MIN(_xlfn._xlws.FILTER($V$2:$V$282,($P$2:$P$282=P86))),1,
IF(V86=MAX(_xlfn._xlws.FILTER($V$2:$V$282,($P$2:$P$282=P86))),1,0)),0)</f>
        <v>0</v>
      </c>
      <c r="AJ86" s="180"/>
      <c r="AK86" s="356"/>
      <c r="AL86" s="2"/>
    </row>
    <row r="87" spans="1:38" x14ac:dyDescent="0.45">
      <c r="A87" s="359" t="s">
        <v>805</v>
      </c>
      <c r="B87" s="200"/>
      <c r="C87" s="112">
        <v>87</v>
      </c>
      <c r="D87" s="239" t="s">
        <v>416</v>
      </c>
      <c r="E87" s="240" t="s">
        <v>833</v>
      </c>
      <c r="F87" s="357" t="s">
        <v>791</v>
      </c>
      <c r="G87" s="354"/>
      <c r="H87" s="354"/>
      <c r="I87" s="242" t="s">
        <v>52</v>
      </c>
      <c r="J87" s="253" t="s">
        <v>52</v>
      </c>
      <c r="K87" s="344" t="s">
        <v>817</v>
      </c>
      <c r="L87" s="244" t="s">
        <v>324</v>
      </c>
      <c r="M87" s="239" t="s">
        <v>316</v>
      </c>
      <c r="N87" s="245" t="s">
        <v>317</v>
      </c>
      <c r="O87" s="358" t="s">
        <v>825</v>
      </c>
      <c r="P87" s="342" t="s">
        <v>7</v>
      </c>
      <c r="Q87" s="341">
        <v>2346</v>
      </c>
      <c r="R87" s="352"/>
      <c r="S87" s="352"/>
      <c r="T87" s="352"/>
      <c r="U87" s="355"/>
      <c r="V87" s="248">
        <f>SUM(Table24[[#This Row],[A1toA3_GWP]:[C1toC4_GWP]])</f>
        <v>85.5</v>
      </c>
      <c r="W87" s="248"/>
      <c r="X87" s="248"/>
      <c r="Y87" s="248">
        <f>Table24[[#This Row],[Total_GWP]]*Table24[[#This Row],[DENSITY]]/1000</f>
        <v>200.583</v>
      </c>
      <c r="Z87" s="337">
        <v>72.900000000000006</v>
      </c>
      <c r="AA87" s="338">
        <v>12.6</v>
      </c>
      <c r="AB87" s="83"/>
      <c r="AC87" s="83"/>
      <c r="AD87" s="83"/>
      <c r="AE87" s="85"/>
      <c r="AF87" s="160">
        <f ca="1">IF(OR($E87="Ecoinvent",$E87="Betonsortenrechner",$E87="KBOB",$V87&lt;=0,Table24[[#This Row],[VALID_TO]]&lt;=TODAY()),0,1)</f>
        <v>0</v>
      </c>
      <c r="AG87" s="160">
        <v>1</v>
      </c>
      <c r="AH87" s="160">
        <f ca="1">IF(AND(Table24[[#This Row],[ValidEPD]]&lt;&gt;0,Table24[[#This Row],[Man_Ausschluss]]&lt;&gt;0),1,0)</f>
        <v>0</v>
      </c>
      <c r="AI87" s="178" cm="1">
        <f t="array" aca="1" ref="AI87" ca="1">IF(Table24[[#This Row],[gültig]]&lt;&gt;0,
IF(V87=MIN(_xlfn._xlws.FILTER($V$2:$V$282,($P$2:$P$282=P87))),1,
IF(V87=MAX(_xlfn._xlws.FILTER($V$2:$V$282,($P$2:$P$282=P87))),1,0)),0)</f>
        <v>0</v>
      </c>
      <c r="AJ87" s="180"/>
      <c r="AK87" s="356"/>
      <c r="AL87" s="2"/>
    </row>
    <row r="88" spans="1:38" x14ac:dyDescent="0.45">
      <c r="A88" s="359" t="s">
        <v>806</v>
      </c>
      <c r="B88" s="200"/>
      <c r="C88" s="113">
        <v>88</v>
      </c>
      <c r="D88" s="239" t="s">
        <v>416</v>
      </c>
      <c r="E88" s="240" t="s">
        <v>833</v>
      </c>
      <c r="F88" s="357" t="s">
        <v>792</v>
      </c>
      <c r="G88" s="354"/>
      <c r="H88" s="354"/>
      <c r="I88" s="242" t="s">
        <v>52</v>
      </c>
      <c r="J88" s="253" t="s">
        <v>52</v>
      </c>
      <c r="K88" s="344" t="s">
        <v>818</v>
      </c>
      <c r="L88" s="244" t="s">
        <v>324</v>
      </c>
      <c r="M88" s="239" t="s">
        <v>316</v>
      </c>
      <c r="N88" s="245" t="s">
        <v>317</v>
      </c>
      <c r="O88" s="358" t="s">
        <v>825</v>
      </c>
      <c r="P88" s="342" t="s">
        <v>7</v>
      </c>
      <c r="Q88" s="341">
        <v>2293</v>
      </c>
      <c r="R88" s="352"/>
      <c r="S88" s="352"/>
      <c r="T88" s="352"/>
      <c r="U88" s="355"/>
      <c r="V88" s="248">
        <f>SUM(Table24[[#This Row],[A1toA3_GWP]:[C1toC4_GWP]])</f>
        <v>89.5</v>
      </c>
      <c r="W88" s="248"/>
      <c r="X88" s="248"/>
      <c r="Y88" s="248">
        <f>Table24[[#This Row],[Total_GWP]]*Table24[[#This Row],[DENSITY]]/1000</f>
        <v>205.2235</v>
      </c>
      <c r="Z88" s="337">
        <v>76.900000000000006</v>
      </c>
      <c r="AA88" s="338">
        <v>12.6</v>
      </c>
      <c r="AB88" s="83"/>
      <c r="AC88" s="83"/>
      <c r="AD88" s="83"/>
      <c r="AE88" s="85"/>
      <c r="AF88" s="160">
        <f ca="1">IF(OR($E88="Ecoinvent",$E88="Betonsortenrechner",$E88="KBOB",$V88&lt;=0,Table24[[#This Row],[VALID_TO]]&lt;=TODAY()),0,1)</f>
        <v>0</v>
      </c>
      <c r="AG88" s="160">
        <v>1</v>
      </c>
      <c r="AH88" s="160">
        <f ca="1">IF(AND(Table24[[#This Row],[ValidEPD]]&lt;&gt;0,Table24[[#This Row],[Man_Ausschluss]]&lt;&gt;0),1,0)</f>
        <v>0</v>
      </c>
      <c r="AI88" s="178" cm="1">
        <f t="array" aca="1" ref="AI88" ca="1">IF(Table24[[#This Row],[gültig]]&lt;&gt;0,
IF(V88=MIN(_xlfn._xlws.FILTER($V$2:$V$282,($P$2:$P$282=P88))),1,
IF(V88=MAX(_xlfn._xlws.FILTER($V$2:$V$282,($P$2:$P$282=P88))),1,0)),0)</f>
        <v>0</v>
      </c>
      <c r="AJ88" s="180"/>
      <c r="AK88" s="356"/>
      <c r="AL88" s="2"/>
    </row>
    <row r="89" spans="1:38" x14ac:dyDescent="0.45">
      <c r="A89" s="359" t="s">
        <v>807</v>
      </c>
      <c r="B89" s="200"/>
      <c r="C89" s="112">
        <v>89</v>
      </c>
      <c r="D89" s="239" t="s">
        <v>416</v>
      </c>
      <c r="E89" s="240" t="s">
        <v>833</v>
      </c>
      <c r="F89" s="357" t="s">
        <v>793</v>
      </c>
      <c r="G89" s="354"/>
      <c r="H89" s="354"/>
      <c r="I89" s="242" t="s">
        <v>52</v>
      </c>
      <c r="J89" s="253" t="s">
        <v>52</v>
      </c>
      <c r="K89" s="344" t="s">
        <v>819</v>
      </c>
      <c r="L89" s="244" t="s">
        <v>324</v>
      </c>
      <c r="M89" s="239" t="s">
        <v>316</v>
      </c>
      <c r="N89" s="245" t="s">
        <v>317</v>
      </c>
      <c r="O89" s="358" t="s">
        <v>825</v>
      </c>
      <c r="P89" s="342" t="s">
        <v>12</v>
      </c>
      <c r="Q89" s="341">
        <v>2412</v>
      </c>
      <c r="R89" s="352"/>
      <c r="S89" s="352"/>
      <c r="T89" s="352"/>
      <c r="U89" s="355"/>
      <c r="V89" s="248">
        <f>SUM(Table24[[#This Row],[A1toA3_GWP]:[C1toC4_GWP]])</f>
        <v>86.199999999999989</v>
      </c>
      <c r="W89" s="248"/>
      <c r="X89" s="248"/>
      <c r="Y89" s="248">
        <f>Table24[[#This Row],[Total_GWP]]*Table24[[#This Row],[DENSITY]]/1000</f>
        <v>207.91439999999997</v>
      </c>
      <c r="Z89" s="337">
        <v>73.599999999999994</v>
      </c>
      <c r="AA89" s="338">
        <v>12.6</v>
      </c>
      <c r="AB89" s="83"/>
      <c r="AC89" s="83"/>
      <c r="AD89" s="83"/>
      <c r="AE89" s="85"/>
      <c r="AF89" s="160">
        <f ca="1">IF(OR($E89="Ecoinvent",$E89="Betonsortenrechner",$E89="KBOB",$V89&lt;=0,Table24[[#This Row],[VALID_TO]]&lt;=TODAY()),0,1)</f>
        <v>0</v>
      </c>
      <c r="AG89" s="160">
        <v>1</v>
      </c>
      <c r="AH89" s="160">
        <f ca="1">IF(AND(Table24[[#This Row],[ValidEPD]]&lt;&gt;0,Table24[[#This Row],[Man_Ausschluss]]&lt;&gt;0),1,0)</f>
        <v>0</v>
      </c>
      <c r="AI89" s="178" cm="1">
        <f t="array" aca="1" ref="AI89" ca="1">IF(Table24[[#This Row],[gültig]]&lt;&gt;0,
IF(V89=MIN(_xlfn._xlws.FILTER($V$2:$V$282,($P$2:$P$282=P89))),1,
IF(V89=MAX(_xlfn._xlws.FILTER($V$2:$V$282,($P$2:$P$282=P89))),1,0)),0)</f>
        <v>0</v>
      </c>
      <c r="AJ89" s="180"/>
      <c r="AK89" s="356"/>
      <c r="AL89" s="2"/>
    </row>
    <row r="90" spans="1:38" x14ac:dyDescent="0.45">
      <c r="A90" s="359" t="s">
        <v>808</v>
      </c>
      <c r="B90" s="200"/>
      <c r="C90" s="112">
        <v>90</v>
      </c>
      <c r="D90" s="239" t="s">
        <v>416</v>
      </c>
      <c r="E90" s="240" t="s">
        <v>833</v>
      </c>
      <c r="F90" s="357" t="s">
        <v>794</v>
      </c>
      <c r="G90" s="354"/>
      <c r="H90" s="354"/>
      <c r="I90" s="242" t="s">
        <v>52</v>
      </c>
      <c r="J90" s="253" t="s">
        <v>52</v>
      </c>
      <c r="K90" s="344" t="s">
        <v>820</v>
      </c>
      <c r="L90" s="244" t="s">
        <v>324</v>
      </c>
      <c r="M90" s="239" t="s">
        <v>316</v>
      </c>
      <c r="N90" s="245" t="s">
        <v>317</v>
      </c>
      <c r="O90" s="358" t="s">
        <v>825</v>
      </c>
      <c r="P90" s="342" t="s">
        <v>12</v>
      </c>
      <c r="Q90" s="341">
        <v>2371</v>
      </c>
      <c r="R90" s="352"/>
      <c r="S90" s="352"/>
      <c r="T90" s="352"/>
      <c r="U90" s="355"/>
      <c r="V90" s="248">
        <f>SUM(Table24[[#This Row],[A1toA3_GWP]:[C1toC4_GWP]])</f>
        <v>90.8</v>
      </c>
      <c r="W90" s="248"/>
      <c r="X90" s="248"/>
      <c r="Y90" s="248">
        <f>Table24[[#This Row],[Total_GWP]]*Table24[[#This Row],[DENSITY]]/1000</f>
        <v>215.2868</v>
      </c>
      <c r="Z90" s="337">
        <v>78.2</v>
      </c>
      <c r="AA90" s="338">
        <v>12.6</v>
      </c>
      <c r="AB90" s="83"/>
      <c r="AC90" s="83"/>
      <c r="AD90" s="83"/>
      <c r="AE90" s="85"/>
      <c r="AF90" s="160">
        <f ca="1">IF(OR($E90="Ecoinvent",$E90="Betonsortenrechner",$E90="KBOB",$V90&lt;=0,Table24[[#This Row],[VALID_TO]]&lt;=TODAY()),0,1)</f>
        <v>0</v>
      </c>
      <c r="AG90" s="160">
        <v>1</v>
      </c>
      <c r="AH90" s="160">
        <f ca="1">IF(AND(Table24[[#This Row],[ValidEPD]]&lt;&gt;0,Table24[[#This Row],[Man_Ausschluss]]&lt;&gt;0),1,0)</f>
        <v>0</v>
      </c>
      <c r="AI90" s="178" cm="1">
        <f t="array" aca="1" ref="AI90" ca="1">IF(Table24[[#This Row],[gültig]]&lt;&gt;0,
IF(V90=MIN(_xlfn._xlws.FILTER($V$2:$V$282,($P$2:$P$282=P90))),1,
IF(V90=MAX(_xlfn._xlws.FILTER($V$2:$V$282,($P$2:$P$282=P90))),1,0)),0)</f>
        <v>0</v>
      </c>
      <c r="AJ90" s="180"/>
      <c r="AK90" s="356"/>
      <c r="AL90" s="2"/>
    </row>
    <row r="91" spans="1:38" x14ac:dyDescent="0.45">
      <c r="A91" s="359" t="s">
        <v>809</v>
      </c>
      <c r="B91" s="200"/>
      <c r="C91" s="113">
        <v>91</v>
      </c>
      <c r="D91" s="239" t="s">
        <v>416</v>
      </c>
      <c r="E91" s="240" t="s">
        <v>833</v>
      </c>
      <c r="F91" s="357" t="s">
        <v>795</v>
      </c>
      <c r="G91" s="354"/>
      <c r="H91" s="354"/>
      <c r="I91" s="242" t="s">
        <v>52</v>
      </c>
      <c r="J91" s="253" t="s">
        <v>52</v>
      </c>
      <c r="K91" s="344" t="s">
        <v>821</v>
      </c>
      <c r="L91" s="244" t="s">
        <v>324</v>
      </c>
      <c r="M91" s="239" t="s">
        <v>316</v>
      </c>
      <c r="N91" s="245" t="s">
        <v>317</v>
      </c>
      <c r="O91" s="358" t="s">
        <v>825</v>
      </c>
      <c r="P91" s="342" t="s">
        <v>12</v>
      </c>
      <c r="Q91" s="341">
        <v>2303</v>
      </c>
      <c r="R91" s="352"/>
      <c r="S91" s="352"/>
      <c r="T91" s="352"/>
      <c r="U91" s="355"/>
      <c r="V91" s="248">
        <f>SUM(Table24[[#This Row],[A1toA3_GWP]:[C1toC4_GWP]])</f>
        <v>94.5</v>
      </c>
      <c r="W91" s="248"/>
      <c r="X91" s="248"/>
      <c r="Y91" s="248">
        <f>Table24[[#This Row],[Total_GWP]]*Table24[[#This Row],[DENSITY]]/1000</f>
        <v>217.6335</v>
      </c>
      <c r="Z91" s="337">
        <v>81.900000000000006</v>
      </c>
      <c r="AA91" s="338">
        <v>12.6</v>
      </c>
      <c r="AB91" s="83"/>
      <c r="AC91" s="83"/>
      <c r="AD91" s="83"/>
      <c r="AE91" s="85"/>
      <c r="AF91" s="160">
        <f ca="1">IF(OR($E91="Ecoinvent",$E91="Betonsortenrechner",$E91="KBOB",$V91&lt;=0,Table24[[#This Row],[VALID_TO]]&lt;=TODAY()),0,1)</f>
        <v>0</v>
      </c>
      <c r="AG91" s="160">
        <v>1</v>
      </c>
      <c r="AH91" s="160">
        <f ca="1">IF(AND(Table24[[#This Row],[ValidEPD]]&lt;&gt;0,Table24[[#This Row],[Man_Ausschluss]]&lt;&gt;0),1,0)</f>
        <v>0</v>
      </c>
      <c r="AI91" s="178" cm="1">
        <f t="array" aca="1" ref="AI91" ca="1">IF(Table24[[#This Row],[gültig]]&lt;&gt;0,
IF(V91=MIN(_xlfn._xlws.FILTER($V$2:$V$282,($P$2:$P$282=P91))),1,
IF(V91=MAX(_xlfn._xlws.FILTER($V$2:$V$282,($P$2:$P$282=P91))),1,0)),0)</f>
        <v>0</v>
      </c>
      <c r="AJ91" s="180"/>
      <c r="AK91" s="356"/>
      <c r="AL91" s="2"/>
    </row>
    <row r="92" spans="1:38" x14ac:dyDescent="0.45">
      <c r="A92" s="359" t="s">
        <v>810</v>
      </c>
      <c r="B92" s="200"/>
      <c r="C92" s="112">
        <v>92</v>
      </c>
      <c r="D92" s="239" t="s">
        <v>416</v>
      </c>
      <c r="E92" s="240" t="s">
        <v>833</v>
      </c>
      <c r="F92" s="357" t="s">
        <v>796</v>
      </c>
      <c r="G92" s="354"/>
      <c r="H92" s="354"/>
      <c r="I92" s="242" t="s">
        <v>52</v>
      </c>
      <c r="J92" s="253" t="s">
        <v>52</v>
      </c>
      <c r="K92" s="344" t="s">
        <v>822</v>
      </c>
      <c r="L92" s="244" t="s">
        <v>324</v>
      </c>
      <c r="M92" s="239" t="s">
        <v>316</v>
      </c>
      <c r="N92" s="245" t="s">
        <v>317</v>
      </c>
      <c r="O92" s="358" t="s">
        <v>826</v>
      </c>
      <c r="P92" s="342" t="s">
        <v>28</v>
      </c>
      <c r="Q92" s="341">
        <v>2309</v>
      </c>
      <c r="R92" s="352"/>
      <c r="S92" s="352"/>
      <c r="T92" s="352"/>
      <c r="U92" s="355"/>
      <c r="V92" s="248">
        <f>SUM(Table24[[#This Row],[A1toA3_GWP]:[C1toC4_GWP]])</f>
        <v>75.3</v>
      </c>
      <c r="W92" s="248"/>
      <c r="X92" s="248"/>
      <c r="Y92" s="248">
        <f>Table24[[#This Row],[Total_GWP]]*Table24[[#This Row],[DENSITY]]/1000</f>
        <v>173.86769999999999</v>
      </c>
      <c r="Z92" s="337">
        <v>62.7</v>
      </c>
      <c r="AA92" s="338">
        <v>12.6</v>
      </c>
      <c r="AB92" s="83"/>
      <c r="AC92" s="83"/>
      <c r="AD92" s="83"/>
      <c r="AE92" s="85"/>
      <c r="AF92" s="160">
        <f ca="1">IF(OR($E92="Ecoinvent",$E92="Betonsortenrechner",$E92="KBOB",$V92&lt;=0,Table24[[#This Row],[VALID_TO]]&lt;=TODAY()),0,1)</f>
        <v>0</v>
      </c>
      <c r="AG92" s="160">
        <v>1</v>
      </c>
      <c r="AH92" s="160">
        <f ca="1">IF(AND(Table24[[#This Row],[ValidEPD]]&lt;&gt;0,Table24[[#This Row],[Man_Ausschluss]]&lt;&gt;0),1,0)</f>
        <v>0</v>
      </c>
      <c r="AI92" s="178" cm="1">
        <f t="array" aca="1" ref="AI92" ca="1">IF(Table24[[#This Row],[gültig]]&lt;&gt;0,
IF(V92=MIN(_xlfn._xlws.FILTER($V$2:$V$282,($P$2:$P$282=P92))),1,
IF(V92=MAX(_xlfn._xlws.FILTER($V$2:$V$282,($P$2:$P$282=P92))),1,0)),0)</f>
        <v>0</v>
      </c>
      <c r="AJ92" s="180"/>
      <c r="AK92" s="356"/>
      <c r="AL92" s="2"/>
    </row>
    <row r="93" spans="1:38" x14ac:dyDescent="0.45">
      <c r="A93" s="359" t="s">
        <v>811</v>
      </c>
      <c r="B93" s="200"/>
      <c r="C93" s="112">
        <v>93</v>
      </c>
      <c r="D93" s="239" t="s">
        <v>416</v>
      </c>
      <c r="E93" s="240" t="s">
        <v>833</v>
      </c>
      <c r="F93" s="357" t="s">
        <v>797</v>
      </c>
      <c r="G93" s="354"/>
      <c r="H93" s="354"/>
      <c r="I93" s="242" t="s">
        <v>52</v>
      </c>
      <c r="J93" s="253" t="s">
        <v>52</v>
      </c>
      <c r="K93" s="344" t="s">
        <v>823</v>
      </c>
      <c r="L93" s="244" t="s">
        <v>324</v>
      </c>
      <c r="M93" s="239" t="s">
        <v>316</v>
      </c>
      <c r="N93" s="245" t="s">
        <v>317</v>
      </c>
      <c r="O93" s="358" t="s">
        <v>826</v>
      </c>
      <c r="P93" s="342" t="s">
        <v>7</v>
      </c>
      <c r="Q93" s="341">
        <v>2319</v>
      </c>
      <c r="R93" s="352"/>
      <c r="S93" s="352"/>
      <c r="T93" s="352"/>
      <c r="U93" s="355"/>
      <c r="V93" s="248">
        <f>SUM(Table24[[#This Row],[A1toA3_GWP]:[C1toC4_GWP]])</f>
        <v>75.099999999999994</v>
      </c>
      <c r="W93" s="248"/>
      <c r="X93" s="248"/>
      <c r="Y93" s="248">
        <f>Table24[[#This Row],[Total_GWP]]*Table24[[#This Row],[DENSITY]]/1000</f>
        <v>174.15690000000001</v>
      </c>
      <c r="Z93" s="337">
        <v>62.5</v>
      </c>
      <c r="AA93" s="338">
        <v>12.6</v>
      </c>
      <c r="AB93" s="83"/>
      <c r="AC93" s="83"/>
      <c r="AD93" s="83"/>
      <c r="AE93" s="85"/>
      <c r="AF93" s="160">
        <f ca="1">IF(OR($E93="Ecoinvent",$E93="Betonsortenrechner",$E93="KBOB",$V93&lt;=0,Table24[[#This Row],[VALID_TO]]&lt;=TODAY()),0,1)</f>
        <v>0</v>
      </c>
      <c r="AG93" s="160">
        <v>1</v>
      </c>
      <c r="AH93" s="160">
        <f ca="1">IF(AND(Table24[[#This Row],[ValidEPD]]&lt;&gt;0,Table24[[#This Row],[Man_Ausschluss]]&lt;&gt;0),1,0)</f>
        <v>0</v>
      </c>
      <c r="AI93" s="178" cm="1">
        <f t="array" aca="1" ref="AI93" ca="1">IF(Table24[[#This Row],[gültig]]&lt;&gt;0,
IF(V93=MIN(_xlfn._xlws.FILTER($V$2:$V$282,($P$2:$P$282=P93))),1,
IF(V93=MAX(_xlfn._xlws.FILTER($V$2:$V$282,($P$2:$P$282=P93))),1,0)),0)</f>
        <v>0</v>
      </c>
      <c r="AJ93" s="180"/>
      <c r="AK93" s="356"/>
      <c r="AL93" s="2"/>
    </row>
    <row r="94" spans="1:38" x14ac:dyDescent="0.45">
      <c r="A94" s="359" t="s">
        <v>812</v>
      </c>
      <c r="B94" s="200"/>
      <c r="C94" s="113">
        <v>94</v>
      </c>
      <c r="D94" s="239" t="s">
        <v>416</v>
      </c>
      <c r="E94" s="240" t="s">
        <v>833</v>
      </c>
      <c r="F94" s="357" t="s">
        <v>798</v>
      </c>
      <c r="G94" s="354"/>
      <c r="H94" s="354"/>
      <c r="I94" s="242" t="s">
        <v>52</v>
      </c>
      <c r="J94" s="253" t="s">
        <v>52</v>
      </c>
      <c r="K94" s="344" t="s">
        <v>824</v>
      </c>
      <c r="L94" s="244" t="s">
        <v>324</v>
      </c>
      <c r="M94" s="239" t="s">
        <v>316</v>
      </c>
      <c r="N94" s="245" t="s">
        <v>317</v>
      </c>
      <c r="O94" s="358" t="s">
        <v>826</v>
      </c>
      <c r="P94" s="342" t="s">
        <v>12</v>
      </c>
      <c r="Q94" s="341">
        <v>2328</v>
      </c>
      <c r="R94" s="352"/>
      <c r="S94" s="352"/>
      <c r="T94" s="352"/>
      <c r="U94" s="355"/>
      <c r="V94" s="248">
        <f>SUM(Table24[[#This Row],[A1toA3_GWP]:[C1toC4_GWP]])</f>
        <v>78.699999999999989</v>
      </c>
      <c r="W94" s="248"/>
      <c r="X94" s="248"/>
      <c r="Y94" s="248">
        <f>Table24[[#This Row],[Total_GWP]]*Table24[[#This Row],[DENSITY]]/1000</f>
        <v>183.21359999999999</v>
      </c>
      <c r="Z94" s="337">
        <v>66.099999999999994</v>
      </c>
      <c r="AA94" s="338">
        <v>12.6</v>
      </c>
      <c r="AB94" s="83"/>
      <c r="AC94" s="83"/>
      <c r="AD94" s="83"/>
      <c r="AE94" s="85"/>
      <c r="AF94" s="160">
        <f ca="1">IF(OR($E94="Ecoinvent",$E94="Betonsortenrechner",$E94="KBOB",$V94&lt;=0,Table24[[#This Row],[VALID_TO]]&lt;=TODAY()),0,1)</f>
        <v>0</v>
      </c>
      <c r="AG94" s="160">
        <v>1</v>
      </c>
      <c r="AH94" s="160">
        <f ca="1">IF(AND(Table24[[#This Row],[ValidEPD]]&lt;&gt;0,Table24[[#This Row],[Man_Ausschluss]]&lt;&gt;0),1,0)</f>
        <v>0</v>
      </c>
      <c r="AI94" s="178" cm="1">
        <f t="array" aca="1" ref="AI94" ca="1">IF(Table24[[#This Row],[gültig]]&lt;&gt;0,
IF(V94=MIN(_xlfn._xlws.FILTER($V$2:$V$282,($P$2:$P$282=P94))),1,
IF(V94=MAX(_xlfn._xlws.FILTER($V$2:$V$282,($P$2:$P$282=P94))),1,0)),0)</f>
        <v>0</v>
      </c>
      <c r="AJ94" s="180"/>
      <c r="AK94" s="356"/>
      <c r="AL94" s="2"/>
    </row>
    <row r="95" spans="1:38" s="8" customFormat="1" ht="14.65" thickBot="1" x14ac:dyDescent="0.5">
      <c r="A95" s="256" t="s">
        <v>193</v>
      </c>
      <c r="B95" s="257"/>
      <c r="C95" s="114">
        <v>95</v>
      </c>
      <c r="D95" s="258" t="s">
        <v>416</v>
      </c>
      <c r="E95" s="259" t="s">
        <v>833</v>
      </c>
      <c r="F95" s="260" t="s">
        <v>490</v>
      </c>
      <c r="G95" s="261"/>
      <c r="H95" s="262"/>
      <c r="I95" s="262" t="s">
        <v>52</v>
      </c>
      <c r="J95" s="263" t="s">
        <v>52</v>
      </c>
      <c r="K95" s="264" t="s">
        <v>39</v>
      </c>
      <c r="L95" s="265" t="s">
        <v>324</v>
      </c>
      <c r="M95" s="258" t="s">
        <v>316</v>
      </c>
      <c r="N95" s="266" t="s">
        <v>317</v>
      </c>
      <c r="O95" s="267" t="s">
        <v>416</v>
      </c>
      <c r="P95" s="262" t="s">
        <v>416</v>
      </c>
      <c r="Q95" s="343">
        <v>2300</v>
      </c>
      <c r="R95" s="259" t="s">
        <v>416</v>
      </c>
      <c r="S95" s="259" t="s">
        <v>416</v>
      </c>
      <c r="T95" s="259" t="s">
        <v>416</v>
      </c>
      <c r="U95" s="268" t="s">
        <v>416</v>
      </c>
      <c r="V95" s="269">
        <f>0.101*1000</f>
        <v>101</v>
      </c>
      <c r="W95" s="269"/>
      <c r="X95" s="269"/>
      <c r="Y95" s="269">
        <f>Table24[[#This Row],[Total_GWP]]*Table24[[#This Row],[DENSITY]]/1000</f>
        <v>232.3</v>
      </c>
      <c r="Z95" s="339">
        <v>88.7</v>
      </c>
      <c r="AA95" s="340">
        <v>12.6</v>
      </c>
      <c r="AB95" s="270"/>
      <c r="AC95" s="270"/>
      <c r="AD95" s="270"/>
      <c r="AE95" s="271"/>
      <c r="AF95" s="270">
        <f ca="1">IF(OR($E95="Ecoinvent",$E95="Betonsortenrechner",$E95="KBOB",$V95&lt;=0,Table24[[#This Row],[VALID_TO]]&lt;=TODAY()),0,1)</f>
        <v>0</v>
      </c>
      <c r="AG95" s="270">
        <v>1</v>
      </c>
      <c r="AH95" s="270">
        <f ca="1">IF(AND(Table24[[#This Row],[ValidEPD]]&lt;&gt;0,Table24[[#This Row],[Man_Ausschluss]]&lt;&gt;0),1,0)</f>
        <v>0</v>
      </c>
      <c r="AI95" s="178" cm="1">
        <f t="array" aca="1" ref="AI95" ca="1">IF(Table24[[#This Row],[gültig]]&lt;&gt;0,
IF(V95=MIN(_xlfn._xlws.FILTER($V$2:$V$282,($P$2:$P$282=P95))),1,
IF(V95=MAX(_xlfn._xlws.FILTER($V$2:$V$282,($P$2:$P$282=P95))),1,0)),0)</f>
        <v>0</v>
      </c>
      <c r="AJ95" s="180"/>
      <c r="AK95" s="7"/>
      <c r="AL95" s="7"/>
    </row>
    <row r="96" spans="1:38" s="8" customFormat="1" x14ac:dyDescent="0.45">
      <c r="A96" s="237" t="s">
        <v>191</v>
      </c>
      <c r="B96" s="238"/>
      <c r="C96" s="112">
        <v>96</v>
      </c>
      <c r="D96" s="239" t="s">
        <v>416</v>
      </c>
      <c r="E96" s="240" t="s">
        <v>833</v>
      </c>
      <c r="F96" s="272">
        <v>6.0030000000000001</v>
      </c>
      <c r="G96" s="273"/>
      <c r="H96" s="242"/>
      <c r="I96" s="242" t="s">
        <v>52</v>
      </c>
      <c r="J96" s="253" t="s">
        <v>52</v>
      </c>
      <c r="K96" s="344" t="s">
        <v>782</v>
      </c>
      <c r="L96" s="274" t="s">
        <v>325</v>
      </c>
      <c r="M96" s="239" t="s">
        <v>318</v>
      </c>
      <c r="N96" s="245" t="s">
        <v>319</v>
      </c>
      <c r="O96" s="252" t="s">
        <v>416</v>
      </c>
      <c r="P96" s="275" t="s">
        <v>416</v>
      </c>
      <c r="Q96" s="347">
        <v>7850</v>
      </c>
      <c r="R96" s="276" t="s">
        <v>416</v>
      </c>
      <c r="S96" s="276" t="s">
        <v>416</v>
      </c>
      <c r="T96" s="276" t="s">
        <v>416</v>
      </c>
      <c r="U96" s="277" t="s">
        <v>416</v>
      </c>
      <c r="V96" s="278">
        <v>785</v>
      </c>
      <c r="W96" s="278"/>
      <c r="X96" s="278"/>
      <c r="Y96" s="278">
        <f>Table24[[#This Row],[Total_GWP]]*Table24[[#This Row],[DENSITY]]/1000</f>
        <v>6162.25</v>
      </c>
      <c r="Z96" s="345">
        <v>773</v>
      </c>
      <c r="AA96" s="346">
        <v>12.2</v>
      </c>
      <c r="AB96" s="160"/>
      <c r="AC96" s="160"/>
      <c r="AD96" s="160"/>
      <c r="AE96" s="250"/>
      <c r="AF96" s="92">
        <f ca="1">IF(OR($E96="Ecoinvent",$E96="Betonsortenrechner",$E96="KBOB",$V96&lt;=0,Table24[[#This Row],[VALID_TO]]&lt;=TODAY()),0,1)</f>
        <v>0</v>
      </c>
      <c r="AG96" s="92">
        <v>1</v>
      </c>
      <c r="AH96" s="92">
        <f ca="1">IF(AND(Table24[[#This Row],[ValidEPD]]&lt;&gt;0,Table24[[#This Row],[Man_Ausschluss]]&lt;&gt;0),1,0)</f>
        <v>0</v>
      </c>
      <c r="AI96" s="178" cm="1">
        <f t="array" aca="1" ref="AI96" ca="1">IF(Table24[[#This Row],[gültig]]&lt;&gt;0,
IF(V96=MIN(_xlfn._xlws.FILTER($V$2:$V$282,($P$2:$P$282=P96))),1,
IF(V96=MAX(_xlfn._xlws.FILTER($V$2:$V$282,($P$2:$P$282=P96))),1,0)),0)</f>
        <v>0</v>
      </c>
      <c r="AJ96" s="180"/>
      <c r="AK96" s="9"/>
      <c r="AL96" s="9"/>
    </row>
    <row r="97" spans="1:38" x14ac:dyDescent="0.45">
      <c r="A97" s="199" t="s">
        <v>192</v>
      </c>
      <c r="B97" s="200"/>
      <c r="C97" s="115">
        <v>97</v>
      </c>
      <c r="D97" s="201" t="s">
        <v>46</v>
      </c>
      <c r="E97" s="202" t="s">
        <v>47</v>
      </c>
      <c r="F97" s="202"/>
      <c r="G97" s="279">
        <v>44627</v>
      </c>
      <c r="H97" s="203">
        <v>46404</v>
      </c>
      <c r="I97" s="203" t="s">
        <v>52</v>
      </c>
      <c r="J97" s="280" t="s">
        <v>609</v>
      </c>
      <c r="K97" s="205" t="s">
        <v>48</v>
      </c>
      <c r="L97" s="281" t="s">
        <v>325</v>
      </c>
      <c r="M97" s="201" t="s">
        <v>318</v>
      </c>
      <c r="N97" s="282" t="s">
        <v>319</v>
      </c>
      <c r="O97" s="208" t="s">
        <v>416</v>
      </c>
      <c r="P97" s="283" t="s">
        <v>0</v>
      </c>
      <c r="Q97" s="96">
        <v>7850</v>
      </c>
      <c r="R97" s="202" t="s">
        <v>416</v>
      </c>
      <c r="S97" s="202" t="s">
        <v>416</v>
      </c>
      <c r="T97" s="202" t="s">
        <v>416</v>
      </c>
      <c r="U97" s="209" t="s">
        <v>416</v>
      </c>
      <c r="V97" s="123">
        <f>Table24[[#This Row],[A1toA3_GWP]]+Table24[[#This Row],[C1toC4_GWP]]</f>
        <v>460.23999999999995</v>
      </c>
      <c r="W97" s="123">
        <f>VLOOKUP("FR",[1]Sheet1!$B$11:$F$30,4,FALSE)+Table24[[#This Row],[Total_GWP]]</f>
        <v>530.43999999999994</v>
      </c>
      <c r="X97" s="123">
        <f>VLOOKUP("FR",[1]Sheet1!$B$11:$F$30,5,FALSE)+Table24[[#This Row],[Total_GWP]]</f>
        <v>467.43999999999994</v>
      </c>
      <c r="Y97" s="123">
        <f>Table24[[#This Row],[Total_GWP]]*Table24[[#This Row],[DENSITY]]/1000</f>
        <v>3612.8839999999996</v>
      </c>
      <c r="Z97" s="149">
        <f>119+10.9+238</f>
        <v>367.9</v>
      </c>
      <c r="AA97" s="81">
        <f>51.1+26+2.64+12.6</f>
        <v>92.339999999999989</v>
      </c>
      <c r="AB97" s="83"/>
      <c r="AC97" s="83"/>
      <c r="AD97" s="83"/>
      <c r="AE97" s="85"/>
      <c r="AF97" s="92">
        <f ca="1">IF(OR($E97="Ecoinvent",$E97="Betonsortenrechner",$E97="KBOB",$V97&lt;=0,Table24[[#This Row],[VALID_TO]]&lt;=TODAY()),0,1)</f>
        <v>1</v>
      </c>
      <c r="AG97" s="92">
        <v>1</v>
      </c>
      <c r="AH97" s="92">
        <f ca="1">IF(AND(Table24[[#This Row],[ValidEPD]]&lt;&gt;0,Table24[[#This Row],[Man_Ausschluss]]&lt;&gt;0),1,0)</f>
        <v>1</v>
      </c>
      <c r="AI97" s="178" cm="1">
        <f t="array" aca="1" ref="AI97" ca="1">IF(Table24[[#This Row],[gültig]]&lt;&gt;0,
IF(V97=MIN(_xlfn._xlws.FILTER($V$2:$V$282,($P$2:$P$282=P97))),1,
IF(V97=MAX(_xlfn._xlws.FILTER($V$2:$V$282,($P$2:$P$282=P97))),1,0)),0)</f>
        <v>0</v>
      </c>
      <c r="AJ97" s="180"/>
      <c r="AK97" s="2"/>
      <c r="AL97" s="2"/>
    </row>
    <row r="98" spans="1:38" x14ac:dyDescent="0.45">
      <c r="A98" s="199" t="s">
        <v>205</v>
      </c>
      <c r="B98" s="200"/>
      <c r="C98" s="115">
        <v>98</v>
      </c>
      <c r="D98" s="201" t="s">
        <v>49</v>
      </c>
      <c r="E98" s="202" t="s">
        <v>50</v>
      </c>
      <c r="F98" s="202"/>
      <c r="G98" s="279">
        <v>44622</v>
      </c>
      <c r="H98" s="203">
        <v>46447</v>
      </c>
      <c r="I98" s="203" t="s">
        <v>266</v>
      </c>
      <c r="J98" s="280" t="s">
        <v>266</v>
      </c>
      <c r="K98" s="205" t="s">
        <v>51</v>
      </c>
      <c r="L98" s="281" t="s">
        <v>325</v>
      </c>
      <c r="M98" s="201" t="s">
        <v>318</v>
      </c>
      <c r="N98" s="282" t="s">
        <v>319</v>
      </c>
      <c r="O98" s="208" t="s">
        <v>416</v>
      </c>
      <c r="P98" s="283" t="s">
        <v>0</v>
      </c>
      <c r="Q98" s="96">
        <v>7850</v>
      </c>
      <c r="R98" s="202" t="s">
        <v>416</v>
      </c>
      <c r="S98" s="202" t="s">
        <v>416</v>
      </c>
      <c r="T98" s="202" t="s">
        <v>416</v>
      </c>
      <c r="U98" s="209" t="s">
        <v>416</v>
      </c>
      <c r="V98" s="123">
        <f>Table24[[#This Row],[A1toA3_GWP]]+Table24[[#This Row],[C1toC4_GWP]]</f>
        <v>562.53</v>
      </c>
      <c r="W98" s="123">
        <f>VLOOKUP(Table24[[#This Row],[Country PRODUCTION]],[1]Sheet1!$B$11:$F$30,4,FALSE)+Table24[[#This Row],[Total_GWP]]</f>
        <v>638.57999999999993</v>
      </c>
      <c r="X98" s="123">
        <f>VLOOKUP(Table24[[#This Row],[Country PRODUCTION]],[1]Sheet1!$B$11:$F$30,5,FALSE)+Table24[[#This Row],[Total_GWP]]</f>
        <v>570.32999999999993</v>
      </c>
      <c r="Y98" s="123">
        <f>Table24[[#This Row],[Total_GWP]]*Table24[[#This Row],[DENSITY]]/1000</f>
        <v>4415.8604999999998</v>
      </c>
      <c r="Z98" s="149">
        <v>474</v>
      </c>
      <c r="AA98" s="81">
        <f>2.23+12.7+73.6</f>
        <v>88.53</v>
      </c>
      <c r="AB98" s="83"/>
      <c r="AC98" s="83"/>
      <c r="AD98" s="83"/>
      <c r="AE98" s="85"/>
      <c r="AF98" s="92">
        <f ca="1">IF(OR($E98="Ecoinvent",$E98="Betonsortenrechner",$E98="KBOB",$V98&lt;=0,Table24[[#This Row],[VALID_TO]]&lt;=TODAY()),0,1)</f>
        <v>1</v>
      </c>
      <c r="AG98" s="92">
        <v>1</v>
      </c>
      <c r="AH98" s="92">
        <f ca="1">IF(AND(Table24[[#This Row],[ValidEPD]]&lt;&gt;0,Table24[[#This Row],[Man_Ausschluss]]&lt;&gt;0),1,0)</f>
        <v>1</v>
      </c>
      <c r="AI98" s="178" cm="1">
        <f t="array" aca="1" ref="AI98" ca="1">IF(Table24[[#This Row],[gültig]]&lt;&gt;0,
IF(V98=MIN(_xlfn._xlws.FILTER($V$2:$V$282,($P$2:$P$282=P98))),1,
IF(V98=MAX(_xlfn._xlws.FILTER($V$2:$V$282,($P$2:$P$282=P98))),1,0)),0)</f>
        <v>0</v>
      </c>
      <c r="AJ98" s="180"/>
      <c r="AK98" s="2"/>
      <c r="AL98" s="2"/>
    </row>
    <row r="99" spans="1:38" x14ac:dyDescent="0.45">
      <c r="A99" s="199" t="s">
        <v>201</v>
      </c>
      <c r="B99" s="200"/>
      <c r="C99" s="115">
        <v>99</v>
      </c>
      <c r="D99" s="201" t="s">
        <v>72</v>
      </c>
      <c r="E99" s="202" t="s">
        <v>53</v>
      </c>
      <c r="F99" s="202"/>
      <c r="G99" s="279">
        <v>40624</v>
      </c>
      <c r="H99" s="203">
        <v>46044</v>
      </c>
      <c r="I99" s="96" t="s">
        <v>294</v>
      </c>
      <c r="J99" s="204" t="s">
        <v>294</v>
      </c>
      <c r="K99" s="205" t="s">
        <v>51</v>
      </c>
      <c r="L99" s="281" t="s">
        <v>325</v>
      </c>
      <c r="M99" s="201" t="s">
        <v>318</v>
      </c>
      <c r="N99" s="282" t="s">
        <v>319</v>
      </c>
      <c r="O99" s="208" t="s">
        <v>416</v>
      </c>
      <c r="P99" s="283" t="s">
        <v>0</v>
      </c>
      <c r="Q99" s="96">
        <v>7850</v>
      </c>
      <c r="R99" s="202" t="s">
        <v>416</v>
      </c>
      <c r="S99" s="202" t="s">
        <v>416</v>
      </c>
      <c r="T99" s="202" t="s">
        <v>416</v>
      </c>
      <c r="U99" s="209" t="s">
        <v>416</v>
      </c>
      <c r="V99" s="123">
        <f>Table24[[#This Row],[A1toA3_GWP]]+Table24[[#This Row],[C1toC4_GWP]]</f>
        <v>724.73</v>
      </c>
      <c r="W99" s="123">
        <f>VLOOKUP(Table24[[#This Row],[Country PRODUCTION]],[1]Sheet1!$B$11:$F$30,4,FALSE)+Table24[[#This Row],[Total_GWP]]</f>
        <v>818.33</v>
      </c>
      <c r="X99" s="123">
        <f>VLOOKUP(Table24[[#This Row],[Country PRODUCTION]],[1]Sheet1!$B$11:$F$30,5,FALSE)+Table24[[#This Row],[Total_GWP]]</f>
        <v>734.33</v>
      </c>
      <c r="Y99" s="123">
        <f>Table24[[#This Row],[Total_GWP]]*Table24[[#This Row],[DENSITY]]/1000</f>
        <v>5689.1305000000002</v>
      </c>
      <c r="Z99" s="149">
        <f>348+119+120</f>
        <v>587</v>
      </c>
      <c r="AA99" s="81">
        <f>38.2+24.4+1.93+73.2</f>
        <v>137.73000000000002</v>
      </c>
      <c r="AB99" s="83"/>
      <c r="AC99" s="83"/>
      <c r="AD99" s="83"/>
      <c r="AE99" s="85"/>
      <c r="AF99" s="92">
        <f ca="1">IF(OR($E99="Ecoinvent",$E99="Betonsortenrechner",$E99="KBOB",$V99&lt;=0,Table24[[#This Row],[VALID_TO]]&lt;=TODAY()),0,1)</f>
        <v>0</v>
      </c>
      <c r="AG99" s="92">
        <v>1</v>
      </c>
      <c r="AH99" s="92">
        <f ca="1">IF(AND(Table24[[#This Row],[ValidEPD]]&lt;&gt;0,Table24[[#This Row],[Man_Ausschluss]]&lt;&gt;0),1,0)</f>
        <v>0</v>
      </c>
      <c r="AI99" s="178" cm="1">
        <f t="array" aca="1" ref="AI99" ca="1">IF(Table24[[#This Row],[gültig]]&lt;&gt;0,
IF(V99=MIN(_xlfn._xlws.FILTER($V$2:$V$282,($P$2:$P$282=P99))),1,
IF(V99=MAX(_xlfn._xlws.FILTER($V$2:$V$282,($P$2:$P$282=P99))),1,0)),0)</f>
        <v>0</v>
      </c>
      <c r="AJ99" s="180"/>
      <c r="AK99" s="2"/>
      <c r="AL99" s="2"/>
    </row>
    <row r="100" spans="1:38" x14ac:dyDescent="0.45">
      <c r="A100" s="199" t="s">
        <v>212</v>
      </c>
      <c r="B100" s="200"/>
      <c r="C100" s="115">
        <v>100</v>
      </c>
      <c r="D100" s="201" t="s">
        <v>54</v>
      </c>
      <c r="E100" s="202" t="s">
        <v>55</v>
      </c>
      <c r="F100" s="202"/>
      <c r="G100" s="279">
        <v>43810</v>
      </c>
      <c r="H100" s="203">
        <v>46012</v>
      </c>
      <c r="I100" s="96" t="s">
        <v>294</v>
      </c>
      <c r="J100" s="204" t="s">
        <v>294</v>
      </c>
      <c r="K100" s="205" t="s">
        <v>51</v>
      </c>
      <c r="L100" s="281" t="s">
        <v>325</v>
      </c>
      <c r="M100" s="201" t="s">
        <v>318</v>
      </c>
      <c r="N100" s="282" t="s">
        <v>319</v>
      </c>
      <c r="O100" s="208" t="s">
        <v>416</v>
      </c>
      <c r="P100" s="283" t="s">
        <v>0</v>
      </c>
      <c r="Q100" s="96">
        <v>7850</v>
      </c>
      <c r="R100" s="202" t="s">
        <v>416</v>
      </c>
      <c r="S100" s="202" t="s">
        <v>416</v>
      </c>
      <c r="T100" s="202" t="s">
        <v>416</v>
      </c>
      <c r="U100" s="209" t="s">
        <v>416</v>
      </c>
      <c r="V100" s="123">
        <f>Table24[[#This Row],[A1toA3_GWP]]+Table24[[#This Row],[C1toC4_GWP]]</f>
        <v>715.3</v>
      </c>
      <c r="W100" s="123">
        <f>VLOOKUP(Table24[[#This Row],[Country PRODUCTION]],[1]Sheet1!$B$11:$F$30,4,FALSE)+Table24[[#This Row],[Total_GWP]]</f>
        <v>808.9</v>
      </c>
      <c r="X100" s="123">
        <f>VLOOKUP(Table24[[#This Row],[Country PRODUCTION]],[1]Sheet1!$B$11:$F$30,5,FALSE)+Table24[[#This Row],[Total_GWP]]</f>
        <v>724.9</v>
      </c>
      <c r="Y100" s="123">
        <f>Table24[[#This Row],[Total_GWP]]*Table24[[#This Row],[DENSITY]]/1000</f>
        <v>5615.1049999999996</v>
      </c>
      <c r="Z100" s="149">
        <f>532.5+40+117</f>
        <v>689.5</v>
      </c>
      <c r="AA100" s="81">
        <f>6.4+16.7+1.7+1</f>
        <v>25.8</v>
      </c>
      <c r="AB100" s="83"/>
      <c r="AC100" s="83"/>
      <c r="AD100" s="83"/>
      <c r="AE100" s="85"/>
      <c r="AF100" s="92">
        <f ca="1">IF(OR($E100="Ecoinvent",$E100="Betonsortenrechner",$E100="KBOB",$V100&lt;=0,Table24[[#This Row],[VALID_TO]]&lt;=TODAY()),0,1)</f>
        <v>0</v>
      </c>
      <c r="AG100" s="92">
        <v>1</v>
      </c>
      <c r="AH100" s="92">
        <f ca="1">IF(AND(Table24[[#This Row],[ValidEPD]]&lt;&gt;0,Table24[[#This Row],[Man_Ausschluss]]&lt;&gt;0),1,0)</f>
        <v>0</v>
      </c>
      <c r="AI100" s="178" cm="1">
        <f t="array" aca="1" ref="AI100" ca="1">IF(Table24[[#This Row],[gültig]]&lt;&gt;0,
IF(V100=MIN(_xlfn._xlws.FILTER($V$2:$V$282,($P$2:$P$282=P100))),1,
IF(V100=MAX(_xlfn._xlws.FILTER($V$2:$V$282,($P$2:$P$282=P100))),1,0)),0)</f>
        <v>0</v>
      </c>
      <c r="AJ100" s="180"/>
      <c r="AK100" s="2" t="s">
        <v>516</v>
      </c>
      <c r="AL100" s="2"/>
    </row>
    <row r="101" spans="1:38" x14ac:dyDescent="0.45">
      <c r="A101" s="199" t="s">
        <v>202</v>
      </c>
      <c r="B101" s="200"/>
      <c r="C101" s="115">
        <v>101</v>
      </c>
      <c r="D101" s="201" t="s">
        <v>57</v>
      </c>
      <c r="E101" s="202" t="s">
        <v>56</v>
      </c>
      <c r="F101" s="202"/>
      <c r="G101" s="279">
        <v>45278</v>
      </c>
      <c r="H101" s="203">
        <v>47105</v>
      </c>
      <c r="I101" s="96" t="s">
        <v>293</v>
      </c>
      <c r="J101" s="204" t="s">
        <v>609</v>
      </c>
      <c r="K101" s="205" t="s">
        <v>51</v>
      </c>
      <c r="L101" s="281" t="s">
        <v>325</v>
      </c>
      <c r="M101" s="201" t="s">
        <v>318</v>
      </c>
      <c r="N101" s="282" t="s">
        <v>319</v>
      </c>
      <c r="O101" s="208" t="s">
        <v>416</v>
      </c>
      <c r="P101" s="283" t="s">
        <v>0</v>
      </c>
      <c r="Q101" s="96">
        <v>7850</v>
      </c>
      <c r="R101" s="202" t="s">
        <v>416</v>
      </c>
      <c r="S101" s="202" t="s">
        <v>416</v>
      </c>
      <c r="T101" s="202" t="s">
        <v>416</v>
      </c>
      <c r="U101" s="209" t="s">
        <v>416</v>
      </c>
      <c r="V101" s="123">
        <f>Table24[[#This Row],[A1toA3_GWP]]+Table24[[#This Row],[C1toC4_GWP]]</f>
        <v>618.16999999999996</v>
      </c>
      <c r="W101" s="123">
        <f>VLOOKUP("FR",[1]Sheet1!$B$11:$F$30,4,FALSE)+Table24[[#This Row],[Total_GWP]]</f>
        <v>688.37</v>
      </c>
      <c r="X101" s="123">
        <f>VLOOKUP("FR",[1]Sheet1!$B$11:$F$30,5,FALSE)+Table24[[#This Row],[Total_GWP]]</f>
        <v>625.37</v>
      </c>
      <c r="Y101" s="123">
        <f>Table24[[#This Row],[Total_GWP]]*Table24[[#This Row],[DENSITY]]/1000</f>
        <v>4852.6345000000001</v>
      </c>
      <c r="Z101" s="149">
        <v>506</v>
      </c>
      <c r="AA101" s="81">
        <f>6.37+16.5+1.6+87.7</f>
        <v>112.17</v>
      </c>
      <c r="AB101" s="83"/>
      <c r="AC101" s="83"/>
      <c r="AD101" s="83"/>
      <c r="AE101" s="85"/>
      <c r="AF101" s="92">
        <f ca="1">IF(OR($E101="Ecoinvent",$E101="Betonsortenrechner",$E101="KBOB",$V101&lt;=0,Table24[[#This Row],[VALID_TO]]&lt;=TODAY()),0,1)</f>
        <v>1</v>
      </c>
      <c r="AG101" s="92">
        <v>1</v>
      </c>
      <c r="AH101" s="92">
        <f ca="1">IF(AND(Table24[[#This Row],[ValidEPD]]&lt;&gt;0,Table24[[#This Row],[Man_Ausschluss]]&lt;&gt;0),1,0)</f>
        <v>1</v>
      </c>
      <c r="AI101" s="178" cm="1">
        <f t="array" aca="1" ref="AI101" ca="1">IF(Table24[[#This Row],[gültig]]&lt;&gt;0,
IF(V101=MIN(_xlfn._xlws.FILTER($V$2:$V$282,($P$2:$P$282=P101))),1,
IF(V101=MAX(_xlfn._xlws.FILTER($V$2:$V$282,($P$2:$P$282=P101))),1,0)),0)</f>
        <v>0</v>
      </c>
      <c r="AJ101" s="180"/>
      <c r="AK101" s="2" t="s">
        <v>516</v>
      </c>
      <c r="AL101" s="2"/>
    </row>
    <row r="102" spans="1:38" x14ac:dyDescent="0.45">
      <c r="A102" s="199" t="s">
        <v>203</v>
      </c>
      <c r="B102" s="200"/>
      <c r="C102" s="115">
        <v>102</v>
      </c>
      <c r="D102" s="201" t="s">
        <v>58</v>
      </c>
      <c r="E102" s="202" t="s">
        <v>59</v>
      </c>
      <c r="F102" s="202"/>
      <c r="G102" s="279">
        <v>42825</v>
      </c>
      <c r="H102" s="203">
        <v>46000</v>
      </c>
      <c r="I102" s="96" t="s">
        <v>294</v>
      </c>
      <c r="J102" s="204" t="s">
        <v>294</v>
      </c>
      <c r="K102" s="205" t="s">
        <v>51</v>
      </c>
      <c r="L102" s="281" t="s">
        <v>325</v>
      </c>
      <c r="M102" s="201" t="s">
        <v>318</v>
      </c>
      <c r="N102" s="282" t="s">
        <v>319</v>
      </c>
      <c r="O102" s="208" t="s">
        <v>416</v>
      </c>
      <c r="P102" s="283" t="s">
        <v>0</v>
      </c>
      <c r="Q102" s="96">
        <v>7850</v>
      </c>
      <c r="R102" s="202" t="s">
        <v>416</v>
      </c>
      <c r="S102" s="202" t="s">
        <v>416</v>
      </c>
      <c r="T102" s="202" t="s">
        <v>416</v>
      </c>
      <c r="U102" s="209" t="s">
        <v>416</v>
      </c>
      <c r="V102" s="123">
        <f>Table24[[#This Row],[A1toA3_GWP]]+Table24[[#This Row],[C1toC4_GWP]]</f>
        <v>922.71</v>
      </c>
      <c r="W102" s="123">
        <f>VLOOKUP(Table24[[#This Row],[Country PRODUCTION]],[1]Sheet1!$B$11:$F$30,4,FALSE)+Table24[[#This Row],[Total_GWP]]</f>
        <v>1016.3100000000001</v>
      </c>
      <c r="X102" s="123">
        <f>VLOOKUP(Table24[[#This Row],[Country PRODUCTION]],[1]Sheet1!$B$11:$F$30,5,FALSE)+Table24[[#This Row],[Total_GWP]]</f>
        <v>932.31000000000006</v>
      </c>
      <c r="Y102" s="123">
        <f>Table24[[#This Row],[Total_GWP]]*Table24[[#This Row],[DENSITY]]/1000</f>
        <v>7243.2735000000002</v>
      </c>
      <c r="Z102" s="149">
        <f>592+40.1+153</f>
        <v>785.1</v>
      </c>
      <c r="AA102" s="81">
        <f>38.1+24.4+2.01+73.1</f>
        <v>137.61000000000001</v>
      </c>
      <c r="AB102" s="83"/>
      <c r="AC102" s="83"/>
      <c r="AD102" s="83"/>
      <c r="AE102" s="85"/>
      <c r="AF102" s="92">
        <f ca="1">IF(OR($E102="Ecoinvent",$E102="Betonsortenrechner",$E102="KBOB",$V102&lt;=0,Table24[[#This Row],[VALID_TO]]&lt;=TODAY()),0,1)</f>
        <v>0</v>
      </c>
      <c r="AG102" s="92">
        <v>1</v>
      </c>
      <c r="AH102" s="92">
        <f ca="1">IF(AND(Table24[[#This Row],[ValidEPD]]&lt;&gt;0,Table24[[#This Row],[Man_Ausschluss]]&lt;&gt;0),1,0)</f>
        <v>0</v>
      </c>
      <c r="AI102" s="178" cm="1">
        <f t="array" aca="1" ref="AI102" ca="1">IF(Table24[[#This Row],[gültig]]&lt;&gt;0,
IF(V102=MIN(_xlfn._xlws.FILTER($V$2:$V$282,($P$2:$P$282=P102))),1,
IF(V102=MAX(_xlfn._xlws.FILTER($V$2:$V$282,($P$2:$P$282=P102))),1,0)),0)</f>
        <v>0</v>
      </c>
      <c r="AJ102" s="180"/>
      <c r="AK102" s="2"/>
      <c r="AL102" s="2"/>
    </row>
    <row r="103" spans="1:38" x14ac:dyDescent="0.45">
      <c r="A103" s="199" t="s">
        <v>204</v>
      </c>
      <c r="B103" s="200"/>
      <c r="C103" s="115">
        <v>103</v>
      </c>
      <c r="D103" s="201" t="s">
        <v>60</v>
      </c>
      <c r="E103" s="202" t="s">
        <v>61</v>
      </c>
      <c r="F103" s="202"/>
      <c r="G103" s="279">
        <v>44770</v>
      </c>
      <c r="H103" s="203">
        <v>46596</v>
      </c>
      <c r="I103" s="96" t="s">
        <v>266</v>
      </c>
      <c r="J103" s="204" t="s">
        <v>266</v>
      </c>
      <c r="K103" s="205" t="s">
        <v>51</v>
      </c>
      <c r="L103" s="281" t="s">
        <v>325</v>
      </c>
      <c r="M103" s="201" t="s">
        <v>318</v>
      </c>
      <c r="N103" s="282" t="s">
        <v>319</v>
      </c>
      <c r="O103" s="208" t="s">
        <v>416</v>
      </c>
      <c r="P103" s="283" t="s">
        <v>0</v>
      </c>
      <c r="Q103" s="96">
        <v>7850</v>
      </c>
      <c r="R103" s="202" t="s">
        <v>416</v>
      </c>
      <c r="S103" s="202" t="s">
        <v>416</v>
      </c>
      <c r="T103" s="202" t="s">
        <v>416</v>
      </c>
      <c r="U103" s="209" t="s">
        <v>416</v>
      </c>
      <c r="V103" s="123">
        <f>Table24[[#This Row],[A1toA3_GWP]]+Table24[[#This Row],[C1toC4_GWP]]</f>
        <v>632.27200000000005</v>
      </c>
      <c r="W103" s="123">
        <f>VLOOKUP(Table24[[#This Row],[Country PRODUCTION]],[1]Sheet1!$B$11:$F$30,4,FALSE)+Table24[[#This Row],[Total_GWP]]</f>
        <v>708.32200000000012</v>
      </c>
      <c r="X103" s="123">
        <f>VLOOKUP(Table24[[#This Row],[Country PRODUCTION]],[1]Sheet1!$B$11:$F$30,5,FALSE)+Table24[[#This Row],[Total_GWP]]</f>
        <v>640.072</v>
      </c>
      <c r="Y103" s="123">
        <f>Table24[[#This Row],[Total_GWP]]*Table24[[#This Row],[DENSITY]]/1000</f>
        <v>4963.3352000000004</v>
      </c>
      <c r="Z103" s="149">
        <f>81.9+22.3+521</f>
        <v>625.20000000000005</v>
      </c>
      <c r="AA103" s="81">
        <f>6.57+0.197+0.305</f>
        <v>7.0720000000000001</v>
      </c>
      <c r="AB103" s="83"/>
      <c r="AC103" s="83"/>
      <c r="AD103" s="83"/>
      <c r="AE103" s="85"/>
      <c r="AF103" s="92">
        <f ca="1">IF(OR($E103="Ecoinvent",$E103="Betonsortenrechner",$E103="KBOB",$V103&lt;=0,Table24[[#This Row],[VALID_TO]]&lt;=TODAY()),0,1)</f>
        <v>1</v>
      </c>
      <c r="AG103" s="92">
        <v>1</v>
      </c>
      <c r="AH103" s="92">
        <f ca="1">IF(AND(Table24[[#This Row],[ValidEPD]]&lt;&gt;0,Table24[[#This Row],[Man_Ausschluss]]&lt;&gt;0),1,0)</f>
        <v>1</v>
      </c>
      <c r="AI103" s="178" cm="1">
        <f t="array" aca="1" ref="AI103" ca="1">IF(Table24[[#This Row],[gültig]]&lt;&gt;0,
IF(V103=MIN(_xlfn._xlws.FILTER($V$2:$V$282,($P$2:$P$282=P103))),1,
IF(V103=MAX(_xlfn._xlws.FILTER($V$2:$V$282,($P$2:$P$282=P103))),1,0)),0)</f>
        <v>0</v>
      </c>
      <c r="AJ103" s="180"/>
      <c r="AK103" s="2"/>
      <c r="AL103" s="2"/>
    </row>
    <row r="104" spans="1:38" x14ac:dyDescent="0.45">
      <c r="A104" s="199" t="s">
        <v>206</v>
      </c>
      <c r="B104" s="200"/>
      <c r="C104" s="115">
        <v>104</v>
      </c>
      <c r="D104" s="201" t="s">
        <v>62</v>
      </c>
      <c r="E104" s="202" t="s">
        <v>63</v>
      </c>
      <c r="F104" s="202"/>
      <c r="G104" s="279">
        <v>41025</v>
      </c>
      <c r="H104" s="203">
        <v>45556</v>
      </c>
      <c r="I104" s="96" t="s">
        <v>240</v>
      </c>
      <c r="J104" s="204" t="s">
        <v>295</v>
      </c>
      <c r="K104" s="205" t="s">
        <v>51</v>
      </c>
      <c r="L104" s="281" t="s">
        <v>325</v>
      </c>
      <c r="M104" s="201" t="s">
        <v>318</v>
      </c>
      <c r="N104" s="282" t="s">
        <v>319</v>
      </c>
      <c r="O104" s="208" t="s">
        <v>416</v>
      </c>
      <c r="P104" s="283" t="s">
        <v>0</v>
      </c>
      <c r="Q104" s="96">
        <v>7850</v>
      </c>
      <c r="R104" s="202" t="s">
        <v>416</v>
      </c>
      <c r="S104" s="202" t="s">
        <v>416</v>
      </c>
      <c r="T104" s="202" t="s">
        <v>416</v>
      </c>
      <c r="U104" s="209" t="s">
        <v>416</v>
      </c>
      <c r="V104" s="123">
        <f>Table24[[#This Row],[A1toA3_GWP]]+Table24[[#This Row],[C1toC4_GWP]]</f>
        <v>367.12099999999998</v>
      </c>
      <c r="W104" s="123">
        <f>VLOOKUP(Table24[[#This Row],[Country PRODUCTION]],[1]Sheet1!$B$11:$F$30,4,FALSE)+Table24[[#This Row],[Total_GWP]]</f>
        <v>601.12099999999998</v>
      </c>
      <c r="X104" s="123">
        <f>VLOOKUP(Table24[[#This Row],[Country PRODUCTION]],[1]Sheet1!$B$11:$F$30,5,FALSE)+Table24[[#This Row],[Total_GWP]]</f>
        <v>391.12099999999998</v>
      </c>
      <c r="Y104" s="123">
        <f>Table24[[#This Row],[Total_GWP]]*Table24[[#This Row],[DENSITY]]/1000</f>
        <v>2881.8998499999998</v>
      </c>
      <c r="Z104" s="149">
        <v>358</v>
      </c>
      <c r="AA104" s="81">
        <f>0.351+8.77</f>
        <v>9.1209999999999987</v>
      </c>
      <c r="AB104" s="83"/>
      <c r="AC104" s="83"/>
      <c r="AD104" s="83"/>
      <c r="AE104" s="85"/>
      <c r="AF104" s="92">
        <f ca="1">IF(OR($E104="Ecoinvent",$E104="Betonsortenrechner",$E104="KBOB",$V104&lt;=0,Table24[[#This Row],[VALID_TO]]&lt;=TODAY()),0,1)</f>
        <v>0</v>
      </c>
      <c r="AG104" s="92">
        <v>1</v>
      </c>
      <c r="AH104" s="92">
        <f ca="1">IF(AND(Table24[[#This Row],[ValidEPD]]&lt;&gt;0,Table24[[#This Row],[Man_Ausschluss]]&lt;&gt;0),1,0)</f>
        <v>0</v>
      </c>
      <c r="AI104" s="178" cm="1">
        <f t="array" aca="1" ref="AI104" ca="1">IF(Table24[[#This Row],[gültig]]&lt;&gt;0,
IF(V104=MIN(_xlfn._xlws.FILTER($V$2:$V$282,($P$2:$P$282=P104))),1,
IF(V104=MAX(_xlfn._xlws.FILTER($V$2:$V$282,($P$2:$P$282=P104))),1,0)),0)</f>
        <v>0</v>
      </c>
      <c r="AJ104" s="180"/>
      <c r="AK104" s="2"/>
      <c r="AL104" s="2"/>
    </row>
    <row r="105" spans="1:38" x14ac:dyDescent="0.45">
      <c r="A105" s="199" t="s">
        <v>207</v>
      </c>
      <c r="B105" s="200"/>
      <c r="C105" s="115">
        <v>105</v>
      </c>
      <c r="D105" s="201" t="s">
        <v>64</v>
      </c>
      <c r="E105" s="202" t="s">
        <v>65</v>
      </c>
      <c r="F105" s="202"/>
      <c r="G105" s="279">
        <v>44896</v>
      </c>
      <c r="H105" s="203">
        <v>46714</v>
      </c>
      <c r="I105" s="96" t="s">
        <v>66</v>
      </c>
      <c r="J105" s="204" t="s">
        <v>66</v>
      </c>
      <c r="K105" s="205" t="s">
        <v>51</v>
      </c>
      <c r="L105" s="281" t="s">
        <v>325</v>
      </c>
      <c r="M105" s="201" t="s">
        <v>318</v>
      </c>
      <c r="N105" s="282" t="s">
        <v>319</v>
      </c>
      <c r="O105" s="208" t="s">
        <v>416</v>
      </c>
      <c r="P105" s="283" t="s">
        <v>0</v>
      </c>
      <c r="Q105" s="96">
        <v>7850</v>
      </c>
      <c r="R105" s="202" t="s">
        <v>416</v>
      </c>
      <c r="S105" s="202" t="s">
        <v>416</v>
      </c>
      <c r="T105" s="202" t="s">
        <v>416</v>
      </c>
      <c r="U105" s="209" t="s">
        <v>416</v>
      </c>
      <c r="V105" s="123">
        <f>Table24[[#This Row],[A1toA3_GWP]]+Table24[[#This Row],[C1toC4_GWP]]</f>
        <v>461.08</v>
      </c>
      <c r="W105" s="123">
        <f>VLOOKUP(Table24[[#This Row],[Country PRODUCTION]],[1]Sheet1!$B$11:$F$30,4,FALSE)+Table24[[#This Row],[Total_GWP]]</f>
        <v>578.07999999999993</v>
      </c>
      <c r="X105" s="123">
        <f>VLOOKUP(Table24[[#This Row],[Country PRODUCTION]],[1]Sheet1!$B$11:$F$30,5,FALSE)+Table24[[#This Row],[Total_GWP]]</f>
        <v>473.08</v>
      </c>
      <c r="Y105" s="123">
        <f>Table24[[#This Row],[Total_GWP]]*Table24[[#This Row],[DENSITY]]/1000</f>
        <v>3619.4780000000001</v>
      </c>
      <c r="Z105" s="284">
        <v>330</v>
      </c>
      <c r="AA105" s="81">
        <f>57.3+19.6+1.38+52.8</f>
        <v>131.07999999999998</v>
      </c>
      <c r="AB105" s="83"/>
      <c r="AC105" s="83"/>
      <c r="AD105" s="83"/>
      <c r="AE105" s="85"/>
      <c r="AF105" s="92">
        <f ca="1">IF(OR($E105="Ecoinvent",$E105="Betonsortenrechner",$E105="KBOB",$V105&lt;=0,Table24[[#This Row],[VALID_TO]]&lt;=TODAY()),0,1)</f>
        <v>1</v>
      </c>
      <c r="AG105" s="92">
        <v>1</v>
      </c>
      <c r="AH105" s="92">
        <f ca="1">IF(AND(Table24[[#This Row],[ValidEPD]]&lt;&gt;0,Table24[[#This Row],[Man_Ausschluss]]&lt;&gt;0),1,0)</f>
        <v>1</v>
      </c>
      <c r="AI105" s="178" cm="1">
        <f t="array" aca="1" ref="AI105" ca="1">IF(Table24[[#This Row],[gültig]]&lt;&gt;0,
IF(V105=MIN(_xlfn._xlws.FILTER($V$2:$V$282,($P$2:$P$282=P105))),1,
IF(V105=MAX(_xlfn._xlws.FILTER($V$2:$V$282,($P$2:$P$282=P105))),1,0)),0)</f>
        <v>0</v>
      </c>
      <c r="AJ105" s="180"/>
      <c r="AK105" s="2"/>
      <c r="AL105" s="2"/>
    </row>
    <row r="106" spans="1:38" x14ac:dyDescent="0.45">
      <c r="A106" s="199" t="s">
        <v>208</v>
      </c>
      <c r="B106" s="200"/>
      <c r="C106" s="115">
        <v>106</v>
      </c>
      <c r="D106" s="201" t="s">
        <v>68</v>
      </c>
      <c r="E106" s="202" t="s">
        <v>67</v>
      </c>
      <c r="F106" s="202"/>
      <c r="G106" s="279">
        <v>45016</v>
      </c>
      <c r="H106" s="203">
        <v>46840</v>
      </c>
      <c r="I106" s="96" t="s">
        <v>171</v>
      </c>
      <c r="J106" s="204" t="s">
        <v>171</v>
      </c>
      <c r="K106" s="205" t="s">
        <v>51</v>
      </c>
      <c r="L106" s="281" t="s">
        <v>325</v>
      </c>
      <c r="M106" s="201" t="s">
        <v>318</v>
      </c>
      <c r="N106" s="282" t="s">
        <v>319</v>
      </c>
      <c r="O106" s="208" t="s">
        <v>416</v>
      </c>
      <c r="P106" s="283" t="s">
        <v>0</v>
      </c>
      <c r="Q106" s="96">
        <v>7850</v>
      </c>
      <c r="R106" s="202" t="s">
        <v>416</v>
      </c>
      <c r="S106" s="202" t="s">
        <v>416</v>
      </c>
      <c r="T106" s="202" t="s">
        <v>416</v>
      </c>
      <c r="U106" s="209" t="s">
        <v>416</v>
      </c>
      <c r="V106" s="123">
        <f>Table24[[#This Row],[A1toA3_GWP]]+Table24[[#This Row],[C1toC4_GWP]]</f>
        <v>544.25</v>
      </c>
      <c r="W106" s="123">
        <f>VLOOKUP(Table24[[#This Row],[Country PRODUCTION]],[1]Sheet1!$B$11:$F$30,4,FALSE)+Table24[[#This Row],[Total_GWP]]</f>
        <v>696.35</v>
      </c>
      <c r="X106" s="123">
        <f>VLOOKUP(Table24[[#This Row],[Country PRODUCTION]],[1]Sheet1!$B$11:$F$30,5,FALSE)+Table24[[#This Row],[Total_GWP]]</f>
        <v>559.85</v>
      </c>
      <c r="Y106" s="123">
        <f>Table24[[#This Row],[Total_GWP]]*Table24[[#This Row],[DENSITY]]/1000</f>
        <v>4272.3625000000002</v>
      </c>
      <c r="Z106" s="149">
        <v>413</v>
      </c>
      <c r="AA106" s="81">
        <f>57.3+19.6+1.55+52.8</f>
        <v>131.25</v>
      </c>
      <c r="AB106" s="83"/>
      <c r="AC106" s="83"/>
      <c r="AD106" s="83"/>
      <c r="AE106" s="85"/>
      <c r="AF106" s="92">
        <f ca="1">IF(OR($E106="Ecoinvent",$E106="Betonsortenrechner",$E106="KBOB",$V106&lt;=0,Table24[[#This Row],[VALID_TO]]&lt;=TODAY()),0,1)</f>
        <v>1</v>
      </c>
      <c r="AG106" s="92">
        <v>1</v>
      </c>
      <c r="AH106" s="92">
        <f ca="1">IF(AND(Table24[[#This Row],[ValidEPD]]&lt;&gt;0,Table24[[#This Row],[Man_Ausschluss]]&lt;&gt;0),1,0)</f>
        <v>1</v>
      </c>
      <c r="AI106" s="178" cm="1">
        <f t="array" aca="1" ref="AI106" ca="1">IF(Table24[[#This Row],[gültig]]&lt;&gt;0,
IF(V106=MIN(_xlfn._xlws.FILTER($V$2:$V$282,($P$2:$P$282=P106))),1,
IF(V106=MAX(_xlfn._xlws.FILTER($V$2:$V$282,($P$2:$P$282=P106))),1,0)),0)</f>
        <v>0</v>
      </c>
      <c r="AJ106" s="180"/>
      <c r="AK106" s="2"/>
      <c r="AL106" s="2"/>
    </row>
    <row r="107" spans="1:38" x14ac:dyDescent="0.45">
      <c r="A107" s="199" t="s">
        <v>209</v>
      </c>
      <c r="B107" s="200"/>
      <c r="C107" s="115">
        <v>107</v>
      </c>
      <c r="D107" s="201" t="s">
        <v>69</v>
      </c>
      <c r="E107" s="202" t="s">
        <v>70</v>
      </c>
      <c r="F107" s="202"/>
      <c r="G107" s="279">
        <v>45097</v>
      </c>
      <c r="H107" s="203">
        <v>46924</v>
      </c>
      <c r="I107" s="96" t="s">
        <v>266</v>
      </c>
      <c r="J107" s="204" t="s">
        <v>266</v>
      </c>
      <c r="K107" s="205" t="s">
        <v>51</v>
      </c>
      <c r="L107" s="281" t="s">
        <v>325</v>
      </c>
      <c r="M107" s="201" t="s">
        <v>318</v>
      </c>
      <c r="N107" s="282" t="s">
        <v>319</v>
      </c>
      <c r="O107" s="208" t="s">
        <v>416</v>
      </c>
      <c r="P107" s="283" t="s">
        <v>0</v>
      </c>
      <c r="Q107" s="96">
        <v>7850</v>
      </c>
      <c r="R107" s="202" t="s">
        <v>416</v>
      </c>
      <c r="S107" s="202" t="s">
        <v>416</v>
      </c>
      <c r="T107" s="202" t="s">
        <v>416</v>
      </c>
      <c r="U107" s="209" t="s">
        <v>416</v>
      </c>
      <c r="V107" s="123">
        <f>Table24[[#This Row],[A1toA3_GWP]]+Table24[[#This Row],[C1toC4_GWP]]</f>
        <v>606.36399999999992</v>
      </c>
      <c r="W107" s="123">
        <f>VLOOKUP(Table24[[#This Row],[Country PRODUCTION]],[1]Sheet1!$B$11:$F$30,4,FALSE)+Table24[[#This Row],[Total_GWP]]</f>
        <v>682.41399999999999</v>
      </c>
      <c r="X107" s="123">
        <f>VLOOKUP(Table24[[#This Row],[Country PRODUCTION]],[1]Sheet1!$B$11:$F$30,5,FALSE)+Table24[[#This Row],[Total_GWP]]</f>
        <v>614.16399999999987</v>
      </c>
      <c r="Y107" s="123">
        <f>Table24[[#This Row],[Total_GWP]]*Table24[[#This Row],[DENSITY]]/1000</f>
        <v>4759.9573999999993</v>
      </c>
      <c r="Z107" s="149">
        <f>56.4+18.4+524</f>
        <v>598.79999999999995</v>
      </c>
      <c r="AA107" s="81">
        <f>7.12+0.149+0.295</f>
        <v>7.5640000000000001</v>
      </c>
      <c r="AB107" s="83"/>
      <c r="AC107" s="83"/>
      <c r="AD107" s="83"/>
      <c r="AE107" s="85"/>
      <c r="AF107" s="92">
        <f ca="1">IF(OR($E107="Ecoinvent",$E107="Betonsortenrechner",$E107="KBOB",$V107&lt;=0,Table24[[#This Row],[VALID_TO]]&lt;=TODAY()),0,1)</f>
        <v>1</v>
      </c>
      <c r="AG107" s="92">
        <v>1</v>
      </c>
      <c r="AH107" s="92">
        <f ca="1">IF(AND(Table24[[#This Row],[ValidEPD]]&lt;&gt;0,Table24[[#This Row],[Man_Ausschluss]]&lt;&gt;0),1,0)</f>
        <v>1</v>
      </c>
      <c r="AI107" s="178" cm="1">
        <f t="array" aca="1" ref="AI107" ca="1">IF(Table24[[#This Row],[gültig]]&lt;&gt;0,
IF(V107=MIN(_xlfn._xlws.FILTER($V$2:$V$282,($P$2:$P$282=P107))),1,
IF(V107=MAX(_xlfn._xlws.FILTER($V$2:$V$282,($P$2:$P$282=P107))),1,0)),0)</f>
        <v>0</v>
      </c>
      <c r="AJ107" s="180"/>
      <c r="AK107" s="2"/>
      <c r="AL107" s="2"/>
    </row>
    <row r="108" spans="1:38" x14ac:dyDescent="0.45">
      <c r="A108" s="199" t="s">
        <v>210</v>
      </c>
      <c r="B108" s="200"/>
      <c r="C108" s="115">
        <v>108</v>
      </c>
      <c r="D108" s="201" t="s">
        <v>71</v>
      </c>
      <c r="E108" s="202" t="s">
        <v>70</v>
      </c>
      <c r="F108" s="202"/>
      <c r="G108" s="279">
        <v>45097</v>
      </c>
      <c r="H108" s="203">
        <v>46924</v>
      </c>
      <c r="I108" s="96" t="s">
        <v>266</v>
      </c>
      <c r="J108" s="204" t="s">
        <v>266</v>
      </c>
      <c r="K108" s="205" t="s">
        <v>51</v>
      </c>
      <c r="L108" s="281" t="s">
        <v>325</v>
      </c>
      <c r="M108" s="201" t="s">
        <v>318</v>
      </c>
      <c r="N108" s="282" t="s">
        <v>319</v>
      </c>
      <c r="O108" s="208" t="s">
        <v>416</v>
      </c>
      <c r="P108" s="283" t="s">
        <v>0</v>
      </c>
      <c r="Q108" s="96">
        <v>7850</v>
      </c>
      <c r="R108" s="202" t="s">
        <v>416</v>
      </c>
      <c r="S108" s="202" t="s">
        <v>416</v>
      </c>
      <c r="T108" s="202" t="s">
        <v>416</v>
      </c>
      <c r="U108" s="209" t="s">
        <v>416</v>
      </c>
      <c r="V108" s="123">
        <f>Table24[[#This Row],[A1toA3_GWP]]+Table24[[#This Row],[C1toC4_GWP]]</f>
        <v>600.49</v>
      </c>
      <c r="W108" s="123">
        <f>VLOOKUP(Table24[[#This Row],[Country PRODUCTION]],[1]Sheet1!$B$11:$F$30,4,FALSE)+Table24[[#This Row],[Total_GWP]]</f>
        <v>676.54</v>
      </c>
      <c r="X108" s="123">
        <f>VLOOKUP(Table24[[#This Row],[Country PRODUCTION]],[1]Sheet1!$B$11:$F$30,5,FALSE)+Table24[[#This Row],[Total_GWP]]</f>
        <v>608.29</v>
      </c>
      <c r="Y108" s="123">
        <f>Table24[[#This Row],[Total_GWP]]*Table24[[#This Row],[DENSITY]]/1000</f>
        <v>4713.8464999999997</v>
      </c>
      <c r="Z108" s="149">
        <f>55.8+18.2+519</f>
        <v>593</v>
      </c>
      <c r="AA108" s="81">
        <f>7.05+0.148+0.292</f>
        <v>7.4899999999999993</v>
      </c>
      <c r="AB108" s="83"/>
      <c r="AC108" s="83"/>
      <c r="AD108" s="83"/>
      <c r="AE108" s="85"/>
      <c r="AF108" s="92">
        <f ca="1">IF(OR($E108="Ecoinvent",$E108="Betonsortenrechner",$E108="KBOB",$V108&lt;=0,Table24[[#This Row],[VALID_TO]]&lt;=TODAY()),0,1)</f>
        <v>1</v>
      </c>
      <c r="AG108" s="92">
        <v>1</v>
      </c>
      <c r="AH108" s="92">
        <f ca="1">IF(AND(Table24[[#This Row],[ValidEPD]]&lt;&gt;0,Table24[[#This Row],[Man_Ausschluss]]&lt;&gt;0),1,0)</f>
        <v>1</v>
      </c>
      <c r="AI108" s="178" cm="1">
        <f t="array" aca="1" ref="AI108" ca="1">IF(Table24[[#This Row],[gültig]]&lt;&gt;0,
IF(V108=MIN(_xlfn._xlws.FILTER($V$2:$V$282,($P$2:$P$282=P108))),1,
IF(V108=MAX(_xlfn._xlws.FILTER($V$2:$V$282,($P$2:$P$282=P108))),1,0)),0)</f>
        <v>0</v>
      </c>
      <c r="AJ108" s="180"/>
      <c r="AK108" s="2"/>
      <c r="AL108" s="2"/>
    </row>
    <row r="109" spans="1:38" s="78" customFormat="1" x14ac:dyDescent="0.45">
      <c r="A109" s="94" t="s">
        <v>215</v>
      </c>
      <c r="B109" s="285"/>
      <c r="C109" s="111">
        <v>109</v>
      </c>
      <c r="D109" s="103" t="s">
        <v>73</v>
      </c>
      <c r="E109" s="102" t="s">
        <v>74</v>
      </c>
      <c r="F109" s="102"/>
      <c r="G109" s="279">
        <v>44588</v>
      </c>
      <c r="H109" s="286">
        <v>46414</v>
      </c>
      <c r="I109" s="283" t="s">
        <v>293</v>
      </c>
      <c r="J109" s="287" t="s">
        <v>293</v>
      </c>
      <c r="K109" s="288" t="s">
        <v>51</v>
      </c>
      <c r="L109" s="289" t="s">
        <v>325</v>
      </c>
      <c r="M109" s="103" t="s">
        <v>318</v>
      </c>
      <c r="N109" s="290" t="s">
        <v>319</v>
      </c>
      <c r="O109" s="291" t="s">
        <v>416</v>
      </c>
      <c r="P109" s="283" t="s">
        <v>0</v>
      </c>
      <c r="Q109" s="283">
        <v>7850</v>
      </c>
      <c r="R109" s="102" t="s">
        <v>416</v>
      </c>
      <c r="S109" s="102" t="s">
        <v>416</v>
      </c>
      <c r="T109" s="102" t="s">
        <v>416</v>
      </c>
      <c r="U109" s="217" t="s">
        <v>416</v>
      </c>
      <c r="V109" s="92">
        <f>Table24[[#This Row],[A1toA3_GWP]]+Table24[[#This Row],[C1toC4_GWP]]</f>
        <v>418.73599999999999</v>
      </c>
      <c r="W109" s="123">
        <f>VLOOKUP(Table24[[#This Row],[Country PRODUCTION]],[1]Sheet1!$B$11:$F$30,4,FALSE)+Table24[[#This Row],[Total_GWP]]</f>
        <v>488.93599999999998</v>
      </c>
      <c r="X109" s="123">
        <f>VLOOKUP(Table24[[#This Row],[Country PRODUCTION]],[1]Sheet1!$B$11:$F$30,5,FALSE)+Table24[[#This Row],[Total_GWP]]</f>
        <v>425.93599999999998</v>
      </c>
      <c r="Y109" s="92">
        <f>Table24[[#This Row],[Total_GWP]]*Table24[[#This Row],[DENSITY]]/1000</f>
        <v>3287.0776000000001</v>
      </c>
      <c r="Z109" s="99">
        <f>52.9+24.3+333</f>
        <v>410.2</v>
      </c>
      <c r="AA109" s="100">
        <f>8.23+0.306</f>
        <v>8.5359999999999996</v>
      </c>
      <c r="AB109" s="87"/>
      <c r="AC109" s="87"/>
      <c r="AD109" s="87"/>
      <c r="AE109" s="86"/>
      <c r="AF109" s="92">
        <f ca="1">IF(OR($E109="Ecoinvent",$E109="Betonsortenrechner",$E109="KBOB",$V109&lt;=0,Table24[[#This Row],[VALID_TO]]&lt;=TODAY()),0,1)</f>
        <v>1</v>
      </c>
      <c r="AG109" s="92">
        <v>1</v>
      </c>
      <c r="AH109" s="92">
        <f ca="1">IF(AND(Table24[[#This Row],[ValidEPD]]&lt;&gt;0,Table24[[#This Row],[Man_Ausschluss]]&lt;&gt;0),1,0)</f>
        <v>1</v>
      </c>
      <c r="AI109" s="178" cm="1">
        <f t="array" aca="1" ref="AI109" ca="1">IF(Table24[[#This Row],[gültig]]&lt;&gt;0,
IF(V109=MIN(_xlfn._xlws.FILTER($V$2:$V$282,($P$2:$P$282=P109))),1,
IF(V109=MAX(_xlfn._xlws.FILTER($V$2:$V$282,($P$2:$P$282=P109))),1,0)),0)</f>
        <v>0</v>
      </c>
      <c r="AJ109" s="180"/>
      <c r="AK109" s="77"/>
      <c r="AL109" s="77"/>
    </row>
    <row r="110" spans="1:38" s="78" customFormat="1" x14ac:dyDescent="0.45">
      <c r="A110" s="94" t="s">
        <v>213</v>
      </c>
      <c r="B110" s="285"/>
      <c r="C110" s="111">
        <v>110</v>
      </c>
      <c r="D110" s="103" t="s">
        <v>75</v>
      </c>
      <c r="E110" s="102" t="s">
        <v>76</v>
      </c>
      <c r="F110" s="102"/>
      <c r="G110" s="279">
        <v>44306</v>
      </c>
      <c r="H110" s="286">
        <v>46131</v>
      </c>
      <c r="I110" s="283" t="s">
        <v>266</v>
      </c>
      <c r="J110" s="287" t="s">
        <v>266</v>
      </c>
      <c r="K110" s="288" t="s">
        <v>51</v>
      </c>
      <c r="L110" s="289" t="s">
        <v>325</v>
      </c>
      <c r="M110" s="103" t="s">
        <v>318</v>
      </c>
      <c r="N110" s="290" t="s">
        <v>319</v>
      </c>
      <c r="O110" s="291" t="s">
        <v>416</v>
      </c>
      <c r="P110" s="283" t="s">
        <v>0</v>
      </c>
      <c r="Q110" s="283">
        <v>7850</v>
      </c>
      <c r="R110" s="102" t="s">
        <v>416</v>
      </c>
      <c r="S110" s="102" t="s">
        <v>416</v>
      </c>
      <c r="T110" s="102" t="s">
        <v>416</v>
      </c>
      <c r="U110" s="217" t="s">
        <v>416</v>
      </c>
      <c r="V110" s="92">
        <f>Table24[[#This Row],[A1toA3_GWP]]+Table24[[#This Row],[C1toC4_GWP]]</f>
        <v>468.90499999999997</v>
      </c>
      <c r="W110" s="123">
        <f>VLOOKUP(Table24[[#This Row],[Country PRODUCTION]],[1]Sheet1!$B$11:$F$30,4,FALSE)+Table24[[#This Row],[Total_GWP]]</f>
        <v>544.95499999999993</v>
      </c>
      <c r="X110" s="123">
        <f>VLOOKUP(Table24[[#This Row],[Country PRODUCTION]],[1]Sheet1!$B$11:$F$30,5,FALSE)+Table24[[#This Row],[Total_GWP]]</f>
        <v>476.70499999999998</v>
      </c>
      <c r="Y110" s="92">
        <f>Table24[[#This Row],[Total_GWP]]*Table24[[#This Row],[DENSITY]]/1000</f>
        <v>3680.90425</v>
      </c>
      <c r="Z110" s="99">
        <f>79.5+38+343</f>
        <v>460.5</v>
      </c>
      <c r="AA110" s="100">
        <f>8.09+0+0.315</f>
        <v>8.4049999999999994</v>
      </c>
      <c r="AB110" s="87"/>
      <c r="AC110" s="87"/>
      <c r="AD110" s="87"/>
      <c r="AE110" s="86"/>
      <c r="AF110" s="92">
        <f ca="1">IF(OR($E110="Ecoinvent",$E110="Betonsortenrechner",$E110="KBOB",$V110&lt;=0,Table24[[#This Row],[VALID_TO]]&lt;=TODAY()),0,1)</f>
        <v>0</v>
      </c>
      <c r="AG110" s="92">
        <v>1</v>
      </c>
      <c r="AH110" s="92">
        <f ca="1">IF(AND(Table24[[#This Row],[ValidEPD]]&lt;&gt;0,Table24[[#This Row],[Man_Ausschluss]]&lt;&gt;0),1,0)</f>
        <v>0</v>
      </c>
      <c r="AI110" s="178" cm="1">
        <f t="array" aca="1" ref="AI110" ca="1">IF(Table24[[#This Row],[gültig]]&lt;&gt;0,
IF(V110=MIN(_xlfn._xlws.FILTER($V$2:$V$282,($P$2:$P$282=P110))),1,
IF(V110=MAX(_xlfn._xlws.FILTER($V$2:$V$282,($P$2:$P$282=P110))),1,0)),0)</f>
        <v>0</v>
      </c>
      <c r="AJ110" s="180"/>
      <c r="AK110" s="77"/>
      <c r="AL110" s="77"/>
    </row>
    <row r="111" spans="1:38" s="78" customFormat="1" x14ac:dyDescent="0.45">
      <c r="A111" s="94" t="s">
        <v>214</v>
      </c>
      <c r="B111" s="285"/>
      <c r="C111" s="111">
        <v>111</v>
      </c>
      <c r="D111" s="289" t="s">
        <v>77</v>
      </c>
      <c r="E111" s="102" t="s">
        <v>78</v>
      </c>
      <c r="F111" s="102"/>
      <c r="G111" s="279">
        <v>43803</v>
      </c>
      <c r="H111" s="286">
        <v>46150</v>
      </c>
      <c r="I111" s="283" t="s">
        <v>293</v>
      </c>
      <c r="J111" s="287" t="s">
        <v>293</v>
      </c>
      <c r="K111" s="288" t="s">
        <v>51</v>
      </c>
      <c r="L111" s="289" t="s">
        <v>325</v>
      </c>
      <c r="M111" s="103" t="s">
        <v>318</v>
      </c>
      <c r="N111" s="290" t="s">
        <v>319</v>
      </c>
      <c r="O111" s="291" t="s">
        <v>416</v>
      </c>
      <c r="P111" s="283" t="s">
        <v>0</v>
      </c>
      <c r="Q111" s="283">
        <v>7850</v>
      </c>
      <c r="R111" s="102" t="s">
        <v>416</v>
      </c>
      <c r="S111" s="102" t="s">
        <v>416</v>
      </c>
      <c r="T111" s="102" t="s">
        <v>416</v>
      </c>
      <c r="U111" s="217" t="s">
        <v>416</v>
      </c>
      <c r="V111" s="92">
        <f>Table24[[#This Row],[A1toA3_GWP]]+Table24[[#This Row],[C1toC4_GWP]]</f>
        <v>352.93</v>
      </c>
      <c r="W111" s="123">
        <f>VLOOKUP(Table24[[#This Row],[Country PRODUCTION]],[1]Sheet1!$B$11:$F$30,4,FALSE)+Table24[[#This Row],[Total_GWP]]</f>
        <v>423.13</v>
      </c>
      <c r="X111" s="123">
        <f>VLOOKUP(Table24[[#This Row],[Country PRODUCTION]],[1]Sheet1!$B$11:$F$30,5,FALSE)+Table24[[#This Row],[Total_GWP]]</f>
        <v>360.13</v>
      </c>
      <c r="Y111" s="92">
        <f>Table24[[#This Row],[Total_GWP]]*Table24[[#This Row],[DENSITY]]/1000</f>
        <v>2770.5005000000001</v>
      </c>
      <c r="Z111" s="292">
        <v>309</v>
      </c>
      <c r="AA111" s="100">
        <f>2.15+40.6+1.18</f>
        <v>43.93</v>
      </c>
      <c r="AB111" s="87"/>
      <c r="AC111" s="87"/>
      <c r="AD111" s="87"/>
      <c r="AE111" s="86"/>
      <c r="AF111" s="92">
        <f ca="1">IF(OR($E111="Ecoinvent",$E111="Betonsortenrechner",$E111="KBOB",$V111&lt;=0,Table24[[#This Row],[VALID_TO]]&lt;=TODAY()),0,1)</f>
        <v>0</v>
      </c>
      <c r="AG111" s="92">
        <v>1</v>
      </c>
      <c r="AH111" s="92">
        <f ca="1">IF(AND(Table24[[#This Row],[ValidEPD]]&lt;&gt;0,Table24[[#This Row],[Man_Ausschluss]]&lt;&gt;0),1,0)</f>
        <v>0</v>
      </c>
      <c r="AI111" s="178" cm="1">
        <f t="array" aca="1" ref="AI111" ca="1">IF(Table24[[#This Row],[gültig]]&lt;&gt;0,
IF(V111=MIN(_xlfn._xlws.FILTER($V$2:$V$282,($P$2:$P$282=P111))),1,
IF(V111=MAX(_xlfn._xlws.FILTER($V$2:$V$282,($P$2:$P$282=P111))),1,0)),0)</f>
        <v>0</v>
      </c>
      <c r="AJ111" s="180"/>
      <c r="AK111" s="77"/>
      <c r="AL111" s="77"/>
    </row>
    <row r="112" spans="1:38" s="78" customFormat="1" x14ac:dyDescent="0.45">
      <c r="A112" s="94" t="s">
        <v>211</v>
      </c>
      <c r="B112" s="285"/>
      <c r="C112" s="111">
        <v>112</v>
      </c>
      <c r="D112" s="289" t="s">
        <v>79</v>
      </c>
      <c r="E112" s="102" t="s">
        <v>80</v>
      </c>
      <c r="F112" s="102"/>
      <c r="G112" s="279">
        <v>43759</v>
      </c>
      <c r="H112" s="286">
        <v>46150</v>
      </c>
      <c r="I112" s="283" t="s">
        <v>171</v>
      </c>
      <c r="J112" s="287" t="s">
        <v>171</v>
      </c>
      <c r="K112" s="288" t="s">
        <v>51</v>
      </c>
      <c r="L112" s="289" t="s">
        <v>325</v>
      </c>
      <c r="M112" s="103" t="s">
        <v>318</v>
      </c>
      <c r="N112" s="290" t="s">
        <v>319</v>
      </c>
      <c r="O112" s="291" t="s">
        <v>416</v>
      </c>
      <c r="P112" s="283" t="s">
        <v>0</v>
      </c>
      <c r="Q112" s="283">
        <v>7850</v>
      </c>
      <c r="R112" s="102" t="s">
        <v>416</v>
      </c>
      <c r="S112" s="102" t="s">
        <v>416</v>
      </c>
      <c r="T112" s="102" t="s">
        <v>416</v>
      </c>
      <c r="U112" s="217" t="s">
        <v>416</v>
      </c>
      <c r="V112" s="92">
        <f>Table24[[#This Row],[A1toA3_GWP]]+Table24[[#This Row],[C1toC4_GWP]]</f>
        <v>658.93</v>
      </c>
      <c r="W112" s="123">
        <f>VLOOKUP(Table24[[#This Row],[Country PRODUCTION]],[1]Sheet1!$B$11:$F$30,4,FALSE)+Table24[[#This Row],[Total_GWP]]</f>
        <v>811.03</v>
      </c>
      <c r="X112" s="123">
        <f>VLOOKUP(Table24[[#This Row],[Country PRODUCTION]],[1]Sheet1!$B$11:$F$30,5,FALSE)+Table24[[#This Row],[Total_GWP]]</f>
        <v>674.53</v>
      </c>
      <c r="Y112" s="92">
        <f>Table24[[#This Row],[Total_GWP]]*Table24[[#This Row],[DENSITY]]/1000</f>
        <v>5172.6004999999996</v>
      </c>
      <c r="Z112" s="292">
        <v>615</v>
      </c>
      <c r="AA112" s="100">
        <f>2.15+40.6+1.18</f>
        <v>43.93</v>
      </c>
      <c r="AB112" s="87"/>
      <c r="AC112" s="87"/>
      <c r="AD112" s="87"/>
      <c r="AE112" s="86"/>
      <c r="AF112" s="92">
        <f ca="1">IF(OR($E112="Ecoinvent",$E112="Betonsortenrechner",$E112="KBOB",$V112&lt;=0,Table24[[#This Row],[VALID_TO]]&lt;=TODAY()),0,1)</f>
        <v>0</v>
      </c>
      <c r="AG112" s="92">
        <v>1</v>
      </c>
      <c r="AH112" s="92">
        <f ca="1">IF(AND(Table24[[#This Row],[ValidEPD]]&lt;&gt;0,Table24[[#This Row],[Man_Ausschluss]]&lt;&gt;0),1,0)</f>
        <v>0</v>
      </c>
      <c r="AI112" s="178" cm="1">
        <f t="array" aca="1" ref="AI112" ca="1">IF(Table24[[#This Row],[gültig]]&lt;&gt;0,
IF(V112=MIN(_xlfn._xlws.FILTER($V$2:$V$282,($P$2:$P$282=P112))),1,
IF(V112=MAX(_xlfn._xlws.FILTER($V$2:$V$282,($P$2:$P$282=P112))),1,0)),0)</f>
        <v>0</v>
      </c>
      <c r="AJ112" s="180"/>
      <c r="AK112" s="77"/>
      <c r="AL112" s="77"/>
    </row>
    <row r="113" spans="1:38" x14ac:dyDescent="0.45">
      <c r="A113" s="199" t="s">
        <v>216</v>
      </c>
      <c r="B113" s="200"/>
      <c r="C113" s="115">
        <v>113</v>
      </c>
      <c r="D113" s="281" t="s">
        <v>217</v>
      </c>
      <c r="E113" s="202" t="s">
        <v>218</v>
      </c>
      <c r="F113" s="202"/>
      <c r="G113" s="279">
        <v>43420</v>
      </c>
      <c r="H113" s="203">
        <v>45245</v>
      </c>
      <c r="I113" s="96" t="s">
        <v>294</v>
      </c>
      <c r="J113" s="204" t="s">
        <v>294</v>
      </c>
      <c r="K113" s="205" t="s">
        <v>51</v>
      </c>
      <c r="L113" s="281" t="s">
        <v>325</v>
      </c>
      <c r="M113" s="201" t="s">
        <v>318</v>
      </c>
      <c r="N113" s="282" t="s">
        <v>319</v>
      </c>
      <c r="O113" s="208" t="s">
        <v>416</v>
      </c>
      <c r="P113" s="283" t="s">
        <v>0</v>
      </c>
      <c r="Q113" s="96">
        <v>7850</v>
      </c>
      <c r="R113" s="202" t="s">
        <v>416</v>
      </c>
      <c r="S113" s="202" t="s">
        <v>416</v>
      </c>
      <c r="T113" s="202" t="s">
        <v>416</v>
      </c>
      <c r="U113" s="209" t="s">
        <v>416</v>
      </c>
      <c r="V113" s="91">
        <f>SUM(Table24[[#This Row],[A1toA3_GWP]:[C1toC4_GWP]])</f>
        <v>527</v>
      </c>
      <c r="W113" s="123">
        <f>VLOOKUP(Table24[[#This Row],[Country PRODUCTION]],[1]Sheet1!$B$11:$F$30,4,FALSE)+Table24[[#This Row],[Total_GWP]]</f>
        <v>620.6</v>
      </c>
      <c r="X113" s="123">
        <f>VLOOKUP(Table24[[#This Row],[Country PRODUCTION]],[1]Sheet1!$B$11:$F$30,5,FALSE)+Table24[[#This Row],[Total_GWP]]</f>
        <v>536.6</v>
      </c>
      <c r="Y113" s="92">
        <f>Table24[[#This Row],[Total_GWP]]*Table24[[#This Row],[DENSITY]]/1000</f>
        <v>4136.95</v>
      </c>
      <c r="Z113" s="292">
        <f>403+39+85</f>
        <v>527</v>
      </c>
      <c r="AA113" s="100" t="s">
        <v>160</v>
      </c>
      <c r="AB113" s="87"/>
      <c r="AC113" s="87"/>
      <c r="AD113" s="87"/>
      <c r="AE113" s="86"/>
      <c r="AF113" s="92">
        <f ca="1">IF(OR($E113="Ecoinvent",$E113="Betonsortenrechner",$E113="KBOB",$V113&lt;=0,Table24[[#This Row],[VALID_TO]]&lt;=TODAY()),0,1)</f>
        <v>0</v>
      </c>
      <c r="AG113" s="92">
        <v>1</v>
      </c>
      <c r="AH113" s="92">
        <f ca="1">IF(AND(Table24[[#This Row],[ValidEPD]]&lt;&gt;0,Table24[[#This Row],[Man_Ausschluss]]&lt;&gt;0),1,0)</f>
        <v>0</v>
      </c>
      <c r="AI113" s="178" cm="1">
        <f t="array" aca="1" ref="AI113" ca="1">IF(Table24[[#This Row],[gültig]]&lt;&gt;0,
IF(V113=MIN(_xlfn._xlws.FILTER($V$2:$V$282,($P$2:$P$282=P113))),1,
IF(V113=MAX(_xlfn._xlws.FILTER($V$2:$V$282,($P$2:$P$282=P113))),1,0)),0)</f>
        <v>0</v>
      </c>
      <c r="AJ113" s="180"/>
      <c r="AK113" s="2"/>
      <c r="AL113" s="2"/>
    </row>
    <row r="114" spans="1:38" s="78" customFormat="1" x14ac:dyDescent="0.45">
      <c r="A114" s="94" t="s">
        <v>552</v>
      </c>
      <c r="B114" s="285"/>
      <c r="C114" s="111">
        <v>114</v>
      </c>
      <c r="D114" s="289" t="s">
        <v>554</v>
      </c>
      <c r="E114" s="102" t="s">
        <v>555</v>
      </c>
      <c r="F114" s="102"/>
      <c r="G114" s="279">
        <v>45763</v>
      </c>
      <c r="H114" s="286">
        <v>47588</v>
      </c>
      <c r="I114" s="283" t="s">
        <v>52</v>
      </c>
      <c r="J114" s="287" t="s">
        <v>52</v>
      </c>
      <c r="K114" s="205" t="s">
        <v>781</v>
      </c>
      <c r="L114" s="281" t="s">
        <v>325</v>
      </c>
      <c r="M114" s="103" t="s">
        <v>318</v>
      </c>
      <c r="N114" s="290" t="s">
        <v>319</v>
      </c>
      <c r="O114" s="291" t="s">
        <v>416</v>
      </c>
      <c r="P114" s="283" t="s">
        <v>556</v>
      </c>
      <c r="Q114" s="283">
        <v>7850</v>
      </c>
      <c r="R114" s="102" t="s">
        <v>416</v>
      </c>
      <c r="S114" s="102" t="s">
        <v>416</v>
      </c>
      <c r="T114" s="102" t="s">
        <v>416</v>
      </c>
      <c r="U114" s="217" t="s">
        <v>416</v>
      </c>
      <c r="V114" s="92">
        <f>SUM(Table24[[#This Row],[A1toA3_GWP]:[C1toC4_GWP]])</f>
        <v>572.36900000000003</v>
      </c>
      <c r="W114" s="123">
        <f>VLOOKUP(Table24[[#This Row],[Country PRODUCTION]],[1]Sheet1!$B$11:$F$30,4,FALSE)+Table24[[#This Row],[Total_GWP]]</f>
        <v>577.04899999999998</v>
      </c>
      <c r="X114" s="123">
        <f>VLOOKUP(Table24[[#This Row],[Country PRODUCTION]],[1]Sheet1!$B$11:$F$30,5,FALSE)+Table24[[#This Row],[Total_GWP]]</f>
        <v>572.84900000000005</v>
      </c>
      <c r="Y114" s="92">
        <f>Table24[[#This Row],[Total_GWP]]*Table24[[#This Row],[DENSITY]]/1000</f>
        <v>4493.0966500000004</v>
      </c>
      <c r="Z114" s="292">
        <v>562</v>
      </c>
      <c r="AA114" s="100">
        <f>0.445+7.5+0.114+2.31</f>
        <v>10.369000000000002</v>
      </c>
      <c r="AB114" s="87"/>
      <c r="AC114" s="87"/>
      <c r="AD114" s="87"/>
      <c r="AE114" s="86"/>
      <c r="AF114" s="92">
        <f ca="1">IF(OR($E114="Ecoinvent",$E114="Betonsortenrechner",$E114="KBOB",$V114&lt;=0,Table24[[#This Row],[VALID_TO]]&lt;=TODAY()),0,1)</f>
        <v>1</v>
      </c>
      <c r="AG114" s="92">
        <v>1</v>
      </c>
      <c r="AH114" s="92">
        <f ca="1">IF(AND(Table24[[#This Row],[ValidEPD]]&lt;&gt;0,Table24[[#This Row],[Man_Ausschluss]]&lt;&gt;0),1,0)</f>
        <v>1</v>
      </c>
      <c r="AI114" s="178" cm="1">
        <f t="array" aca="1" ref="AI114" ca="1">IF(Table24[[#This Row],[gültig]]&lt;&gt;0,
IF(V114=MIN(_xlfn._xlws.FILTER($V$2:$V$282,($P$2:$P$282=P114))),1,
IF(V114=MAX(_xlfn._xlws.FILTER($V$2:$V$282,($P$2:$P$282=P114))),1,0)),0)</f>
        <v>1</v>
      </c>
      <c r="AJ114" s="180"/>
      <c r="AK114" s="77"/>
      <c r="AL114" s="77"/>
    </row>
    <row r="115" spans="1:38" s="78" customFormat="1" x14ac:dyDescent="0.45">
      <c r="A115" s="94" t="s">
        <v>553</v>
      </c>
      <c r="B115" s="285"/>
      <c r="C115" s="111">
        <v>115</v>
      </c>
      <c r="D115" s="289" t="s">
        <v>557</v>
      </c>
      <c r="E115" s="102" t="s">
        <v>555</v>
      </c>
      <c r="F115" s="102"/>
      <c r="G115" s="279">
        <v>45833</v>
      </c>
      <c r="H115" s="286">
        <v>47658</v>
      </c>
      <c r="I115" s="283" t="s">
        <v>52</v>
      </c>
      <c r="J115" s="287" t="s">
        <v>52</v>
      </c>
      <c r="K115" s="205" t="s">
        <v>51</v>
      </c>
      <c r="L115" s="281" t="s">
        <v>325</v>
      </c>
      <c r="M115" s="103" t="s">
        <v>318</v>
      </c>
      <c r="N115" s="290" t="s">
        <v>319</v>
      </c>
      <c r="O115" s="291" t="s">
        <v>416</v>
      </c>
      <c r="P115" s="283" t="s">
        <v>558</v>
      </c>
      <c r="Q115" s="283">
        <v>7850</v>
      </c>
      <c r="R115" s="102" t="s">
        <v>416</v>
      </c>
      <c r="S115" s="102" t="s">
        <v>416</v>
      </c>
      <c r="T115" s="102" t="s">
        <v>416</v>
      </c>
      <c r="U115" s="217" t="s">
        <v>416</v>
      </c>
      <c r="V115" s="92">
        <f>SUM(Table24[[#This Row],[A1toA3_GWP]:[C1toC4_GWP]])</f>
        <v>3650.4090000000001</v>
      </c>
      <c r="W115" s="123">
        <f>VLOOKUP(Table24[[#This Row],[Country PRODUCTION]],[1]Sheet1!$B$11:$F$30,4,FALSE)+Table24[[#This Row],[Total_GWP]]</f>
        <v>3655.0889999999999</v>
      </c>
      <c r="X115" s="123">
        <f>VLOOKUP(Table24[[#This Row],[Country PRODUCTION]],[1]Sheet1!$B$11:$F$30,5,FALSE)+Table24[[#This Row],[Total_GWP]]</f>
        <v>3650.8890000000001</v>
      </c>
      <c r="Y115" s="92">
        <f>Table24[[#This Row],[Total_GWP]]*Table24[[#This Row],[DENSITY]]/1000</f>
        <v>28655.710650000001</v>
      </c>
      <c r="Z115" s="292">
        <v>3640</v>
      </c>
      <c r="AA115" s="100">
        <f>0.445+7.5+0.114+2.35</f>
        <v>10.409000000000001</v>
      </c>
      <c r="AB115" s="87"/>
      <c r="AC115" s="87"/>
      <c r="AD115" s="87"/>
      <c r="AE115" s="86"/>
      <c r="AF115" s="92">
        <f ca="1">IF(OR($E115="Ecoinvent",$E115="Betonsortenrechner",$E115="KBOB",$V115&lt;=0,Table24[[#This Row],[VALID_TO]]&lt;=TODAY()),0,1)</f>
        <v>1</v>
      </c>
      <c r="AG115" s="92">
        <v>1</v>
      </c>
      <c r="AH115" s="92">
        <f ca="1">IF(AND(Table24[[#This Row],[ValidEPD]]&lt;&gt;0,Table24[[#This Row],[Man_Ausschluss]]&lt;&gt;0),1,0)</f>
        <v>1</v>
      </c>
      <c r="AI115" s="178" cm="1">
        <f t="array" aca="1" ref="AI115" ca="1">IF(Table24[[#This Row],[gültig]]&lt;&gt;0,
IF(V115=MIN(_xlfn._xlws.FILTER($V$2:$V$282,($P$2:$P$282=P115))),1,
IF(V115=MAX(_xlfn._xlws.FILTER($V$2:$V$282,($P$2:$P$282=P115))),1,0)),0)</f>
        <v>1</v>
      </c>
      <c r="AJ115" s="180"/>
      <c r="AK115" s="77"/>
      <c r="AL115" s="77"/>
    </row>
    <row r="116" spans="1:38" x14ac:dyDescent="0.45">
      <c r="A116" s="155" t="s">
        <v>754</v>
      </c>
      <c r="B116" s="200" t="s">
        <v>502</v>
      </c>
      <c r="C116" s="111">
        <v>116</v>
      </c>
      <c r="D116" s="289" t="s">
        <v>756</v>
      </c>
      <c r="E116" s="102" t="s">
        <v>133</v>
      </c>
      <c r="F116" s="211"/>
      <c r="G116" s="279">
        <v>44664</v>
      </c>
      <c r="H116" s="286">
        <v>46489</v>
      </c>
      <c r="I116" s="120" t="s">
        <v>52</v>
      </c>
      <c r="J116" s="204" t="s">
        <v>779</v>
      </c>
      <c r="K116" s="213" t="s">
        <v>51</v>
      </c>
      <c r="L116" s="281" t="s">
        <v>325</v>
      </c>
      <c r="M116" s="103" t="s">
        <v>318</v>
      </c>
      <c r="N116" s="290" t="s">
        <v>319</v>
      </c>
      <c r="O116" s="291" t="s">
        <v>416</v>
      </c>
      <c r="P116" s="120">
        <v>460</v>
      </c>
      <c r="Q116" s="120">
        <v>7850</v>
      </c>
      <c r="R116" s="102" t="s">
        <v>416</v>
      </c>
      <c r="S116" s="102" t="s">
        <v>416</v>
      </c>
      <c r="T116" s="102" t="s">
        <v>416</v>
      </c>
      <c r="U116" s="217" t="s">
        <v>416</v>
      </c>
      <c r="V116" s="92">
        <f>SUM(Table24[[#This Row],[A1toA3_GWP]:[C1toC4_GWP]])</f>
        <v>821.03</v>
      </c>
      <c r="W116" s="123">
        <f>VLOOKUP("DE",[1]Sheet1!$B$11:$F$30,4,FALSE)+Table24[[#This Row],[Total_GWP]]</f>
        <v>897.07999999999993</v>
      </c>
      <c r="X116" s="123">
        <f>VLOOKUP("DE",[1]Sheet1!$B$11:$F$30,5,FALSE)+Table24[[#This Row],[Total_GWP]]</f>
        <v>828.82999999999993</v>
      </c>
      <c r="Y116" s="92">
        <f>Table24[[#This Row],[Total_GWP]]*Table24[[#This Row],[DENSITY]]/1000</f>
        <v>6445.0855000000001</v>
      </c>
      <c r="Z116" s="293">
        <v>818</v>
      </c>
      <c r="AA116" s="119">
        <f>1.6+1.43</f>
        <v>3.0300000000000002</v>
      </c>
      <c r="AB116" s="83"/>
      <c r="AC116" s="83"/>
      <c r="AD116" s="83"/>
      <c r="AE116" s="85"/>
      <c r="AF116" s="87">
        <f ca="1">IF(OR($E116="Ecoinvent",$E116="Betonsortenrechner",$E116="KBOB",$V116&lt;=0,Table24[[#This Row],[VALID_TO]]&lt;=TODAY()),0,1)</f>
        <v>1</v>
      </c>
      <c r="AG116" s="87">
        <v>1</v>
      </c>
      <c r="AH116" s="87">
        <f ca="1">IF(AND(Table24[[#This Row],[ValidEPD]]&lt;&gt;0,Table24[[#This Row],[Man_Ausschluss]]&lt;&gt;0),1,0)</f>
        <v>1</v>
      </c>
      <c r="AI116" s="178" cm="1">
        <f t="array" aca="1" ref="AI116" ca="1">IF(Table24[[#This Row],[gültig]]&lt;&gt;0,
IF(V116=MIN(_xlfn._xlws.FILTER($V$2:$V$282,($P$2:$P$282=P116))),1,
IF(V116=MAX(_xlfn._xlws.FILTER($V$2:$V$282,($P$2:$P$282=P116))),1,0)),0)</f>
        <v>1</v>
      </c>
      <c r="AJ116" s="180"/>
      <c r="AK116" s="118"/>
      <c r="AL116" s="2"/>
    </row>
    <row r="117" spans="1:38" x14ac:dyDescent="0.45">
      <c r="A117" s="155" t="s">
        <v>754</v>
      </c>
      <c r="B117" s="200" t="s">
        <v>518</v>
      </c>
      <c r="C117" s="111">
        <v>117</v>
      </c>
      <c r="D117" s="289" t="s">
        <v>756</v>
      </c>
      <c r="E117" s="102" t="s">
        <v>133</v>
      </c>
      <c r="F117" s="211"/>
      <c r="G117" s="279">
        <v>44664</v>
      </c>
      <c r="H117" s="286">
        <v>46489</v>
      </c>
      <c r="I117" s="120" t="s">
        <v>52</v>
      </c>
      <c r="J117" s="204" t="s">
        <v>779</v>
      </c>
      <c r="K117" s="213" t="s">
        <v>51</v>
      </c>
      <c r="L117" s="281" t="s">
        <v>325</v>
      </c>
      <c r="M117" s="103" t="s">
        <v>318</v>
      </c>
      <c r="N117" s="290" t="s">
        <v>319</v>
      </c>
      <c r="O117" s="291" t="s">
        <v>416</v>
      </c>
      <c r="P117" s="120">
        <v>900</v>
      </c>
      <c r="Q117" s="120">
        <v>7850</v>
      </c>
      <c r="R117" s="102" t="s">
        <v>416</v>
      </c>
      <c r="S117" s="102" t="s">
        <v>416</v>
      </c>
      <c r="T117" s="102" t="s">
        <v>416</v>
      </c>
      <c r="U117" s="217" t="s">
        <v>416</v>
      </c>
      <c r="V117" s="92">
        <f>SUM(Table24[[#This Row],[A1toA3_GWP]:[C1toC4_GWP]])</f>
        <v>821.03</v>
      </c>
      <c r="W117" s="123">
        <f>VLOOKUP("DE",[1]Sheet1!$B$11:$F$30,4,FALSE)+Table24[[#This Row],[Total_GWP]]</f>
        <v>897.07999999999993</v>
      </c>
      <c r="X117" s="123">
        <f>VLOOKUP("DE",[1]Sheet1!$B$11:$F$30,5,FALSE)+Table24[[#This Row],[Total_GWP]]</f>
        <v>828.82999999999993</v>
      </c>
      <c r="Y117" s="92">
        <f>Table24[[#This Row],[Total_GWP]]*Table24[[#This Row],[DENSITY]]/1000</f>
        <v>6445.0855000000001</v>
      </c>
      <c r="Z117" s="293">
        <v>818</v>
      </c>
      <c r="AA117" s="119">
        <f>1.6+1.43</f>
        <v>3.0300000000000002</v>
      </c>
      <c r="AB117" s="83"/>
      <c r="AC117" s="83"/>
      <c r="AD117" s="83"/>
      <c r="AE117" s="85"/>
      <c r="AF117" s="87">
        <f ca="1">IF(OR($E117="Ecoinvent",$E117="Betonsortenrechner",$E117="KBOB",$V117&lt;=0,Table24[[#This Row],[VALID_TO]]&lt;=TODAY()),0,1)</f>
        <v>1</v>
      </c>
      <c r="AG117" s="87">
        <v>1</v>
      </c>
      <c r="AH117" s="87">
        <f ca="1">IF(AND(Table24[[#This Row],[ValidEPD]]&lt;&gt;0,Table24[[#This Row],[Man_Ausschluss]]&lt;&gt;0),1,0)</f>
        <v>1</v>
      </c>
      <c r="AI117" s="178" cm="1">
        <f t="array" aca="1" ref="AI117" ca="1">IF(Table24[[#This Row],[gültig]]&lt;&gt;0,
IF(V117=MIN(_xlfn._xlws.FILTER($V$2:$V$282,($P$2:$P$282=P117))),1,
IF(V117=MAX(_xlfn._xlws.FILTER($V$2:$V$282,($P$2:$P$282=P117))),1,0)),0)</f>
        <v>1</v>
      </c>
      <c r="AJ117" s="180"/>
      <c r="AK117" s="118"/>
      <c r="AL117" s="2"/>
    </row>
    <row r="118" spans="1:38" x14ac:dyDescent="0.45">
      <c r="A118" s="155" t="s">
        <v>755</v>
      </c>
      <c r="B118" s="200" t="s">
        <v>502</v>
      </c>
      <c r="C118" s="111">
        <v>118</v>
      </c>
      <c r="D118" s="289" t="s">
        <v>758</v>
      </c>
      <c r="E118" s="102" t="s">
        <v>133</v>
      </c>
      <c r="F118" s="211"/>
      <c r="G118" s="279">
        <v>44498</v>
      </c>
      <c r="H118" s="286">
        <v>46323</v>
      </c>
      <c r="I118" s="120" t="s">
        <v>52</v>
      </c>
      <c r="J118" s="204" t="s">
        <v>780</v>
      </c>
      <c r="K118" s="213" t="s">
        <v>759</v>
      </c>
      <c r="L118" s="281" t="s">
        <v>325</v>
      </c>
      <c r="M118" s="103" t="s">
        <v>318</v>
      </c>
      <c r="N118" s="290" t="s">
        <v>319</v>
      </c>
      <c r="O118" s="291" t="s">
        <v>416</v>
      </c>
      <c r="P118" s="120">
        <v>460</v>
      </c>
      <c r="Q118" s="120">
        <v>7850</v>
      </c>
      <c r="R118" s="102" t="s">
        <v>416</v>
      </c>
      <c r="S118" s="102" t="s">
        <v>416</v>
      </c>
      <c r="T118" s="102" t="s">
        <v>416</v>
      </c>
      <c r="U118" s="217" t="s">
        <v>416</v>
      </c>
      <c r="V118" s="92">
        <f>SUM(Table24[[#This Row],[A1toA3_GWP]:[C1toC4_GWP]])</f>
        <v>303.02999999999997</v>
      </c>
      <c r="W118" s="123">
        <f>VLOOKUP(Table24[[#This Row],[Country PRODUCTION]],[1]Sheet1!$B$11:$F$30,4,FALSE)+Table24[[#This Row],[Total_GWP]]</f>
        <v>455.13</v>
      </c>
      <c r="X118" s="123">
        <f>VLOOKUP(Table24[[#This Row],[Country PRODUCTION]],[1]Sheet1!$B$11:$F$30,5,FALSE)+Table24[[#This Row],[Total_GWP]]</f>
        <v>318.63</v>
      </c>
      <c r="Y118" s="92">
        <f>Table24[[#This Row],[Total_GWP]]*Table24[[#This Row],[DENSITY]]/1000</f>
        <v>2378.7855</v>
      </c>
      <c r="Z118" s="293">
        <v>300</v>
      </c>
      <c r="AA118" s="119">
        <f>1.6+1.43</f>
        <v>3.0300000000000002</v>
      </c>
      <c r="AB118" s="83"/>
      <c r="AC118" s="83"/>
      <c r="AD118" s="83"/>
      <c r="AE118" s="85"/>
      <c r="AF118" s="87">
        <f ca="1">IF(OR($E118="Ecoinvent",$E118="Betonsortenrechner",$E118="KBOB",$V118&lt;=0,Table24[[#This Row],[VALID_TO]]&lt;=TODAY()),0,1)</f>
        <v>1</v>
      </c>
      <c r="AG118" s="87">
        <v>1</v>
      </c>
      <c r="AH118" s="87">
        <f ca="1">IF(AND(Table24[[#This Row],[ValidEPD]]&lt;&gt;0,Table24[[#This Row],[Man_Ausschluss]]&lt;&gt;0),1,0)</f>
        <v>1</v>
      </c>
      <c r="AI118" s="178" cm="1">
        <f t="array" aca="1" ref="AI118" ca="1">IF(Table24[[#This Row],[gültig]]&lt;&gt;0,
IF(V118=MIN(_xlfn._xlws.FILTER($V$2:$V$282,($P$2:$P$282=P118))),1,
IF(V118=MAX(_xlfn._xlws.FILTER($V$2:$V$282,($P$2:$P$282=P118))),1,0)),0)</f>
        <v>1</v>
      </c>
      <c r="AJ118" s="180"/>
      <c r="AK118" s="118"/>
      <c r="AL118" s="2"/>
    </row>
    <row r="119" spans="1:38" x14ac:dyDescent="0.45">
      <c r="A119" s="155" t="s">
        <v>755</v>
      </c>
      <c r="B119" s="200" t="s">
        <v>518</v>
      </c>
      <c r="C119" s="111">
        <v>119</v>
      </c>
      <c r="D119" s="289" t="s">
        <v>758</v>
      </c>
      <c r="E119" s="102" t="s">
        <v>133</v>
      </c>
      <c r="F119" s="211"/>
      <c r="G119" s="279">
        <v>44498</v>
      </c>
      <c r="H119" s="286">
        <v>46323</v>
      </c>
      <c r="I119" s="120" t="s">
        <v>52</v>
      </c>
      <c r="J119" s="204" t="s">
        <v>780</v>
      </c>
      <c r="K119" s="213" t="s">
        <v>759</v>
      </c>
      <c r="L119" s="281" t="s">
        <v>325</v>
      </c>
      <c r="M119" s="103" t="s">
        <v>318</v>
      </c>
      <c r="N119" s="290" t="s">
        <v>319</v>
      </c>
      <c r="O119" s="291" t="s">
        <v>416</v>
      </c>
      <c r="P119" s="120">
        <v>900</v>
      </c>
      <c r="Q119" s="120">
        <v>7850</v>
      </c>
      <c r="R119" s="102" t="s">
        <v>416</v>
      </c>
      <c r="S119" s="102" t="s">
        <v>416</v>
      </c>
      <c r="T119" s="102" t="s">
        <v>416</v>
      </c>
      <c r="U119" s="217" t="s">
        <v>416</v>
      </c>
      <c r="V119" s="92">
        <f>SUM(Table24[[#This Row],[A1toA3_GWP]:[C1toC4_GWP]])</f>
        <v>303.02999999999997</v>
      </c>
      <c r="W119" s="123">
        <f>VLOOKUP(Table24[[#This Row],[Country PRODUCTION]],[1]Sheet1!$B$11:$F$30,4,FALSE)+Table24[[#This Row],[Total_GWP]]</f>
        <v>455.13</v>
      </c>
      <c r="X119" s="123">
        <f>VLOOKUP(Table24[[#This Row],[Country PRODUCTION]],[1]Sheet1!$B$11:$F$30,5,FALSE)+Table24[[#This Row],[Total_GWP]]</f>
        <v>318.63</v>
      </c>
      <c r="Y119" s="92">
        <f>Table24[[#This Row],[Total_GWP]]*Table24[[#This Row],[DENSITY]]/1000</f>
        <v>2378.7855</v>
      </c>
      <c r="Z119" s="293">
        <v>300</v>
      </c>
      <c r="AA119" s="119">
        <f>1.6+1.43</f>
        <v>3.0300000000000002</v>
      </c>
      <c r="AB119" s="83"/>
      <c r="AC119" s="83"/>
      <c r="AD119" s="83"/>
      <c r="AE119" s="85"/>
      <c r="AF119" s="87">
        <f ca="1">IF(OR($E119="Ecoinvent",$E119="Betonsortenrechner",$E119="KBOB",$V119&lt;=0,Table24[[#This Row],[VALID_TO]]&lt;=TODAY()),0,1)</f>
        <v>1</v>
      </c>
      <c r="AG119" s="87">
        <v>1</v>
      </c>
      <c r="AH119" s="87">
        <f ca="1">IF(AND(Table24[[#This Row],[ValidEPD]]&lt;&gt;0,Table24[[#This Row],[Man_Ausschluss]]&lt;&gt;0),1,0)</f>
        <v>1</v>
      </c>
      <c r="AI119" s="178" cm="1">
        <f t="array" aca="1" ref="AI119" ca="1">IF(Table24[[#This Row],[gültig]]&lt;&gt;0,
IF(V119=MIN(_xlfn._xlws.FILTER($V$2:$V$282,($P$2:$P$282=P119))),1,
IF(V119=MAX(_xlfn._xlws.FILTER($V$2:$V$282,($P$2:$P$282=P119))),1,0)),0)</f>
        <v>1</v>
      </c>
      <c r="AJ119" s="180"/>
      <c r="AK119" s="118"/>
      <c r="AL119" s="2"/>
    </row>
    <row r="120" spans="1:38" ht="14.65" thickBot="1" x14ac:dyDescent="0.5">
      <c r="A120" s="95" t="s">
        <v>757</v>
      </c>
      <c r="B120" s="130"/>
      <c r="C120" s="156">
        <v>120</v>
      </c>
      <c r="D120" s="294"/>
      <c r="E120" s="295"/>
      <c r="F120" s="295"/>
      <c r="G120" s="296"/>
      <c r="H120" s="134"/>
      <c r="I120" s="297"/>
      <c r="J120" s="298"/>
      <c r="K120" s="299"/>
      <c r="L120" s="294"/>
      <c r="M120" s="143"/>
      <c r="N120" s="300"/>
      <c r="O120" s="301"/>
      <c r="P120" s="302"/>
      <c r="Q120" s="297"/>
      <c r="R120" s="295"/>
      <c r="S120" s="295"/>
      <c r="T120" s="295"/>
      <c r="U120" s="303"/>
      <c r="V120" s="93"/>
      <c r="W120" s="124"/>
      <c r="X120" s="124"/>
      <c r="Y120" s="124"/>
      <c r="Z120" s="304"/>
      <c r="AA120" s="305"/>
      <c r="AB120" s="101"/>
      <c r="AC120" s="101"/>
      <c r="AD120" s="101"/>
      <c r="AE120" s="306"/>
      <c r="AF120" s="101">
        <f ca="1">IF(OR($E120="Ecoinvent",$E120="Betonsortenrechner",$E120="KBOB",$V120&lt;=0,Table24[[#This Row],[VALID_TO]]&lt;=TODAY()),0,1)</f>
        <v>0</v>
      </c>
      <c r="AG120" s="101">
        <v>1</v>
      </c>
      <c r="AH120" s="101">
        <f ca="1">IF(AND(Table24[[#This Row],[ValidEPD]]&lt;&gt;0,Table24[[#This Row],[Man_Ausschluss]]&lt;&gt;0),1,0)</f>
        <v>0</v>
      </c>
      <c r="AI120" s="178" cm="1">
        <f t="array" aca="1" ref="AI120" ca="1">IF(Table24[[#This Row],[gültig]]&lt;&gt;0,
IF(V120=MIN(_xlfn._xlws.FILTER($V$2:$V$282,($P$2:$P$282=P120))),1,
IF(V120=MAX(_xlfn._xlws.FILTER($V$2:$V$282,($P$2:$P$282=P120))),1,0)),0)</f>
        <v>0</v>
      </c>
      <c r="AJ120" s="180"/>
      <c r="AK120" s="3"/>
      <c r="AL120" s="3"/>
    </row>
    <row r="121" spans="1:38" s="4" customFormat="1" x14ac:dyDescent="0.45">
      <c r="A121" s="167" t="s">
        <v>354</v>
      </c>
      <c r="B121" s="168"/>
      <c r="C121" s="107">
        <v>121</v>
      </c>
      <c r="D121" s="307" t="s">
        <v>141</v>
      </c>
      <c r="E121" s="170" t="s">
        <v>10</v>
      </c>
      <c r="F121" s="170"/>
      <c r="G121" s="171" t="s">
        <v>416</v>
      </c>
      <c r="H121" s="171" t="s">
        <v>416</v>
      </c>
      <c r="I121" s="82" t="s">
        <v>52</v>
      </c>
      <c r="J121" s="172"/>
      <c r="K121" s="173" t="s">
        <v>142</v>
      </c>
      <c r="L121" s="307" t="s">
        <v>328</v>
      </c>
      <c r="M121" s="169" t="s">
        <v>315</v>
      </c>
      <c r="N121" s="175" t="s">
        <v>321</v>
      </c>
      <c r="O121" s="176" t="s">
        <v>416</v>
      </c>
      <c r="P121" s="82" t="s">
        <v>1</v>
      </c>
      <c r="Q121" s="82">
        <v>440</v>
      </c>
      <c r="R121" s="170" t="s">
        <v>416</v>
      </c>
      <c r="S121" s="170" t="s">
        <v>416</v>
      </c>
      <c r="T121" s="170" t="s">
        <v>416</v>
      </c>
      <c r="U121" s="177" t="s">
        <v>416</v>
      </c>
      <c r="V121" s="178">
        <f>SUM(Table24[[#This Row],[A1toA3_GWP]:[C1toC4_GWP]])</f>
        <v>275</v>
      </c>
      <c r="W121" s="178"/>
      <c r="X121" s="178"/>
      <c r="Y121" s="178">
        <f>Table24[[#This Row],[Total_GWP]]*Table24[[#This Row],[DENSITY]]/1000</f>
        <v>121</v>
      </c>
      <c r="Z121" s="181">
        <f>85.8/Table24[[#This Row],[DENSITY]]*1000</f>
        <v>195</v>
      </c>
      <c r="AA121" s="159">
        <v>80</v>
      </c>
      <c r="AB121" s="157"/>
      <c r="AC121" s="157"/>
      <c r="AD121" s="157"/>
      <c r="AE121" s="158"/>
      <c r="AF121" s="178">
        <f ca="1">IF(OR($E121="Ecoinvent",$E121="Betonsortenrechner",$E121="KBOB",$V121&lt;=0,Table24[[#This Row],[VALID_TO]]&lt;=TODAY()),0,1)</f>
        <v>0</v>
      </c>
      <c r="AG121" s="178">
        <v>1</v>
      </c>
      <c r="AH121" s="178">
        <f ca="1">IF(AND(Table24[[#This Row],[ValidEPD]]&lt;&gt;0,Table24[[#This Row],[Man_Ausschluss]]&lt;&gt;0),1,0)</f>
        <v>0</v>
      </c>
      <c r="AI121" s="178" cm="1">
        <f t="array" aca="1" ref="AI121" ca="1">IF(Table24[[#This Row],[gültig]]&lt;&gt;0,
IF(V121=MIN(_xlfn._xlws.FILTER($V$2:$V$282,($P$2:$P$282=P121))),1,
IF(V121=MAX(_xlfn._xlws.FILTER($V$2:$V$282,($P$2:$P$282=P121))),1,0)),0)</f>
        <v>0</v>
      </c>
      <c r="AJ121" s="180"/>
      <c r="AK121" s="5"/>
      <c r="AL121" s="5"/>
    </row>
    <row r="122" spans="1:38" s="4" customFormat="1" x14ac:dyDescent="0.45">
      <c r="A122" s="167" t="s">
        <v>355</v>
      </c>
      <c r="B122" s="168"/>
      <c r="C122" s="107">
        <v>122</v>
      </c>
      <c r="D122" s="307" t="s">
        <v>144</v>
      </c>
      <c r="E122" s="170" t="s">
        <v>10</v>
      </c>
      <c r="F122" s="170"/>
      <c r="G122" s="171" t="s">
        <v>416</v>
      </c>
      <c r="H122" s="171" t="s">
        <v>416</v>
      </c>
      <c r="I122" s="82" t="s">
        <v>52</v>
      </c>
      <c r="J122" s="172"/>
      <c r="K122" s="173" t="s">
        <v>143</v>
      </c>
      <c r="L122" s="307" t="s">
        <v>328</v>
      </c>
      <c r="M122" s="169" t="s">
        <v>315</v>
      </c>
      <c r="N122" s="175" t="s">
        <v>321</v>
      </c>
      <c r="O122" s="176" t="s">
        <v>416</v>
      </c>
      <c r="P122" s="82" t="s">
        <v>1</v>
      </c>
      <c r="Q122" s="82">
        <v>440</v>
      </c>
      <c r="R122" s="170" t="s">
        <v>416</v>
      </c>
      <c r="S122" s="170" t="s">
        <v>416</v>
      </c>
      <c r="T122" s="170" t="s">
        <v>416</v>
      </c>
      <c r="U122" s="177" t="s">
        <v>416</v>
      </c>
      <c r="V122" s="178">
        <f>SUM(Table24[[#This Row],[A1toA3_GWP]:[C1toC4_GWP]])</f>
        <v>279.31818181818181</v>
      </c>
      <c r="W122" s="178"/>
      <c r="X122" s="178"/>
      <c r="Y122" s="178">
        <f>Table24[[#This Row],[Total_GWP]]*Table24[[#This Row],[DENSITY]]/1000</f>
        <v>122.9</v>
      </c>
      <c r="Z122" s="179">
        <f>87.7/Table24[[#This Row],[DENSITY]]*1000</f>
        <v>199.31818181818181</v>
      </c>
      <c r="AA122" s="159">
        <v>80</v>
      </c>
      <c r="AB122" s="157"/>
      <c r="AC122" s="157"/>
      <c r="AD122" s="157"/>
      <c r="AE122" s="158"/>
      <c r="AF122" s="178">
        <f ca="1">IF(OR($E122="Ecoinvent",$E122="Betonsortenrechner",$E122="KBOB",$V122&lt;=0,Table24[[#This Row],[VALID_TO]]&lt;=TODAY()),0,1)</f>
        <v>0</v>
      </c>
      <c r="AG122" s="178">
        <v>1</v>
      </c>
      <c r="AH122" s="178">
        <f ca="1">IF(AND(Table24[[#This Row],[ValidEPD]]&lt;&gt;0,Table24[[#This Row],[Man_Ausschluss]]&lt;&gt;0),1,0)</f>
        <v>0</v>
      </c>
      <c r="AI122" s="178" cm="1">
        <f t="array" aca="1" ref="AI122" ca="1">IF(Table24[[#This Row],[gültig]]&lt;&gt;0,
IF(V122=MIN(_xlfn._xlws.FILTER($V$2:$V$282,($P$2:$P$282=P122))),1,
IF(V122=MAX(_xlfn._xlws.FILTER($V$2:$V$282,($P$2:$P$282=P122))),1,0)),0)</f>
        <v>0</v>
      </c>
      <c r="AJ122" s="180"/>
      <c r="AK122" s="5"/>
      <c r="AL122" s="5"/>
    </row>
    <row r="123" spans="1:38" s="4" customFormat="1" x14ac:dyDescent="0.45">
      <c r="A123" s="167" t="s">
        <v>356</v>
      </c>
      <c r="B123" s="168"/>
      <c r="C123" s="107">
        <v>123</v>
      </c>
      <c r="D123" s="307" t="s">
        <v>145</v>
      </c>
      <c r="E123" s="170" t="s">
        <v>10</v>
      </c>
      <c r="F123" s="170"/>
      <c r="G123" s="171" t="s">
        <v>416</v>
      </c>
      <c r="H123" s="171" t="s">
        <v>416</v>
      </c>
      <c r="I123" s="82" t="s">
        <v>146</v>
      </c>
      <c r="J123" s="172"/>
      <c r="K123" s="173" t="s">
        <v>99</v>
      </c>
      <c r="L123" s="307" t="s">
        <v>328</v>
      </c>
      <c r="M123" s="169" t="s">
        <v>315</v>
      </c>
      <c r="N123" s="175" t="s">
        <v>321</v>
      </c>
      <c r="O123" s="176" t="s">
        <v>416</v>
      </c>
      <c r="P123" s="82" t="s">
        <v>1</v>
      </c>
      <c r="Q123" s="82">
        <v>440</v>
      </c>
      <c r="R123" s="170" t="s">
        <v>416</v>
      </c>
      <c r="S123" s="170" t="s">
        <v>416</v>
      </c>
      <c r="T123" s="170" t="s">
        <v>416</v>
      </c>
      <c r="U123" s="177" t="s">
        <v>416</v>
      </c>
      <c r="V123" s="178">
        <f>SUM(Table24[[#This Row],[A1toA3_GWP]:[C1toC4_GWP]])</f>
        <v>400.45454545454544</v>
      </c>
      <c r="W123" s="178"/>
      <c r="X123" s="178"/>
      <c r="Y123" s="178">
        <f>Table24[[#This Row],[Total_GWP]]*Table24[[#This Row],[DENSITY]]/1000</f>
        <v>176.2</v>
      </c>
      <c r="Z123" s="179">
        <f>141/Table24[[#This Row],[DENSITY]]*1000</f>
        <v>320.45454545454544</v>
      </c>
      <c r="AA123" s="159">
        <v>80</v>
      </c>
      <c r="AB123" s="157"/>
      <c r="AC123" s="157"/>
      <c r="AD123" s="157"/>
      <c r="AE123" s="158"/>
      <c r="AF123" s="178">
        <f ca="1">IF(OR($E123="Ecoinvent",$E123="Betonsortenrechner",$E123="KBOB",$V123&lt;=0,Table24[[#This Row],[VALID_TO]]&lt;=TODAY()),0,1)</f>
        <v>0</v>
      </c>
      <c r="AG123" s="178">
        <v>1</v>
      </c>
      <c r="AH123" s="178">
        <f ca="1">IF(AND(Table24[[#This Row],[ValidEPD]]&lt;&gt;0,Table24[[#This Row],[Man_Ausschluss]]&lt;&gt;0),1,0)</f>
        <v>0</v>
      </c>
      <c r="AI123" s="178" cm="1">
        <f t="array" aca="1" ref="AI123" ca="1">IF(Table24[[#This Row],[gültig]]&lt;&gt;0,
IF(V123=MIN(_xlfn._xlws.FILTER($V$2:$V$282,($P$2:$P$282=P123))),1,
IF(V123=MAX(_xlfn._xlws.FILTER($V$2:$V$282,($P$2:$P$282=P123))),1,0)),0)</f>
        <v>0</v>
      </c>
      <c r="AJ123" s="180"/>
      <c r="AK123" s="5"/>
      <c r="AL123" s="5"/>
    </row>
    <row r="124" spans="1:38" s="4" customFormat="1" x14ac:dyDescent="0.45">
      <c r="A124" s="167" t="s">
        <v>357</v>
      </c>
      <c r="B124" s="168"/>
      <c r="C124" s="107">
        <v>124</v>
      </c>
      <c r="D124" s="307" t="s">
        <v>147</v>
      </c>
      <c r="E124" s="170" t="s">
        <v>10</v>
      </c>
      <c r="F124" s="170"/>
      <c r="G124" s="273" t="s">
        <v>416</v>
      </c>
      <c r="H124" s="171" t="s">
        <v>416</v>
      </c>
      <c r="I124" s="82" t="s">
        <v>148</v>
      </c>
      <c r="J124" s="172"/>
      <c r="K124" s="173" t="s">
        <v>113</v>
      </c>
      <c r="L124" s="307" t="s">
        <v>491</v>
      </c>
      <c r="M124" s="169" t="s">
        <v>315</v>
      </c>
      <c r="N124" s="175" t="s">
        <v>494</v>
      </c>
      <c r="O124" s="176" t="s">
        <v>416</v>
      </c>
      <c r="P124" s="82" t="s">
        <v>1</v>
      </c>
      <c r="Q124" s="82">
        <v>435</v>
      </c>
      <c r="R124" s="170" t="s">
        <v>416</v>
      </c>
      <c r="S124" s="170" t="s">
        <v>416</v>
      </c>
      <c r="T124" s="170" t="s">
        <v>416</v>
      </c>
      <c r="U124" s="177" t="s">
        <v>416</v>
      </c>
      <c r="V124" s="178">
        <f>SUM(Table24[[#This Row],[A1toA3_GWP]:[C1toC4_GWP]])</f>
        <v>415.63218390804599</v>
      </c>
      <c r="W124" s="178"/>
      <c r="X124" s="178"/>
      <c r="Y124" s="178">
        <f>Table24[[#This Row],[Total_GWP]]*Table24[[#This Row],[DENSITY]]/1000</f>
        <v>180.8</v>
      </c>
      <c r="Z124" s="179">
        <f>146/Table24[[#This Row],[DENSITY]]*1000</f>
        <v>335.63218390804599</v>
      </c>
      <c r="AA124" s="159">
        <v>80</v>
      </c>
      <c r="AB124" s="157"/>
      <c r="AC124" s="157"/>
      <c r="AD124" s="157"/>
      <c r="AE124" s="159"/>
      <c r="AF124" s="178">
        <f ca="1">IF(OR($E124="Ecoinvent",$E124="Betonsortenrechner",$E124="KBOB",$V124&lt;=0,Table24[[#This Row],[VALID_TO]]&lt;=TODAY()),0,1)</f>
        <v>0</v>
      </c>
      <c r="AG124" s="178">
        <v>1</v>
      </c>
      <c r="AH124" s="178">
        <f ca="1">IF(AND(Table24[[#This Row],[ValidEPD]]&lt;&gt;0,Table24[[#This Row],[Man_Ausschluss]]&lt;&gt;0),1,0)</f>
        <v>0</v>
      </c>
      <c r="AI124" s="178" cm="1">
        <f t="array" aca="1" ref="AI124" ca="1">IF(Table24[[#This Row],[gültig]]&lt;&gt;0,
IF(V124=MIN(_xlfn._xlws.FILTER($V$2:$V$282,($P$2:$P$282=P124))),1,
IF(V124=MAX(_xlfn._xlws.FILTER($V$2:$V$282,($P$2:$P$282=P124))),1,0)),0)</f>
        <v>0</v>
      </c>
      <c r="AJ124" s="180"/>
      <c r="AK124" s="5"/>
      <c r="AL124" s="5"/>
    </row>
    <row r="125" spans="1:38" s="4" customFormat="1" x14ac:dyDescent="0.45">
      <c r="A125" s="167" t="s">
        <v>358</v>
      </c>
      <c r="B125" s="168"/>
      <c r="C125" s="107">
        <v>125</v>
      </c>
      <c r="D125" s="307" t="s">
        <v>151</v>
      </c>
      <c r="E125" s="170" t="s">
        <v>10</v>
      </c>
      <c r="F125" s="170"/>
      <c r="G125" s="171" t="s">
        <v>416</v>
      </c>
      <c r="H125" s="171" t="s">
        <v>416</v>
      </c>
      <c r="I125" s="82" t="s">
        <v>148</v>
      </c>
      <c r="J125" s="172"/>
      <c r="K125" s="173" t="s">
        <v>109</v>
      </c>
      <c r="L125" s="307" t="s">
        <v>329</v>
      </c>
      <c r="M125" s="169" t="s">
        <v>315</v>
      </c>
      <c r="N125" s="175" t="s">
        <v>322</v>
      </c>
      <c r="O125" s="176" t="s">
        <v>416</v>
      </c>
      <c r="P125" s="82" t="s">
        <v>114</v>
      </c>
      <c r="Q125" s="82">
        <v>470</v>
      </c>
      <c r="R125" s="170" t="s">
        <v>416</v>
      </c>
      <c r="S125" s="170" t="s">
        <v>416</v>
      </c>
      <c r="T125" s="170" t="s">
        <v>416</v>
      </c>
      <c r="U125" s="177" t="s">
        <v>416</v>
      </c>
      <c r="V125" s="178">
        <f>SUM(Table24[[#This Row],[A1toA3_GWP]:[C1toC4_GWP]])</f>
        <v>362.97872340425533</v>
      </c>
      <c r="W125" s="178"/>
      <c r="X125" s="178"/>
      <c r="Y125" s="178">
        <f>Table24[[#This Row],[Total_GWP]]*Table24[[#This Row],[DENSITY]]/1000</f>
        <v>170.6</v>
      </c>
      <c r="Z125" s="179">
        <f>133/Table24[[#This Row],[DENSITY]]*1000</f>
        <v>282.97872340425533</v>
      </c>
      <c r="AA125" s="159">
        <v>80</v>
      </c>
      <c r="AB125" s="157"/>
      <c r="AC125" s="157"/>
      <c r="AD125" s="157"/>
      <c r="AE125" s="159"/>
      <c r="AF125" s="178">
        <f ca="1">IF(OR($E125="Ecoinvent",$E125="Betonsortenrechner",$E125="KBOB",$V125&lt;=0,Table24[[#This Row],[VALID_TO]]&lt;=TODAY()),0,1)</f>
        <v>0</v>
      </c>
      <c r="AG125" s="178">
        <v>1</v>
      </c>
      <c r="AH125" s="178">
        <f ca="1">IF(AND(Table24[[#This Row],[ValidEPD]]&lt;&gt;0,Table24[[#This Row],[Man_Ausschluss]]&lt;&gt;0),1,0)</f>
        <v>0</v>
      </c>
      <c r="AI125" s="178" cm="1">
        <f t="array" aca="1" ref="AI125" ca="1">IF(Table24[[#This Row],[gültig]]&lt;&gt;0,
IF(V125=MIN(_xlfn._xlws.FILTER($V$2:$V$282,($P$2:$P$282=P125))),1,
IF(V125=MAX(_xlfn._xlws.FILTER($V$2:$V$282,($P$2:$P$282=P125))),1,0)),0)</f>
        <v>0</v>
      </c>
      <c r="AJ125" s="180"/>
      <c r="AK125" s="5"/>
      <c r="AL125" s="5"/>
    </row>
    <row r="126" spans="1:38" s="4" customFormat="1" x14ac:dyDescent="0.45">
      <c r="A126" s="167" t="s">
        <v>359</v>
      </c>
      <c r="B126" s="168"/>
      <c r="C126" s="107">
        <v>126</v>
      </c>
      <c r="D126" s="307" t="s">
        <v>152</v>
      </c>
      <c r="E126" s="170" t="s">
        <v>10</v>
      </c>
      <c r="F126" s="170"/>
      <c r="G126" s="171" t="s">
        <v>416</v>
      </c>
      <c r="H126" s="171" t="s">
        <v>416</v>
      </c>
      <c r="I126" s="82" t="s">
        <v>148</v>
      </c>
      <c r="J126" s="172"/>
      <c r="K126" s="173" t="s">
        <v>153</v>
      </c>
      <c r="L126" s="307" t="s">
        <v>329</v>
      </c>
      <c r="M126" s="169" t="s">
        <v>315</v>
      </c>
      <c r="N126" s="175" t="s">
        <v>322</v>
      </c>
      <c r="O126" s="176" t="s">
        <v>416</v>
      </c>
      <c r="P126" s="82" t="s">
        <v>114</v>
      </c>
      <c r="Q126" s="82">
        <v>470</v>
      </c>
      <c r="R126" s="170" t="s">
        <v>416</v>
      </c>
      <c r="S126" s="170" t="s">
        <v>416</v>
      </c>
      <c r="T126" s="170" t="s">
        <v>416</v>
      </c>
      <c r="U126" s="177" t="s">
        <v>416</v>
      </c>
      <c r="V126" s="178">
        <f>SUM(Table24[[#This Row],[A1toA3_GWP]:[C1toC4_GWP]])</f>
        <v>280.21276595744678</v>
      </c>
      <c r="W126" s="178"/>
      <c r="X126" s="178"/>
      <c r="Y126" s="178">
        <f>Table24[[#This Row],[Total_GWP]]*Table24[[#This Row],[DENSITY]]/1000</f>
        <v>131.69999999999996</v>
      </c>
      <c r="Z126" s="179">
        <f>94.1/Table24[[#This Row],[DENSITY]]*1000</f>
        <v>200.21276595744681</v>
      </c>
      <c r="AA126" s="159">
        <v>80</v>
      </c>
      <c r="AB126" s="157"/>
      <c r="AC126" s="157"/>
      <c r="AD126" s="157"/>
      <c r="AE126" s="159"/>
      <c r="AF126" s="178">
        <f ca="1">IF(OR($E126="Ecoinvent",$E126="Betonsortenrechner",$E126="KBOB",$V126&lt;=0,Table24[[#This Row],[VALID_TO]]&lt;=TODAY()),0,1)</f>
        <v>0</v>
      </c>
      <c r="AG126" s="178">
        <v>1</v>
      </c>
      <c r="AH126" s="178">
        <f ca="1">IF(AND(Table24[[#This Row],[ValidEPD]]&lt;&gt;0,Table24[[#This Row],[Man_Ausschluss]]&lt;&gt;0),1,0)</f>
        <v>0</v>
      </c>
      <c r="AI126" s="178" cm="1">
        <f t="array" aca="1" ref="AI126" ca="1">IF(Table24[[#This Row],[gültig]]&lt;&gt;0,
IF(V126=MIN(_xlfn._xlws.FILTER($V$2:$V$282,($P$2:$P$282=P126))),1,
IF(V126=MAX(_xlfn._xlws.FILTER($V$2:$V$282,($P$2:$P$282=P126))),1,0)),0)</f>
        <v>0</v>
      </c>
      <c r="AJ126" s="180"/>
      <c r="AK126" s="5"/>
      <c r="AL126" s="5"/>
    </row>
    <row r="127" spans="1:38" s="8" customFormat="1" x14ac:dyDescent="0.45">
      <c r="A127" s="237" t="s">
        <v>369</v>
      </c>
      <c r="B127" s="238"/>
      <c r="C127" s="112">
        <v>127</v>
      </c>
      <c r="D127" s="274" t="s">
        <v>416</v>
      </c>
      <c r="E127" s="240" t="s">
        <v>833</v>
      </c>
      <c r="F127" s="308" t="s">
        <v>482</v>
      </c>
      <c r="G127" s="273"/>
      <c r="H127" s="241"/>
      <c r="I127" s="242" t="s">
        <v>52</v>
      </c>
      <c r="J127" s="253" t="s">
        <v>52</v>
      </c>
      <c r="K127" s="344" t="s">
        <v>4</v>
      </c>
      <c r="L127" s="274" t="s">
        <v>328</v>
      </c>
      <c r="M127" s="239" t="s">
        <v>315</v>
      </c>
      <c r="N127" s="245" t="s">
        <v>321</v>
      </c>
      <c r="O127" s="252" t="s">
        <v>416</v>
      </c>
      <c r="P127" s="242" t="s">
        <v>416</v>
      </c>
      <c r="Q127" s="342">
        <v>439</v>
      </c>
      <c r="R127" s="240" t="s">
        <v>416</v>
      </c>
      <c r="S127" s="240" t="s">
        <v>416</v>
      </c>
      <c r="T127" s="240" t="s">
        <v>416</v>
      </c>
      <c r="U127" s="247" t="s">
        <v>416</v>
      </c>
      <c r="V127" s="248">
        <f>SUM(Table24[[#This Row],[A1toA3_GWP]:[C1toC4_GWP]])</f>
        <v>253.2</v>
      </c>
      <c r="W127" s="248"/>
      <c r="X127" s="248"/>
      <c r="Y127" s="248">
        <f>Table24[[#This Row],[Total_GWP]]*Table24[[#This Row],[DENSITY]]/1000</f>
        <v>111.15479999999999</v>
      </c>
      <c r="Z127" s="348">
        <v>204</v>
      </c>
      <c r="AA127" s="338">
        <v>49.2</v>
      </c>
      <c r="AB127" s="160"/>
      <c r="AC127" s="160"/>
      <c r="AD127" s="160"/>
      <c r="AE127" s="161"/>
      <c r="AF127" s="160">
        <f ca="1">IF(OR($E127="Ecoinvent",$E127="Betonsortenrechner",$E127="KBOB",$V127&lt;=0,Table24[[#This Row],[VALID_TO]]&lt;=TODAY()),0,1)</f>
        <v>0</v>
      </c>
      <c r="AG127" s="160">
        <v>1</v>
      </c>
      <c r="AH127" s="160">
        <f ca="1">IF(AND(Table24[[#This Row],[ValidEPD]]&lt;&gt;0,Table24[[#This Row],[Man_Ausschluss]]&lt;&gt;0),1,0)</f>
        <v>0</v>
      </c>
      <c r="AI127" s="178" cm="1">
        <f t="array" aca="1" ref="AI127" ca="1">IF(Table24[[#This Row],[gültig]]&lt;&gt;0,
IF(V127=MIN(_xlfn._xlws.FILTER($V$2:$V$282,($P$2:$P$282=P127))),1,
IF(V127=MAX(_xlfn._xlws.FILTER($V$2:$V$282,($P$2:$P$282=P127))),1,0)),0)</f>
        <v>0</v>
      </c>
      <c r="AJ127" s="180"/>
      <c r="AK127" s="9"/>
      <c r="AL127" s="9"/>
    </row>
    <row r="128" spans="1:38" s="8" customFormat="1" x14ac:dyDescent="0.45">
      <c r="A128" s="237" t="s">
        <v>223</v>
      </c>
      <c r="B128" s="238"/>
      <c r="C128" s="112">
        <v>128</v>
      </c>
      <c r="D128" s="274" t="s">
        <v>416</v>
      </c>
      <c r="E128" s="240" t="s">
        <v>833</v>
      </c>
      <c r="F128" s="272">
        <v>7.0030000000000001</v>
      </c>
      <c r="G128" s="273"/>
      <c r="H128" s="241"/>
      <c r="I128" s="242"/>
      <c r="J128" s="253"/>
      <c r="K128" s="344" t="s">
        <v>479</v>
      </c>
      <c r="L128" s="274" t="s">
        <v>328</v>
      </c>
      <c r="M128" s="239" t="s">
        <v>315</v>
      </c>
      <c r="N128" s="245" t="s">
        <v>321</v>
      </c>
      <c r="O128" s="252" t="s">
        <v>416</v>
      </c>
      <c r="P128" s="242" t="s">
        <v>416</v>
      </c>
      <c r="Q128" s="342">
        <v>439</v>
      </c>
      <c r="R128" s="240" t="s">
        <v>416</v>
      </c>
      <c r="S128" s="240" t="s">
        <v>416</v>
      </c>
      <c r="T128" s="240" t="s">
        <v>416</v>
      </c>
      <c r="U128" s="247" t="s">
        <v>416</v>
      </c>
      <c r="V128" s="248">
        <f>SUM(Table24[[#This Row],[A1toA3_GWP]:[C1toC4_GWP]])</f>
        <v>335.2</v>
      </c>
      <c r="W128" s="248"/>
      <c r="X128" s="248"/>
      <c r="Y128" s="248">
        <f>Table24[[#This Row],[Total_GWP]]*Table24[[#This Row],[DENSITY]]/1000</f>
        <v>147.15279999999998</v>
      </c>
      <c r="Z128" s="348">
        <v>286</v>
      </c>
      <c r="AA128" s="338">
        <v>49.2</v>
      </c>
      <c r="AB128" s="160"/>
      <c r="AC128" s="160"/>
      <c r="AD128" s="160"/>
      <c r="AE128" s="161"/>
      <c r="AF128" s="160">
        <f ca="1">IF(OR($E128="Ecoinvent",$E128="Betonsortenrechner",$E128="KBOB",$V128&lt;=0,Table24[[#This Row],[VALID_TO]]&lt;=TODAY()),0,1)</f>
        <v>0</v>
      </c>
      <c r="AG128" s="160">
        <v>1</v>
      </c>
      <c r="AH128" s="160">
        <f ca="1">IF(AND(Table24[[#This Row],[ValidEPD]]&lt;&gt;0,Table24[[#This Row],[Man_Ausschluss]]&lt;&gt;0),1,0)</f>
        <v>0</v>
      </c>
      <c r="AI128" s="178" cm="1">
        <f t="array" aca="1" ref="AI128" ca="1">IF(Table24[[#This Row],[gültig]]&lt;&gt;0,
IF(V128=MIN(_xlfn._xlws.FILTER($V$2:$V$282,($P$2:$P$282=P128))),1,
IF(V128=MAX(_xlfn._xlws.FILTER($V$2:$V$282,($P$2:$P$282=P128))),1,0)),0)</f>
        <v>0</v>
      </c>
      <c r="AJ128" s="180"/>
      <c r="AK128" s="9"/>
      <c r="AL128" s="9"/>
    </row>
    <row r="129" spans="1:38" s="8" customFormat="1" x14ac:dyDescent="0.45">
      <c r="A129" s="237" t="s">
        <v>222</v>
      </c>
      <c r="B129" s="238"/>
      <c r="C129" s="112">
        <v>129</v>
      </c>
      <c r="D129" s="274" t="s">
        <v>416</v>
      </c>
      <c r="E129" s="240" t="s">
        <v>833</v>
      </c>
      <c r="F129" s="349" t="s">
        <v>483</v>
      </c>
      <c r="G129" s="273"/>
      <c r="H129" s="241"/>
      <c r="I129" s="242" t="s">
        <v>52</v>
      </c>
      <c r="J129" s="253" t="s">
        <v>52</v>
      </c>
      <c r="K129" s="344" t="s">
        <v>149</v>
      </c>
      <c r="L129" s="274" t="s">
        <v>491</v>
      </c>
      <c r="M129" s="239" t="s">
        <v>315</v>
      </c>
      <c r="N129" s="245" t="s">
        <v>494</v>
      </c>
      <c r="O129" s="252" t="s">
        <v>416</v>
      </c>
      <c r="P129" s="242" t="s">
        <v>416</v>
      </c>
      <c r="Q129" s="342">
        <v>436</v>
      </c>
      <c r="R129" s="240" t="s">
        <v>416</v>
      </c>
      <c r="S129" s="240" t="s">
        <v>416</v>
      </c>
      <c r="T129" s="240" t="s">
        <v>416</v>
      </c>
      <c r="U129" s="247" t="s">
        <v>416</v>
      </c>
      <c r="V129" s="248">
        <f>SUM(Table24[[#This Row],[A1toA3_GWP]:[C1toC4_GWP]])</f>
        <v>250.2</v>
      </c>
      <c r="W129" s="248"/>
      <c r="X129" s="248"/>
      <c r="Y129" s="248">
        <f>Table24[[#This Row],[Total_GWP]]*Table24[[#This Row],[DENSITY]]/1000</f>
        <v>109.0872</v>
      </c>
      <c r="Z129" s="348">
        <v>201</v>
      </c>
      <c r="AA129" s="338">
        <v>49.2</v>
      </c>
      <c r="AB129" s="160"/>
      <c r="AC129" s="160"/>
      <c r="AD129" s="160"/>
      <c r="AE129" s="161"/>
      <c r="AF129" s="160">
        <f ca="1">IF(OR($E129="Ecoinvent",$E129="Betonsortenrechner",$E129="KBOB",$V129&lt;=0,Table24[[#This Row],[VALID_TO]]&lt;=TODAY()),0,1)</f>
        <v>0</v>
      </c>
      <c r="AG129" s="160">
        <v>1</v>
      </c>
      <c r="AH129" s="160">
        <f ca="1">IF(AND(Table24[[#This Row],[ValidEPD]]&lt;&gt;0,Table24[[#This Row],[Man_Ausschluss]]&lt;&gt;0),1,0)</f>
        <v>0</v>
      </c>
      <c r="AI129" s="178" cm="1">
        <f t="array" aca="1" ref="AI129" ca="1">IF(Table24[[#This Row],[gültig]]&lt;&gt;0,
IF(V129=MIN(_xlfn._xlws.FILTER($V$2:$V$282,($P$2:$P$282=P129))),1,
IF(V129=MAX(_xlfn._xlws.FILTER($V$2:$V$282,($P$2:$P$282=P129))),1,0)),0)</f>
        <v>0</v>
      </c>
      <c r="AJ129" s="180"/>
      <c r="AK129" s="9"/>
      <c r="AL129" s="9"/>
    </row>
    <row r="130" spans="1:38" s="8" customFormat="1" x14ac:dyDescent="0.45">
      <c r="A130" s="237" t="s">
        <v>221</v>
      </c>
      <c r="B130" s="238"/>
      <c r="C130" s="112">
        <v>130</v>
      </c>
      <c r="D130" s="274" t="s">
        <v>416</v>
      </c>
      <c r="E130" s="240" t="s">
        <v>833</v>
      </c>
      <c r="F130" s="272">
        <v>7.02</v>
      </c>
      <c r="G130" s="273"/>
      <c r="H130" s="241"/>
      <c r="I130" s="242"/>
      <c r="J130" s="253"/>
      <c r="K130" s="344" t="s">
        <v>150</v>
      </c>
      <c r="L130" s="274" t="s">
        <v>491</v>
      </c>
      <c r="M130" s="239" t="s">
        <v>315</v>
      </c>
      <c r="N130" s="245" t="s">
        <v>494</v>
      </c>
      <c r="O130" s="252" t="s">
        <v>416</v>
      </c>
      <c r="P130" s="242" t="s">
        <v>416</v>
      </c>
      <c r="Q130" s="342">
        <v>424</v>
      </c>
      <c r="R130" s="240" t="s">
        <v>416</v>
      </c>
      <c r="S130" s="240" t="s">
        <v>416</v>
      </c>
      <c r="T130" s="240" t="s">
        <v>416</v>
      </c>
      <c r="U130" s="247" t="s">
        <v>416</v>
      </c>
      <c r="V130" s="248">
        <f>SUM(Table24[[#This Row],[A1toA3_GWP]:[C1toC4_GWP]])</f>
        <v>365.2</v>
      </c>
      <c r="W130" s="248"/>
      <c r="X130" s="248"/>
      <c r="Y130" s="248">
        <f>Table24[[#This Row],[Total_GWP]]*Table24[[#This Row],[DENSITY]]/1000</f>
        <v>154.84479999999999</v>
      </c>
      <c r="Z130" s="348">
        <v>316</v>
      </c>
      <c r="AA130" s="338">
        <v>49.2</v>
      </c>
      <c r="AB130" s="160"/>
      <c r="AC130" s="160"/>
      <c r="AD130" s="160"/>
      <c r="AE130" s="161"/>
      <c r="AF130" s="160">
        <f ca="1">IF(OR($E130="Ecoinvent",$E130="Betonsortenrechner",$E130="KBOB",$V130&lt;=0,Table24[[#This Row],[VALID_TO]]&lt;=TODAY()),0,1)</f>
        <v>0</v>
      </c>
      <c r="AG130" s="160">
        <v>1</v>
      </c>
      <c r="AH130" s="160">
        <f ca="1">IF(AND(Table24[[#This Row],[ValidEPD]]&lt;&gt;0,Table24[[#This Row],[Man_Ausschluss]]&lt;&gt;0),1,0)</f>
        <v>0</v>
      </c>
      <c r="AI130" s="178" cm="1">
        <f t="array" aca="1" ref="AI130" ca="1">IF(Table24[[#This Row],[gültig]]&lt;&gt;0,
IF(V130=MIN(_xlfn._xlws.FILTER($V$2:$V$282,($P$2:$P$282=P130))),1,
IF(V130=MAX(_xlfn._xlws.FILTER($V$2:$V$282,($P$2:$P$282=P130))),1,0)),0)</f>
        <v>0</v>
      </c>
      <c r="AJ130" s="180"/>
      <c r="AK130" s="9"/>
      <c r="AL130" s="9"/>
    </row>
    <row r="131" spans="1:38" s="8" customFormat="1" x14ac:dyDescent="0.45">
      <c r="A131" s="237" t="s">
        <v>220</v>
      </c>
      <c r="B131" s="238"/>
      <c r="C131" s="112">
        <v>131</v>
      </c>
      <c r="D131" s="274" t="s">
        <v>416</v>
      </c>
      <c r="E131" s="251" t="s">
        <v>833</v>
      </c>
      <c r="F131" s="350">
        <v>7.0229999999999997</v>
      </c>
      <c r="G131" s="273"/>
      <c r="H131" s="241"/>
      <c r="I131" s="242"/>
      <c r="J131" s="253"/>
      <c r="K131" s="344" t="s">
        <v>783</v>
      </c>
      <c r="L131" s="274" t="s">
        <v>329</v>
      </c>
      <c r="M131" s="239" t="s">
        <v>315</v>
      </c>
      <c r="N131" s="245" t="s">
        <v>322</v>
      </c>
      <c r="O131" s="252" t="s">
        <v>416</v>
      </c>
      <c r="P131" s="242" t="s">
        <v>416</v>
      </c>
      <c r="Q131" s="342">
        <v>436</v>
      </c>
      <c r="R131" s="240" t="s">
        <v>416</v>
      </c>
      <c r="S131" s="240" t="s">
        <v>416</v>
      </c>
      <c r="T131" s="240" t="s">
        <v>416</v>
      </c>
      <c r="U131" s="247" t="s">
        <v>416</v>
      </c>
      <c r="V131" s="248">
        <f>SUM(Table24[[#This Row],[A1toA3_GWP]:[C1toC4_GWP]])</f>
        <v>283</v>
      </c>
      <c r="W131" s="248"/>
      <c r="X131" s="248"/>
      <c r="Y131" s="248">
        <f>Table24[[#This Row],[Total_GWP]]*Table24[[#This Row],[DENSITY]]/1000</f>
        <v>123.38800000000001</v>
      </c>
      <c r="Z131" s="348">
        <v>244</v>
      </c>
      <c r="AA131" s="338">
        <v>39</v>
      </c>
      <c r="AB131" s="160"/>
      <c r="AC131" s="160"/>
      <c r="AD131" s="160"/>
      <c r="AE131" s="161"/>
      <c r="AF131" s="160">
        <f ca="1">IF(OR($E131="Ecoinvent",$E131="Betonsortenrechner",$E131="KBOB",$V131&lt;=0,Table24[[#This Row],[VALID_TO]]&lt;=TODAY()),0,1)</f>
        <v>0</v>
      </c>
      <c r="AG131" s="160">
        <v>1</v>
      </c>
      <c r="AH131" s="160">
        <f ca="1">IF(AND(Table24[[#This Row],[ValidEPD]]&lt;&gt;0,Table24[[#This Row],[Man_Ausschluss]]&lt;&gt;0),1,0)</f>
        <v>0</v>
      </c>
      <c r="AI131" s="178" cm="1">
        <f t="array" aca="1" ref="AI131" ca="1">IF(Table24[[#This Row],[gültig]]&lt;&gt;0,
IF(V131=MIN(_xlfn._xlws.FILTER($V$2:$V$282,($P$2:$P$282=P131))),1,
IF(V131=MAX(_xlfn._xlws.FILTER($V$2:$V$282,($P$2:$P$282=P131))),1,0)),0)</f>
        <v>0</v>
      </c>
      <c r="AJ131" s="180"/>
      <c r="AK131" s="9"/>
      <c r="AL131" s="9"/>
    </row>
    <row r="132" spans="1:38" s="8" customFormat="1" x14ac:dyDescent="0.45">
      <c r="A132" s="237" t="s">
        <v>830</v>
      </c>
      <c r="B132" s="200"/>
      <c r="C132" s="112">
        <v>132</v>
      </c>
      <c r="D132" s="274" t="s">
        <v>416</v>
      </c>
      <c r="E132" s="251" t="s">
        <v>833</v>
      </c>
      <c r="F132" s="350" t="s">
        <v>831</v>
      </c>
      <c r="G132" s="354"/>
      <c r="H132" s="354"/>
      <c r="I132" s="353"/>
      <c r="J132" s="204"/>
      <c r="K132" s="344" t="s">
        <v>832</v>
      </c>
      <c r="L132" s="274" t="s">
        <v>328</v>
      </c>
      <c r="M132" s="239" t="s">
        <v>315</v>
      </c>
      <c r="N132" s="245" t="s">
        <v>321</v>
      </c>
      <c r="O132" s="252" t="s">
        <v>416</v>
      </c>
      <c r="P132" s="242" t="s">
        <v>416</v>
      </c>
      <c r="Q132" s="342">
        <v>700</v>
      </c>
      <c r="R132" s="352"/>
      <c r="S132" s="352"/>
      <c r="T132" s="352"/>
      <c r="U132" s="355"/>
      <c r="V132" s="248">
        <f>SUM(Table24[[#This Row],[A1toA3_GWP]:[C1toC4_GWP]])</f>
        <v>367.5</v>
      </c>
      <c r="W132" s="248"/>
      <c r="X132" s="248"/>
      <c r="Y132" s="248">
        <f>Table24[[#This Row],[Total_GWP]]*Table24[[#This Row],[DENSITY]]/1000</f>
        <v>257.25</v>
      </c>
      <c r="Z132" s="348">
        <v>306</v>
      </c>
      <c r="AA132" s="338">
        <v>61.5</v>
      </c>
      <c r="AB132" s="83"/>
      <c r="AC132" s="83"/>
      <c r="AD132" s="83"/>
      <c r="AE132" s="81"/>
      <c r="AF132" s="160">
        <f ca="1">IF(OR($E132="Ecoinvent",$E132="Betonsortenrechner",$E132="KBOB",$V132&lt;=0,Table24[[#This Row],[VALID_TO]]&lt;=TODAY()),0,1)</f>
        <v>0</v>
      </c>
      <c r="AG132" s="160">
        <v>1</v>
      </c>
      <c r="AH132" s="160">
        <f ca="1">IF(AND(Table24[[#This Row],[ValidEPD]]&lt;&gt;0,Table24[[#This Row],[Man_Ausschluss]]&lt;&gt;0),1,0)</f>
        <v>0</v>
      </c>
      <c r="AI132" s="178" cm="1">
        <f t="array" aca="1" ref="AI132" ca="1">IF(Table24[[#This Row],[gültig]]&lt;&gt;0,
IF(V132=MIN(_xlfn._xlws.FILTER($V$2:$V$282,($P$2:$P$282=P132))),1,
IF(V132=MAX(_xlfn._xlws.FILTER($V$2:$V$282,($P$2:$P$282=P132))),1,0)),0)</f>
        <v>0</v>
      </c>
      <c r="AJ132" s="180"/>
      <c r="AK132" s="356"/>
      <c r="AL132" s="2"/>
    </row>
    <row r="133" spans="1:38" x14ac:dyDescent="0.45">
      <c r="A133" s="199" t="s">
        <v>231</v>
      </c>
      <c r="B133" s="200" t="s">
        <v>502</v>
      </c>
      <c r="C133" s="115">
        <v>134</v>
      </c>
      <c r="D133" s="201" t="s">
        <v>96</v>
      </c>
      <c r="E133" s="202" t="s">
        <v>97</v>
      </c>
      <c r="F133" s="202"/>
      <c r="G133" s="203">
        <v>43248</v>
      </c>
      <c r="H133" s="286">
        <v>45439</v>
      </c>
      <c r="I133" s="96" t="s">
        <v>52</v>
      </c>
      <c r="J133" s="204" t="s">
        <v>52</v>
      </c>
      <c r="K133" s="205" t="s">
        <v>99</v>
      </c>
      <c r="L133" s="281" t="s">
        <v>328</v>
      </c>
      <c r="M133" s="201" t="s">
        <v>315</v>
      </c>
      <c r="N133" s="207" t="s">
        <v>321</v>
      </c>
      <c r="O133" s="208" t="s">
        <v>416</v>
      </c>
      <c r="P133" s="96" t="s">
        <v>1</v>
      </c>
      <c r="Q133" s="96">
        <v>427</v>
      </c>
      <c r="R133" s="202" t="s">
        <v>416</v>
      </c>
      <c r="S133" s="202" t="s">
        <v>416</v>
      </c>
      <c r="T133" s="202" t="s">
        <v>416</v>
      </c>
      <c r="U133" s="209" t="s">
        <v>416</v>
      </c>
      <c r="V133" s="123">
        <f>SUM(Table24[[#This Row],[A1toA3_GWP]:[C1toC4_GWP]])</f>
        <v>169.48477751756423</v>
      </c>
      <c r="W133" s="123">
        <f>VLOOKUP(Table24[[#This Row],[Country PRODUCTION]],[1]Sheet1!$B$11:$F$30,4,FALSE)+Table24[[#This Row],[Total_GWP]]</f>
        <v>174.16477751756423</v>
      </c>
      <c r="X133" s="123">
        <f>VLOOKUP(Table24[[#This Row],[Country PRODUCTION]],[1]Sheet1!$B$11:$F$30,5,FALSE)+Table24[[#This Row],[Total_GWP]]</f>
        <v>169.96477751756422</v>
      </c>
      <c r="Y133" s="123">
        <f>Table24[[#This Row],[Total_GWP]]*Table24[[#This Row],[DENSITY]]/1000</f>
        <v>72.369999999999933</v>
      </c>
      <c r="Z133" s="149">
        <f>-615/Table24[[#This Row],[DENSITY]]*1000</f>
        <v>-1440.2810304449649</v>
      </c>
      <c r="AA133" s="81">
        <f>(1.37+686)/Table24[[#This Row],[DENSITY]]*1000</f>
        <v>1609.7658079625292</v>
      </c>
      <c r="AB133" s="87">
        <f>SUM(Table24[[#This Row],[A1toA3_GWP-biogenic]:[C1toC4_GWP-biogenic]])</f>
        <v>0</v>
      </c>
      <c r="AC133" s="123">
        <f>Table24[[#This Row],[GWP-biogenic]]*Table24[[#This Row],[DENSITY]]/1000</f>
        <v>0</v>
      </c>
      <c r="AD133" s="83" t="s">
        <v>416</v>
      </c>
      <c r="AE133" s="81" t="s">
        <v>416</v>
      </c>
      <c r="AF133" s="92">
        <f ca="1">IF(OR($E133="Ecoinvent",$E133="Betonsortenrechner",$E133="KBOB",$V133&lt;=0,Table24[[#This Row],[VALID_TO]]&lt;=TODAY()),0,1)</f>
        <v>0</v>
      </c>
      <c r="AG133" s="92">
        <v>1</v>
      </c>
      <c r="AH133" s="92">
        <f ca="1">IF(AND(Table24[[#This Row],[ValidEPD]]&lt;&gt;0,Table24[[#This Row],[Man_Ausschluss]]&lt;&gt;0),1,0)</f>
        <v>0</v>
      </c>
      <c r="AI133" s="178" cm="1">
        <f t="array" aca="1" ref="AI133" ca="1">IF(Table24[[#This Row],[gültig]]&lt;&gt;0,
IF(V133=MIN(_xlfn._xlws.FILTER($V$2:$V$282,($P$2:$P$282=P133))),1,
IF(V133=MAX(_xlfn._xlws.FILTER($V$2:$V$282,($P$2:$P$282=P133))),1,0)),0)</f>
        <v>0</v>
      </c>
      <c r="AJ133" s="180"/>
      <c r="AK133" s="2" t="s">
        <v>417</v>
      </c>
      <c r="AL133" s="2"/>
    </row>
    <row r="134" spans="1:38" x14ac:dyDescent="0.45">
      <c r="A134" s="199" t="s">
        <v>231</v>
      </c>
      <c r="B134" s="200" t="s">
        <v>518</v>
      </c>
      <c r="C134" s="111">
        <v>135</v>
      </c>
      <c r="D134" s="201" t="s">
        <v>96</v>
      </c>
      <c r="E134" s="202" t="s">
        <v>97</v>
      </c>
      <c r="F134" s="202"/>
      <c r="G134" s="203">
        <v>43248</v>
      </c>
      <c r="H134" s="286">
        <v>45439</v>
      </c>
      <c r="I134" s="96" t="s">
        <v>52</v>
      </c>
      <c r="J134" s="204" t="s">
        <v>52</v>
      </c>
      <c r="K134" s="205" t="s">
        <v>99</v>
      </c>
      <c r="L134" s="281" t="s">
        <v>328</v>
      </c>
      <c r="M134" s="201" t="s">
        <v>315</v>
      </c>
      <c r="N134" s="207" t="s">
        <v>321</v>
      </c>
      <c r="O134" s="208" t="s">
        <v>416</v>
      </c>
      <c r="P134" s="96" t="s">
        <v>524</v>
      </c>
      <c r="Q134" s="96">
        <v>427</v>
      </c>
      <c r="R134" s="202" t="s">
        <v>416</v>
      </c>
      <c r="S134" s="202" t="s">
        <v>416</v>
      </c>
      <c r="T134" s="202" t="s">
        <v>416</v>
      </c>
      <c r="U134" s="209" t="s">
        <v>416</v>
      </c>
      <c r="V134" s="123">
        <f>SUM(Table24[[#This Row],[A1toA3_GWP]:[C1toC4_GWP]])</f>
        <v>169.48477751756423</v>
      </c>
      <c r="W134" s="123">
        <f>VLOOKUP(Table24[[#This Row],[Country PRODUCTION]],[1]Sheet1!$B$11:$F$30,4,FALSE)+Table24[[#This Row],[Total_GWP]]</f>
        <v>174.16477751756423</v>
      </c>
      <c r="X134" s="123">
        <f>VLOOKUP(Table24[[#This Row],[Country PRODUCTION]],[1]Sheet1!$B$11:$F$30,5,FALSE)+Table24[[#This Row],[Total_GWP]]</f>
        <v>169.96477751756422</v>
      </c>
      <c r="Y134" s="123">
        <f>Table24[[#This Row],[Total_GWP]]*Table24[[#This Row],[DENSITY]]/1000</f>
        <v>72.369999999999933</v>
      </c>
      <c r="Z134" s="149">
        <f>-615/Table24[[#This Row],[DENSITY]]*1000</f>
        <v>-1440.2810304449649</v>
      </c>
      <c r="AA134" s="81">
        <f>(1.37+686)/Table24[[#This Row],[DENSITY]]*1000</f>
        <v>1609.7658079625292</v>
      </c>
      <c r="AB134" s="87">
        <f>SUM(Table24[[#This Row],[A1toA3_GWP-biogenic]:[C1toC4_GWP-biogenic]])</f>
        <v>0</v>
      </c>
      <c r="AC134" s="87">
        <f>Table24[[#This Row],[GWP-biogenic]]*Table24[[#This Row],[DENSITY]]/1000</f>
        <v>0</v>
      </c>
      <c r="AD134" s="83" t="s">
        <v>416</v>
      </c>
      <c r="AE134" s="81" t="s">
        <v>416</v>
      </c>
      <c r="AF134" s="92">
        <f ca="1">IF(OR($E134="Ecoinvent",$E134="Betonsortenrechner",$E134="KBOB",$V134&lt;=0,Table24[[#This Row],[VALID_TO]]&lt;=TODAY()),0,1)</f>
        <v>0</v>
      </c>
      <c r="AG134" s="92">
        <v>1</v>
      </c>
      <c r="AH134" s="92">
        <f ca="1">IF(AND(Table24[[#This Row],[ValidEPD]]&lt;&gt;0,Table24[[#This Row],[Man_Ausschluss]]&lt;&gt;0),1,0)</f>
        <v>0</v>
      </c>
      <c r="AI134" s="178" cm="1">
        <f t="array" aca="1" ref="AI134" ca="1">IF(Table24[[#This Row],[gültig]]&lt;&gt;0,
IF(V134=MIN(_xlfn._xlws.FILTER($V$2:$V$282,($P$2:$P$282=P134))),1,
IF(V134=MAX(_xlfn._xlws.FILTER($V$2:$V$282,($P$2:$P$282=P134))),1,0)),0)</f>
        <v>0</v>
      </c>
      <c r="AJ134" s="180"/>
      <c r="AK134" s="2" t="s">
        <v>417</v>
      </c>
      <c r="AL134" s="2"/>
    </row>
    <row r="135" spans="1:38" x14ac:dyDescent="0.45">
      <c r="A135" s="199" t="s">
        <v>231</v>
      </c>
      <c r="B135" s="200" t="s">
        <v>519</v>
      </c>
      <c r="C135" s="115">
        <v>136</v>
      </c>
      <c r="D135" s="201" t="s">
        <v>96</v>
      </c>
      <c r="E135" s="202" t="s">
        <v>97</v>
      </c>
      <c r="F135" s="202"/>
      <c r="G135" s="203">
        <v>43248</v>
      </c>
      <c r="H135" s="286">
        <v>45439</v>
      </c>
      <c r="I135" s="96" t="s">
        <v>52</v>
      </c>
      <c r="J135" s="204" t="s">
        <v>52</v>
      </c>
      <c r="K135" s="205" t="s">
        <v>99</v>
      </c>
      <c r="L135" s="281" t="s">
        <v>328</v>
      </c>
      <c r="M135" s="201" t="s">
        <v>315</v>
      </c>
      <c r="N135" s="207" t="s">
        <v>321</v>
      </c>
      <c r="O135" s="208" t="s">
        <v>416</v>
      </c>
      <c r="P135" s="96" t="s">
        <v>525</v>
      </c>
      <c r="Q135" s="96">
        <v>427</v>
      </c>
      <c r="R135" s="202" t="s">
        <v>416</v>
      </c>
      <c r="S135" s="202" t="s">
        <v>416</v>
      </c>
      <c r="T135" s="202" t="s">
        <v>416</v>
      </c>
      <c r="U135" s="209" t="s">
        <v>416</v>
      </c>
      <c r="V135" s="123">
        <f>SUM(Table24[[#This Row],[A1toA3_GWP]:[C1toC4_GWP]])</f>
        <v>169.48477751756423</v>
      </c>
      <c r="W135" s="123">
        <f>VLOOKUP(Table24[[#This Row],[Country PRODUCTION]],[1]Sheet1!$B$11:$F$30,4,FALSE)+Table24[[#This Row],[Total_GWP]]</f>
        <v>174.16477751756423</v>
      </c>
      <c r="X135" s="123">
        <f>VLOOKUP(Table24[[#This Row],[Country PRODUCTION]],[1]Sheet1!$B$11:$F$30,5,FALSE)+Table24[[#This Row],[Total_GWP]]</f>
        <v>169.96477751756422</v>
      </c>
      <c r="Y135" s="123">
        <f>Table24[[#This Row],[Total_GWP]]*Table24[[#This Row],[DENSITY]]/1000</f>
        <v>72.369999999999933</v>
      </c>
      <c r="Z135" s="149">
        <f>-615/Table24[[#This Row],[DENSITY]]*1000</f>
        <v>-1440.2810304449649</v>
      </c>
      <c r="AA135" s="81">
        <f>(1.37+686)/Table24[[#This Row],[DENSITY]]*1000</f>
        <v>1609.7658079625292</v>
      </c>
      <c r="AB135" s="87">
        <f>SUM(Table24[[#This Row],[A1toA3_GWP-biogenic]:[C1toC4_GWP-biogenic]])</f>
        <v>0</v>
      </c>
      <c r="AC135" s="87">
        <f>Table24[[#This Row],[GWP-biogenic]]*Table24[[#This Row],[DENSITY]]/1000</f>
        <v>0</v>
      </c>
      <c r="AD135" s="83" t="s">
        <v>416</v>
      </c>
      <c r="AE135" s="81" t="s">
        <v>416</v>
      </c>
      <c r="AF135" s="92">
        <f ca="1">IF(OR($E135="Ecoinvent",$E135="Betonsortenrechner",$E135="KBOB",$V135&lt;=0,Table24[[#This Row],[VALID_TO]]&lt;=TODAY()),0,1)</f>
        <v>0</v>
      </c>
      <c r="AG135" s="92">
        <v>1</v>
      </c>
      <c r="AH135" s="92">
        <f ca="1">IF(AND(Table24[[#This Row],[ValidEPD]]&lt;&gt;0,Table24[[#This Row],[Man_Ausschluss]]&lt;&gt;0),1,0)</f>
        <v>0</v>
      </c>
      <c r="AI135" s="178" cm="1">
        <f t="array" aca="1" ref="AI135" ca="1">IF(Table24[[#This Row],[gültig]]&lt;&gt;0,
IF(V135=MIN(_xlfn._xlws.FILTER($V$2:$V$282,($P$2:$P$282=P135))),1,
IF(V135=MAX(_xlfn._xlws.FILTER($V$2:$V$282,($P$2:$P$282=P135))),1,0)),0)</f>
        <v>0</v>
      </c>
      <c r="AJ135" s="180"/>
      <c r="AK135" s="2" t="s">
        <v>417</v>
      </c>
      <c r="AL135" s="2"/>
    </row>
    <row r="136" spans="1:38" x14ac:dyDescent="0.45">
      <c r="A136" s="199" t="s">
        <v>230</v>
      </c>
      <c r="B136" s="200" t="s">
        <v>502</v>
      </c>
      <c r="C136" s="111">
        <v>137</v>
      </c>
      <c r="D136" s="201" t="s">
        <v>98</v>
      </c>
      <c r="E136" s="202" t="s">
        <v>97</v>
      </c>
      <c r="F136" s="202"/>
      <c r="G136" s="203">
        <v>45358</v>
      </c>
      <c r="H136" s="203">
        <v>47183</v>
      </c>
      <c r="I136" s="96" t="s">
        <v>52</v>
      </c>
      <c r="J136" s="204" t="s">
        <v>52</v>
      </c>
      <c r="K136" s="205" t="s">
        <v>99</v>
      </c>
      <c r="L136" s="281" t="s">
        <v>328</v>
      </c>
      <c r="M136" s="201" t="s">
        <v>315</v>
      </c>
      <c r="N136" s="207" t="s">
        <v>321</v>
      </c>
      <c r="O136" s="208" t="s">
        <v>416</v>
      </c>
      <c r="P136" s="96" t="s">
        <v>1</v>
      </c>
      <c r="Q136" s="96">
        <v>424</v>
      </c>
      <c r="R136" s="202" t="s">
        <v>416</v>
      </c>
      <c r="S136" s="202" t="s">
        <v>416</v>
      </c>
      <c r="T136" s="202" t="s">
        <v>416</v>
      </c>
      <c r="U136" s="209" t="s">
        <v>416</v>
      </c>
      <c r="V136" s="123">
        <f>SUM(Table24[[#This Row],[A1toA3_GWP]:[C1toC4_GWP]])</f>
        <v>305.09433962264143</v>
      </c>
      <c r="W136" s="123">
        <f>VLOOKUP(Table24[[#This Row],[Country PRODUCTION]],[1]Sheet1!$B$11:$F$30,4,FALSE)+Table24[[#This Row],[Total_GWP]]</f>
        <v>309.77433962264143</v>
      </c>
      <c r="X136" s="123">
        <f>VLOOKUP(Table24[[#This Row],[Country PRODUCTION]],[1]Sheet1!$B$11:$F$30,5,FALSE)+Table24[[#This Row],[Total_GWP]]</f>
        <v>305.57433962264145</v>
      </c>
      <c r="Y136" s="123">
        <f>Table24[[#This Row],[Total_GWP]]*Table24[[#This Row],[DENSITY]]/1000</f>
        <v>129.35999999999996</v>
      </c>
      <c r="Z136" s="149">
        <f>-559/Table24[[#This Row],[DENSITY]]*1000</f>
        <v>-1318.3962264150944</v>
      </c>
      <c r="AA136" s="81">
        <f>(2.36+686)/Table24[[#This Row],[DENSITY]]*1000</f>
        <v>1623.4905660377358</v>
      </c>
      <c r="AB136" s="87">
        <f>SUM(Table24[[#This Row],[A1toA3_GWP-biogenic]:[C1toC4_GWP-biogenic]])</f>
        <v>0</v>
      </c>
      <c r="AC136" s="87">
        <f>Table24[[#This Row],[GWP-biogenic]]*Table24[[#This Row],[DENSITY]]/1000</f>
        <v>0</v>
      </c>
      <c r="AD136" s="83">
        <f>(-682)/Table24[[#This Row],[DENSITY]]*1000</f>
        <v>-1608.4905660377358</v>
      </c>
      <c r="AE136" s="81">
        <f>(682)/Table24[[#This Row],[DENSITY]]*1000</f>
        <v>1608.4905660377358</v>
      </c>
      <c r="AF136" s="92">
        <f ca="1">IF(OR($E136="Ecoinvent",$E136="Betonsortenrechner",$E136="KBOB",$V136&lt;=0,Table24[[#This Row],[VALID_TO]]&lt;=TODAY()),0,1)</f>
        <v>1</v>
      </c>
      <c r="AG136" s="92">
        <v>1</v>
      </c>
      <c r="AH136" s="92">
        <f ca="1">IF(AND(Table24[[#This Row],[ValidEPD]]&lt;&gt;0,Table24[[#This Row],[Man_Ausschluss]]&lt;&gt;0),1,0)</f>
        <v>1</v>
      </c>
      <c r="AI136" s="178" cm="1">
        <f t="array" aca="1" ref="AI136" ca="1">IF(Table24[[#This Row],[gültig]]&lt;&gt;0,
IF(V136=MIN(_xlfn._xlws.FILTER($V$2:$V$282,($P$2:$P$282=P136))),1,
IF(V136=MAX(_xlfn._xlws.FILTER($V$2:$V$282,($P$2:$P$282=P136))),1,0)),0)</f>
        <v>0</v>
      </c>
      <c r="AJ136" s="180"/>
      <c r="AK136" s="2" t="s">
        <v>418</v>
      </c>
      <c r="AL136" s="2"/>
    </row>
    <row r="137" spans="1:38" x14ac:dyDescent="0.45">
      <c r="A137" s="199" t="s">
        <v>230</v>
      </c>
      <c r="B137" s="200" t="s">
        <v>518</v>
      </c>
      <c r="C137" s="115">
        <v>138</v>
      </c>
      <c r="D137" s="201" t="s">
        <v>98</v>
      </c>
      <c r="E137" s="202" t="s">
        <v>97</v>
      </c>
      <c r="F137" s="202"/>
      <c r="G137" s="203">
        <v>45358</v>
      </c>
      <c r="H137" s="203">
        <v>47183</v>
      </c>
      <c r="I137" s="96" t="s">
        <v>52</v>
      </c>
      <c r="J137" s="204" t="s">
        <v>52</v>
      </c>
      <c r="K137" s="205" t="s">
        <v>99</v>
      </c>
      <c r="L137" s="281" t="s">
        <v>328</v>
      </c>
      <c r="M137" s="201" t="s">
        <v>315</v>
      </c>
      <c r="N137" s="207" t="s">
        <v>321</v>
      </c>
      <c r="O137" s="208" t="s">
        <v>416</v>
      </c>
      <c r="P137" s="96" t="s">
        <v>524</v>
      </c>
      <c r="Q137" s="96">
        <v>424</v>
      </c>
      <c r="R137" s="202" t="s">
        <v>416</v>
      </c>
      <c r="S137" s="202" t="s">
        <v>416</v>
      </c>
      <c r="T137" s="202" t="s">
        <v>416</v>
      </c>
      <c r="U137" s="209" t="s">
        <v>416</v>
      </c>
      <c r="V137" s="123">
        <f>SUM(Table24[[#This Row],[A1toA3_GWP]:[C1toC4_GWP]])</f>
        <v>305.09433962264143</v>
      </c>
      <c r="W137" s="123">
        <f>VLOOKUP(Table24[[#This Row],[Country PRODUCTION]],[1]Sheet1!$B$11:$F$30,4,FALSE)+Table24[[#This Row],[Total_GWP]]</f>
        <v>309.77433962264143</v>
      </c>
      <c r="X137" s="123">
        <f>VLOOKUP(Table24[[#This Row],[Country PRODUCTION]],[1]Sheet1!$B$11:$F$30,5,FALSE)+Table24[[#This Row],[Total_GWP]]</f>
        <v>305.57433962264145</v>
      </c>
      <c r="Y137" s="123">
        <f>Table24[[#This Row],[Total_GWP]]*Table24[[#This Row],[DENSITY]]/1000</f>
        <v>129.35999999999996</v>
      </c>
      <c r="Z137" s="149">
        <f>-559/Table24[[#This Row],[DENSITY]]*1000</f>
        <v>-1318.3962264150944</v>
      </c>
      <c r="AA137" s="81">
        <f>(2.36+686)/Table24[[#This Row],[DENSITY]]*1000</f>
        <v>1623.4905660377358</v>
      </c>
      <c r="AB137" s="87">
        <f>SUM(Table24[[#This Row],[A1toA3_GWP-biogenic]:[C1toC4_GWP-biogenic]])</f>
        <v>0</v>
      </c>
      <c r="AC137" s="87">
        <f>Table24[[#This Row],[GWP-biogenic]]*Table24[[#This Row],[DENSITY]]/1000</f>
        <v>0</v>
      </c>
      <c r="AD137" s="83">
        <f>(-682)/Table24[[#This Row],[DENSITY]]*1000</f>
        <v>-1608.4905660377358</v>
      </c>
      <c r="AE137" s="81">
        <f>(682)/Table24[[#This Row],[DENSITY]]*1000</f>
        <v>1608.4905660377358</v>
      </c>
      <c r="AF137" s="92">
        <f ca="1">IF(OR($E137="Ecoinvent",$E137="Betonsortenrechner",$E137="KBOB",$V137&lt;=0,Table24[[#This Row],[VALID_TO]]&lt;=TODAY()),0,1)</f>
        <v>1</v>
      </c>
      <c r="AG137" s="92">
        <v>1</v>
      </c>
      <c r="AH137" s="92">
        <f ca="1">IF(AND(Table24[[#This Row],[ValidEPD]]&lt;&gt;0,Table24[[#This Row],[Man_Ausschluss]]&lt;&gt;0),1,0)</f>
        <v>1</v>
      </c>
      <c r="AI137" s="178" cm="1">
        <f t="array" aca="1" ref="AI137" ca="1">IF(Table24[[#This Row],[gültig]]&lt;&gt;0,
IF(V137=MIN(_xlfn._xlws.FILTER($V$2:$V$282,($P$2:$P$282=P137))),1,
IF(V137=MAX(_xlfn._xlws.FILTER($V$2:$V$282,($P$2:$P$282=P137))),1,0)),0)</f>
        <v>0</v>
      </c>
      <c r="AJ137" s="180"/>
      <c r="AK137" s="2" t="s">
        <v>418</v>
      </c>
      <c r="AL137" s="2"/>
    </row>
    <row r="138" spans="1:38" x14ac:dyDescent="0.45">
      <c r="A138" s="199" t="s">
        <v>230</v>
      </c>
      <c r="B138" s="200" t="s">
        <v>519</v>
      </c>
      <c r="C138" s="111">
        <v>139</v>
      </c>
      <c r="D138" s="201" t="s">
        <v>98</v>
      </c>
      <c r="E138" s="202" t="s">
        <v>97</v>
      </c>
      <c r="F138" s="202"/>
      <c r="G138" s="203">
        <v>45358</v>
      </c>
      <c r="H138" s="203">
        <v>47183</v>
      </c>
      <c r="I138" s="96" t="s">
        <v>52</v>
      </c>
      <c r="J138" s="204" t="s">
        <v>52</v>
      </c>
      <c r="K138" s="205" t="s">
        <v>99</v>
      </c>
      <c r="L138" s="281" t="s">
        <v>328</v>
      </c>
      <c r="M138" s="201" t="s">
        <v>315</v>
      </c>
      <c r="N138" s="207" t="s">
        <v>321</v>
      </c>
      <c r="O138" s="208" t="s">
        <v>416</v>
      </c>
      <c r="P138" s="96" t="s">
        <v>525</v>
      </c>
      <c r="Q138" s="96">
        <v>424</v>
      </c>
      <c r="R138" s="202" t="s">
        <v>416</v>
      </c>
      <c r="S138" s="202" t="s">
        <v>416</v>
      </c>
      <c r="T138" s="202" t="s">
        <v>416</v>
      </c>
      <c r="U138" s="209" t="s">
        <v>416</v>
      </c>
      <c r="V138" s="123">
        <f>SUM(Table24[[#This Row],[A1toA3_GWP]:[C1toC4_GWP]])</f>
        <v>305.09433962264143</v>
      </c>
      <c r="W138" s="123">
        <f>VLOOKUP(Table24[[#This Row],[Country PRODUCTION]],[1]Sheet1!$B$11:$F$30,4,FALSE)+Table24[[#This Row],[Total_GWP]]</f>
        <v>309.77433962264143</v>
      </c>
      <c r="X138" s="123">
        <f>VLOOKUP(Table24[[#This Row],[Country PRODUCTION]],[1]Sheet1!$B$11:$F$30,5,FALSE)+Table24[[#This Row],[Total_GWP]]</f>
        <v>305.57433962264145</v>
      </c>
      <c r="Y138" s="123">
        <f>Table24[[#This Row],[Total_GWP]]*Table24[[#This Row],[DENSITY]]/1000</f>
        <v>129.35999999999996</v>
      </c>
      <c r="Z138" s="149">
        <f>-559/Table24[[#This Row],[DENSITY]]*1000</f>
        <v>-1318.3962264150944</v>
      </c>
      <c r="AA138" s="81">
        <f>(2.36+686)/Table24[[#This Row],[DENSITY]]*1000</f>
        <v>1623.4905660377358</v>
      </c>
      <c r="AB138" s="87">
        <f>SUM(Table24[[#This Row],[A1toA3_GWP-biogenic]:[C1toC4_GWP-biogenic]])</f>
        <v>0</v>
      </c>
      <c r="AC138" s="87">
        <f>Table24[[#This Row],[GWP-biogenic]]*Table24[[#This Row],[DENSITY]]/1000</f>
        <v>0</v>
      </c>
      <c r="AD138" s="83">
        <f>(-682)/Table24[[#This Row],[DENSITY]]*1000</f>
        <v>-1608.4905660377358</v>
      </c>
      <c r="AE138" s="81">
        <f>(682)/Table24[[#This Row],[DENSITY]]*1000</f>
        <v>1608.4905660377358</v>
      </c>
      <c r="AF138" s="92">
        <f ca="1">IF(OR($E138="Ecoinvent",$E138="Betonsortenrechner",$E138="KBOB",$V138&lt;=0,Table24[[#This Row],[VALID_TO]]&lt;=TODAY()),0,1)</f>
        <v>1</v>
      </c>
      <c r="AG138" s="92">
        <v>1</v>
      </c>
      <c r="AH138" s="92">
        <f ca="1">IF(AND(Table24[[#This Row],[ValidEPD]]&lt;&gt;0,Table24[[#This Row],[Man_Ausschluss]]&lt;&gt;0),1,0)</f>
        <v>1</v>
      </c>
      <c r="AI138" s="178" cm="1">
        <f t="array" aca="1" ref="AI138" ca="1">IF(Table24[[#This Row],[gültig]]&lt;&gt;0,
IF(V138=MIN(_xlfn._xlws.FILTER($V$2:$V$282,($P$2:$P$282=P138))),1,
IF(V138=MAX(_xlfn._xlws.FILTER($V$2:$V$282,($P$2:$P$282=P138))),1,0)),0)</f>
        <v>0</v>
      </c>
      <c r="AJ138" s="180"/>
      <c r="AK138" s="2" t="s">
        <v>418</v>
      </c>
      <c r="AL138" s="2"/>
    </row>
    <row r="139" spans="1:38" x14ac:dyDescent="0.45">
      <c r="A139" s="199" t="s">
        <v>224</v>
      </c>
      <c r="B139" s="200"/>
      <c r="C139" s="115">
        <v>140</v>
      </c>
      <c r="D139" s="201" t="s">
        <v>115</v>
      </c>
      <c r="E139" s="202" t="s">
        <v>97</v>
      </c>
      <c r="F139" s="202"/>
      <c r="G139" s="203">
        <v>44005</v>
      </c>
      <c r="H139" s="203">
        <v>45830</v>
      </c>
      <c r="I139" s="96" t="s">
        <v>52</v>
      </c>
      <c r="J139" s="204" t="s">
        <v>52</v>
      </c>
      <c r="K139" s="205" t="s">
        <v>113</v>
      </c>
      <c r="L139" s="281" t="s">
        <v>491</v>
      </c>
      <c r="M139" s="201" t="s">
        <v>315</v>
      </c>
      <c r="N139" s="207" t="s">
        <v>494</v>
      </c>
      <c r="O139" s="208" t="s">
        <v>416</v>
      </c>
      <c r="P139" s="96" t="s">
        <v>114</v>
      </c>
      <c r="Q139" s="96">
        <v>424</v>
      </c>
      <c r="R139" s="202" t="s">
        <v>416</v>
      </c>
      <c r="S139" s="202" t="s">
        <v>416</v>
      </c>
      <c r="T139" s="202" t="s">
        <v>416</v>
      </c>
      <c r="U139" s="209" t="s">
        <v>416</v>
      </c>
      <c r="V139" s="123">
        <f>SUM(Table24[[#This Row],[A1toA3_GWP]:[C1toC4_GWP]])</f>
        <v>185.49528301886789</v>
      </c>
      <c r="W139" s="123">
        <f>VLOOKUP(Table24[[#This Row],[Country PRODUCTION]],[1]Sheet1!$B$11:$F$30,4,FALSE)+Table24[[#This Row],[Total_GWP]]</f>
        <v>190.1752830188679</v>
      </c>
      <c r="X139" s="123">
        <f>VLOOKUP(Table24[[#This Row],[Country PRODUCTION]],[1]Sheet1!$B$11:$F$30,5,FALSE)+Table24[[#This Row],[Total_GWP]]</f>
        <v>185.97528301886788</v>
      </c>
      <c r="Y139" s="123">
        <f>Table24[[#This Row],[Total_GWP]]*Table24[[#This Row],[DENSITY]]/1000</f>
        <v>78.649999999999991</v>
      </c>
      <c r="Z139" s="149">
        <f>-623/Table24[[#This Row],[DENSITY]]*1000</f>
        <v>-1469.3396226415093</v>
      </c>
      <c r="AA139" s="81">
        <f>(1.65+700)/Table24[[#This Row],[DENSITY]]*1000</f>
        <v>1654.8349056603772</v>
      </c>
      <c r="AB139" s="87">
        <f>SUM(Table24[[#This Row],[A1toA3_GWP-biogenic]:[C1toC4_GWP-biogenic]])</f>
        <v>0</v>
      </c>
      <c r="AC139" s="87">
        <f>Table24[[#This Row],[GWP-biogenic]]*Table24[[#This Row],[DENSITY]]/1000</f>
        <v>0</v>
      </c>
      <c r="AD139" s="87" t="s">
        <v>416</v>
      </c>
      <c r="AE139" s="100" t="s">
        <v>416</v>
      </c>
      <c r="AF139" s="92">
        <f ca="1">IF(OR($E139="Ecoinvent",$E139="Betonsortenrechner",$E139="KBOB",$V139&lt;=0,Table24[[#This Row],[VALID_TO]]&lt;=TODAY()),0,1)</f>
        <v>0</v>
      </c>
      <c r="AG139" s="92">
        <v>1</v>
      </c>
      <c r="AH139" s="92">
        <f ca="1">IF(AND(Table24[[#This Row],[ValidEPD]]&lt;&gt;0,Table24[[#This Row],[Man_Ausschluss]]&lt;&gt;0),1,0)</f>
        <v>0</v>
      </c>
      <c r="AI139" s="178" cm="1">
        <f t="array" aca="1" ref="AI139" ca="1">IF(Table24[[#This Row],[gültig]]&lt;&gt;0,
IF(V139=MIN(_xlfn._xlws.FILTER($V$2:$V$282,($P$2:$P$282=P139))),1,
IF(V139=MAX(_xlfn._xlws.FILTER($V$2:$V$282,($P$2:$P$282=P139))),1,0)),0)</f>
        <v>0</v>
      </c>
      <c r="AJ139" s="180"/>
      <c r="AK139" s="2"/>
      <c r="AL139" s="2"/>
    </row>
    <row r="140" spans="1:38" x14ac:dyDescent="0.45">
      <c r="A140" s="199" t="s">
        <v>225</v>
      </c>
      <c r="B140" s="200" t="s">
        <v>502</v>
      </c>
      <c r="C140" s="111">
        <v>141</v>
      </c>
      <c r="D140" s="201" t="s">
        <v>100</v>
      </c>
      <c r="E140" s="202" t="s">
        <v>101</v>
      </c>
      <c r="F140" s="202"/>
      <c r="G140" s="203">
        <v>45387</v>
      </c>
      <c r="H140" s="203">
        <v>47212</v>
      </c>
      <c r="I140" s="96" t="s">
        <v>242</v>
      </c>
      <c r="J140" s="204" t="s">
        <v>242</v>
      </c>
      <c r="K140" s="205" t="s">
        <v>99</v>
      </c>
      <c r="L140" s="281" t="s">
        <v>328</v>
      </c>
      <c r="M140" s="201" t="s">
        <v>315</v>
      </c>
      <c r="N140" s="207" t="s">
        <v>321</v>
      </c>
      <c r="O140" s="208" t="s">
        <v>416</v>
      </c>
      <c r="P140" s="96" t="s">
        <v>1</v>
      </c>
      <c r="Q140" s="96">
        <v>466</v>
      </c>
      <c r="R140" s="202" t="s">
        <v>416</v>
      </c>
      <c r="S140" s="202" t="s">
        <v>416</v>
      </c>
      <c r="T140" s="202" t="s">
        <v>416</v>
      </c>
      <c r="U140" s="209" t="s">
        <v>416</v>
      </c>
      <c r="V140" s="123">
        <f>SUM(Table24[[#This Row],[A1toA3_GWP]:[C1toC4_GWP]])</f>
        <v>190.53648068669531</v>
      </c>
      <c r="W140" s="123">
        <f>VLOOKUP(Table24[[#This Row],[Country PRODUCTION]],[1]Sheet1!$B$11:$F$30,4,FALSE)+Table24[[#This Row],[Total_GWP]]</f>
        <v>260.7364806866953</v>
      </c>
      <c r="X140" s="123">
        <f>VLOOKUP(Table24[[#This Row],[Country PRODUCTION]],[1]Sheet1!$B$11:$F$30,5,FALSE)+Table24[[#This Row],[Total_GWP]]</f>
        <v>197.7364806866953</v>
      </c>
      <c r="Y140" s="123">
        <f>Table24[[#This Row],[Total_GWP]]*Table24[[#This Row],[DENSITY]]/1000</f>
        <v>88.79000000000002</v>
      </c>
      <c r="Z140" s="149">
        <f>-677/Table24[[#This Row],[DENSITY]]*1000</f>
        <v>-1452.7896995708154</v>
      </c>
      <c r="AA140" s="81">
        <f>(1.79+764)/Table24[[#This Row],[DENSITY]]*1000</f>
        <v>1643.3261802575107</v>
      </c>
      <c r="AB140" s="87">
        <f>SUM(Table24[[#This Row],[A1toA3_GWP-biogenic]:[C1toC4_GWP-biogenic]])</f>
        <v>4.4407725321887028</v>
      </c>
      <c r="AC140" s="87">
        <f>Table24[[#This Row],[GWP-biogenic]]*Table24[[#This Row],[DENSITY]]/1000</f>
        <v>2.0693999999999355</v>
      </c>
      <c r="AD140" s="83">
        <f>(-759)/Table24[[#This Row],[DENSITY]]*1000</f>
        <v>-1628.755364806867</v>
      </c>
      <c r="AE140" s="85">
        <f>(6.94*10^-2+761)/Table24[[#This Row],[DENSITY]]*1000</f>
        <v>1633.1961373390557</v>
      </c>
      <c r="AF140" s="92">
        <f ca="1">IF(OR($E140="Ecoinvent",$E140="Betonsortenrechner",$E140="KBOB",$V140&lt;=0,Table24[[#This Row],[VALID_TO]]&lt;=TODAY()),0,1)</f>
        <v>1</v>
      </c>
      <c r="AG140" s="92">
        <v>1</v>
      </c>
      <c r="AH140" s="92">
        <f ca="1">IF(AND(Table24[[#This Row],[ValidEPD]]&lt;&gt;0,Table24[[#This Row],[Man_Ausschluss]]&lt;&gt;0),1,0)</f>
        <v>1</v>
      </c>
      <c r="AI140" s="178" cm="1">
        <f t="array" aca="1" ref="AI140" ca="1">IF(Table24[[#This Row],[gültig]]&lt;&gt;0,
IF(V140=MIN(_xlfn._xlws.FILTER($V$2:$V$282,($P$2:$P$282=P140))),1,
IF(V140=MAX(_xlfn._xlws.FILTER($V$2:$V$282,($P$2:$P$282=P140))),1,0)),0)</f>
        <v>0</v>
      </c>
      <c r="AJ140" s="180"/>
      <c r="AK140" s="2" t="s">
        <v>420</v>
      </c>
      <c r="AL140" s="2"/>
    </row>
    <row r="141" spans="1:38" x14ac:dyDescent="0.45">
      <c r="A141" s="199" t="s">
        <v>225</v>
      </c>
      <c r="B141" s="200" t="s">
        <v>518</v>
      </c>
      <c r="C141" s="115">
        <v>142</v>
      </c>
      <c r="D141" s="201" t="s">
        <v>100</v>
      </c>
      <c r="E141" s="202" t="s">
        <v>101</v>
      </c>
      <c r="F141" s="202"/>
      <c r="G141" s="203">
        <v>45387</v>
      </c>
      <c r="H141" s="203">
        <v>47212</v>
      </c>
      <c r="I141" s="96" t="s">
        <v>242</v>
      </c>
      <c r="J141" s="204" t="s">
        <v>242</v>
      </c>
      <c r="K141" s="205" t="s">
        <v>99</v>
      </c>
      <c r="L141" s="281" t="s">
        <v>328</v>
      </c>
      <c r="M141" s="201" t="s">
        <v>315</v>
      </c>
      <c r="N141" s="207" t="s">
        <v>321</v>
      </c>
      <c r="O141" s="208" t="s">
        <v>416</v>
      </c>
      <c r="P141" s="96" t="s">
        <v>524</v>
      </c>
      <c r="Q141" s="96">
        <v>466</v>
      </c>
      <c r="R141" s="202" t="s">
        <v>416</v>
      </c>
      <c r="S141" s="202" t="s">
        <v>416</v>
      </c>
      <c r="T141" s="202" t="s">
        <v>416</v>
      </c>
      <c r="U141" s="209" t="s">
        <v>416</v>
      </c>
      <c r="V141" s="123">
        <f>SUM(Table24[[#This Row],[A1toA3_GWP]:[C1toC4_GWP]])</f>
        <v>190.53648068669531</v>
      </c>
      <c r="W141" s="123">
        <f>VLOOKUP(Table24[[#This Row],[Country PRODUCTION]],[1]Sheet1!$B$11:$F$30,4,FALSE)+Table24[[#This Row],[Total_GWP]]</f>
        <v>260.7364806866953</v>
      </c>
      <c r="X141" s="123">
        <f>VLOOKUP(Table24[[#This Row],[Country PRODUCTION]],[1]Sheet1!$B$11:$F$30,5,FALSE)+Table24[[#This Row],[Total_GWP]]</f>
        <v>197.7364806866953</v>
      </c>
      <c r="Y141" s="123">
        <f>Table24[[#This Row],[Total_GWP]]*Table24[[#This Row],[DENSITY]]/1000</f>
        <v>88.79000000000002</v>
      </c>
      <c r="Z141" s="149">
        <f>-677/Table24[[#This Row],[DENSITY]]*1000</f>
        <v>-1452.7896995708154</v>
      </c>
      <c r="AA141" s="81">
        <f>(1.79+764)/Table24[[#This Row],[DENSITY]]*1000</f>
        <v>1643.3261802575107</v>
      </c>
      <c r="AB141" s="87">
        <f>SUM(Table24[[#This Row],[A1toA3_GWP-biogenic]:[C1toC4_GWP-biogenic]])</f>
        <v>4.4407725321887028</v>
      </c>
      <c r="AC141" s="87">
        <f>Table24[[#This Row],[GWP-biogenic]]*Table24[[#This Row],[DENSITY]]/1000</f>
        <v>2.0693999999999355</v>
      </c>
      <c r="AD141" s="83">
        <f>(-759)/Table24[[#This Row],[DENSITY]]*1000</f>
        <v>-1628.755364806867</v>
      </c>
      <c r="AE141" s="85">
        <f>(6.94*10^-2+761)/Table24[[#This Row],[DENSITY]]*1000</f>
        <v>1633.1961373390557</v>
      </c>
      <c r="AF141" s="92">
        <f ca="1">IF(OR($E141="Ecoinvent",$E141="Betonsortenrechner",$E141="KBOB",$V141&lt;=0,Table24[[#This Row],[VALID_TO]]&lt;=TODAY()),0,1)</f>
        <v>1</v>
      </c>
      <c r="AG141" s="92">
        <v>1</v>
      </c>
      <c r="AH141" s="92">
        <f ca="1">IF(AND(Table24[[#This Row],[ValidEPD]]&lt;&gt;0,Table24[[#This Row],[Man_Ausschluss]]&lt;&gt;0),1,0)</f>
        <v>1</v>
      </c>
      <c r="AI141" s="178" cm="1">
        <f t="array" aca="1" ref="AI141" ca="1">IF(Table24[[#This Row],[gültig]]&lt;&gt;0,
IF(V141=MIN(_xlfn._xlws.FILTER($V$2:$V$282,($P$2:$P$282=P141))),1,
IF(V141=MAX(_xlfn._xlws.FILTER($V$2:$V$282,($P$2:$P$282=P141))),1,0)),0)</f>
        <v>0</v>
      </c>
      <c r="AJ141" s="180"/>
      <c r="AK141" s="2" t="s">
        <v>420</v>
      </c>
      <c r="AL141" s="2"/>
    </row>
    <row r="142" spans="1:38" x14ac:dyDescent="0.45">
      <c r="A142" s="199" t="s">
        <v>225</v>
      </c>
      <c r="B142" s="200" t="s">
        <v>519</v>
      </c>
      <c r="C142" s="111">
        <v>143</v>
      </c>
      <c r="D142" s="201" t="s">
        <v>100</v>
      </c>
      <c r="E142" s="202" t="s">
        <v>101</v>
      </c>
      <c r="F142" s="202"/>
      <c r="G142" s="203">
        <v>45387</v>
      </c>
      <c r="H142" s="203">
        <v>47212</v>
      </c>
      <c r="I142" s="96" t="s">
        <v>242</v>
      </c>
      <c r="J142" s="204" t="s">
        <v>242</v>
      </c>
      <c r="K142" s="205" t="s">
        <v>99</v>
      </c>
      <c r="L142" s="281" t="s">
        <v>328</v>
      </c>
      <c r="M142" s="201" t="s">
        <v>315</v>
      </c>
      <c r="N142" s="207" t="s">
        <v>321</v>
      </c>
      <c r="O142" s="208" t="s">
        <v>416</v>
      </c>
      <c r="P142" s="96" t="s">
        <v>526</v>
      </c>
      <c r="Q142" s="96">
        <v>466</v>
      </c>
      <c r="R142" s="202" t="s">
        <v>416</v>
      </c>
      <c r="S142" s="202" t="s">
        <v>416</v>
      </c>
      <c r="T142" s="202" t="s">
        <v>416</v>
      </c>
      <c r="U142" s="209" t="s">
        <v>416</v>
      </c>
      <c r="V142" s="123">
        <f>SUM(Table24[[#This Row],[A1toA3_GWP]:[C1toC4_GWP]])</f>
        <v>190.53648068669531</v>
      </c>
      <c r="W142" s="123">
        <f>VLOOKUP(Table24[[#This Row],[Country PRODUCTION]],[1]Sheet1!$B$11:$F$30,4,FALSE)+Table24[[#This Row],[Total_GWP]]</f>
        <v>260.7364806866953</v>
      </c>
      <c r="X142" s="123">
        <f>VLOOKUP(Table24[[#This Row],[Country PRODUCTION]],[1]Sheet1!$B$11:$F$30,5,FALSE)+Table24[[#This Row],[Total_GWP]]</f>
        <v>197.7364806866953</v>
      </c>
      <c r="Y142" s="123">
        <f>Table24[[#This Row],[Total_GWP]]*Table24[[#This Row],[DENSITY]]/1000</f>
        <v>88.79000000000002</v>
      </c>
      <c r="Z142" s="149">
        <f>-677/Table24[[#This Row],[DENSITY]]*1000</f>
        <v>-1452.7896995708154</v>
      </c>
      <c r="AA142" s="81">
        <f>(1.79+764)/Table24[[#This Row],[DENSITY]]*1000</f>
        <v>1643.3261802575107</v>
      </c>
      <c r="AB142" s="87">
        <f>SUM(Table24[[#This Row],[A1toA3_GWP-biogenic]:[C1toC4_GWP-biogenic]])</f>
        <v>4.4407725321887028</v>
      </c>
      <c r="AC142" s="87">
        <f>Table24[[#This Row],[GWP-biogenic]]*Table24[[#This Row],[DENSITY]]/1000</f>
        <v>2.0693999999999355</v>
      </c>
      <c r="AD142" s="83">
        <f>(-759)/Table24[[#This Row],[DENSITY]]*1000</f>
        <v>-1628.755364806867</v>
      </c>
      <c r="AE142" s="85">
        <f>(6.94*10^-2+761)/Table24[[#This Row],[DENSITY]]*1000</f>
        <v>1633.1961373390557</v>
      </c>
      <c r="AF142" s="92">
        <f ca="1">IF(OR($E142="Ecoinvent",$E142="Betonsortenrechner",$E142="KBOB",$V142&lt;=0,Table24[[#This Row],[VALID_TO]]&lt;=TODAY()),0,1)</f>
        <v>1</v>
      </c>
      <c r="AG142" s="92">
        <v>1</v>
      </c>
      <c r="AH142" s="92">
        <f ca="1">IF(AND(Table24[[#This Row],[ValidEPD]]&lt;&gt;0,Table24[[#This Row],[Man_Ausschluss]]&lt;&gt;0),1,0)</f>
        <v>1</v>
      </c>
      <c r="AI142" s="178" cm="1">
        <f t="array" aca="1" ref="AI142" ca="1">IF(Table24[[#This Row],[gültig]]&lt;&gt;0,
IF(V142=MIN(_xlfn._xlws.FILTER($V$2:$V$282,($P$2:$P$282=P142))),1,
IF(V142=MAX(_xlfn._xlws.FILTER($V$2:$V$282,($P$2:$P$282=P142))),1,0)),0)</f>
        <v>1</v>
      </c>
      <c r="AJ142" s="180"/>
      <c r="AK142" s="2" t="s">
        <v>420</v>
      </c>
      <c r="AL142" s="2"/>
    </row>
    <row r="143" spans="1:38" x14ac:dyDescent="0.45">
      <c r="A143" s="199" t="s">
        <v>262</v>
      </c>
      <c r="B143" s="200" t="s">
        <v>502</v>
      </c>
      <c r="C143" s="115">
        <v>144</v>
      </c>
      <c r="D143" s="201" t="s">
        <v>102</v>
      </c>
      <c r="E143" s="202" t="s">
        <v>103</v>
      </c>
      <c r="F143" s="202"/>
      <c r="G143" s="203">
        <v>44411</v>
      </c>
      <c r="H143" s="203">
        <v>46236</v>
      </c>
      <c r="I143" s="96" t="s">
        <v>242</v>
      </c>
      <c r="J143" s="204" t="s">
        <v>246</v>
      </c>
      <c r="K143" s="205" t="s">
        <v>99</v>
      </c>
      <c r="L143" s="281" t="s">
        <v>328</v>
      </c>
      <c r="M143" s="201" t="s">
        <v>315</v>
      </c>
      <c r="N143" s="207" t="s">
        <v>321</v>
      </c>
      <c r="O143" s="208" t="s">
        <v>416</v>
      </c>
      <c r="P143" s="96" t="s">
        <v>1</v>
      </c>
      <c r="Q143" s="96">
        <v>470</v>
      </c>
      <c r="R143" s="202" t="s">
        <v>416</v>
      </c>
      <c r="S143" s="202" t="s">
        <v>416</v>
      </c>
      <c r="T143" s="202" t="s">
        <v>416</v>
      </c>
      <c r="U143" s="209" t="s">
        <v>416</v>
      </c>
      <c r="V143" s="123">
        <f>SUM(Table24[[#This Row],[A1toA3_GWP]:[C1toC4_GWP]])</f>
        <v>311.53191489361689</v>
      </c>
      <c r="W143" s="123">
        <f>VLOOKUP("DE",[1]Sheet1!$B$11:$F$30,4,FALSE)+Table24[[#This Row],[Total_GWP]]</f>
        <v>387.5819148936169</v>
      </c>
      <c r="X143" s="123">
        <f>VLOOKUP("DE",[1]Sheet1!$B$11:$F$30,5,FALSE)+Table24[[#This Row],[Total_GWP]]</f>
        <v>319.3319148936169</v>
      </c>
      <c r="Y143" s="123">
        <f>Table24[[#This Row],[Total_GWP]]*Table24[[#This Row],[DENSITY]]/1000</f>
        <v>146.41999999999993</v>
      </c>
      <c r="Z143" s="149">
        <f>-608/Table24[[#This Row],[DENSITY]]*1000</f>
        <v>-1293.6170212765958</v>
      </c>
      <c r="AA143" s="81">
        <f>(1.42+753)/Table24[[#This Row],[DENSITY]]*1000</f>
        <v>1605.1489361702127</v>
      </c>
      <c r="AB143" s="87">
        <f>SUM(Table24[[#This Row],[A1toA3_GWP-biogenic]:[C1toC4_GWP-biogenic]])</f>
        <v>-6.3865319148935669</v>
      </c>
      <c r="AC143" s="87">
        <f>Table24[[#This Row],[GWP-biogenic]]*Table24[[#This Row],[DENSITY]]/1000</f>
        <v>-3.0016699999999763</v>
      </c>
      <c r="AD143" s="83">
        <f>(-753)/Table24[[#This Row],[DENSITY]]*1000</f>
        <v>-1602.127659574468</v>
      </c>
      <c r="AE143" s="85">
        <f>(-1.67*10^-3+750)/Table24[[#This Row],[DENSITY]]*1000</f>
        <v>1595.7411276595744</v>
      </c>
      <c r="AF143" s="92">
        <f ca="1">IF(OR($E143="Ecoinvent",$E143="Betonsortenrechner",$E143="KBOB",$V143&lt;=0,Table24[[#This Row],[VALID_TO]]&lt;=TODAY()),0,1)</f>
        <v>1</v>
      </c>
      <c r="AG143" s="92">
        <v>1</v>
      </c>
      <c r="AH143" s="92">
        <f ca="1">IF(AND(Table24[[#This Row],[ValidEPD]]&lt;&gt;0,Table24[[#This Row],[Man_Ausschluss]]&lt;&gt;0),1,0)</f>
        <v>1</v>
      </c>
      <c r="AI143" s="178" cm="1">
        <f t="array" aca="1" ref="AI143" ca="1">IF(Table24[[#This Row],[gültig]]&lt;&gt;0,
IF(V143=MIN(_xlfn._xlws.FILTER($V$2:$V$282,($P$2:$P$282=P143))),1,
IF(V143=MAX(_xlfn._xlws.FILTER($V$2:$V$282,($P$2:$P$282=P143))),1,0)),0)</f>
        <v>0</v>
      </c>
      <c r="AJ143" s="180"/>
      <c r="AK143" s="2" t="s">
        <v>419</v>
      </c>
      <c r="AL143" s="2"/>
    </row>
    <row r="144" spans="1:38" x14ac:dyDescent="0.45">
      <c r="A144" s="199" t="s">
        <v>262</v>
      </c>
      <c r="B144" s="200" t="s">
        <v>518</v>
      </c>
      <c r="C144" s="111">
        <v>145</v>
      </c>
      <c r="D144" s="201" t="s">
        <v>102</v>
      </c>
      <c r="E144" s="202" t="s">
        <v>103</v>
      </c>
      <c r="F144" s="202"/>
      <c r="G144" s="203">
        <v>44411</v>
      </c>
      <c r="H144" s="203">
        <v>46236</v>
      </c>
      <c r="I144" s="96" t="s">
        <v>242</v>
      </c>
      <c r="J144" s="204" t="s">
        <v>246</v>
      </c>
      <c r="K144" s="205" t="s">
        <v>99</v>
      </c>
      <c r="L144" s="281" t="s">
        <v>328</v>
      </c>
      <c r="M144" s="201" t="s">
        <v>315</v>
      </c>
      <c r="N144" s="207" t="s">
        <v>321</v>
      </c>
      <c r="O144" s="208" t="s">
        <v>416</v>
      </c>
      <c r="P144" s="96" t="s">
        <v>524</v>
      </c>
      <c r="Q144" s="96">
        <v>470</v>
      </c>
      <c r="R144" s="202" t="s">
        <v>416</v>
      </c>
      <c r="S144" s="202" t="s">
        <v>416</v>
      </c>
      <c r="T144" s="202" t="s">
        <v>416</v>
      </c>
      <c r="U144" s="209" t="s">
        <v>416</v>
      </c>
      <c r="V144" s="123">
        <f>SUM(Table24[[#This Row],[A1toA3_GWP]:[C1toC4_GWP]])</f>
        <v>311.53191489361689</v>
      </c>
      <c r="W144" s="123">
        <f>VLOOKUP("AT",[1]Sheet1!$B$11:$F$30,4,FALSE)+Table24[[#This Row],[Total_GWP]]</f>
        <v>381.73191489361687</v>
      </c>
      <c r="X144" s="123">
        <f>VLOOKUP("AT",[1]Sheet1!$B$11:$F$30,5,FALSE)+Table24[[#This Row],[Total_GWP]]</f>
        <v>318.73191489361687</v>
      </c>
      <c r="Y144" s="123">
        <f>Table24[[#This Row],[Total_GWP]]*Table24[[#This Row],[DENSITY]]/1000</f>
        <v>146.41999999999993</v>
      </c>
      <c r="Z144" s="149">
        <f>-608/Table24[[#This Row],[DENSITY]]*1000</f>
        <v>-1293.6170212765958</v>
      </c>
      <c r="AA144" s="81">
        <f>(1.42+753)/Table24[[#This Row],[DENSITY]]*1000</f>
        <v>1605.1489361702127</v>
      </c>
      <c r="AB144" s="87">
        <f>SUM(Table24[[#This Row],[A1toA3_GWP-biogenic]:[C1toC4_GWP-biogenic]])</f>
        <v>-6.3865319148935669</v>
      </c>
      <c r="AC144" s="87">
        <f>Table24[[#This Row],[GWP-biogenic]]*Table24[[#This Row],[DENSITY]]/1000</f>
        <v>-3.0016699999999763</v>
      </c>
      <c r="AD144" s="83">
        <f>(-753)/Table24[[#This Row],[DENSITY]]*1000</f>
        <v>-1602.127659574468</v>
      </c>
      <c r="AE144" s="85">
        <f>(-1.67*10^-3+750)/Table24[[#This Row],[DENSITY]]*1000</f>
        <v>1595.7411276595744</v>
      </c>
      <c r="AF144" s="92">
        <f ca="1">IF(OR($E144="Ecoinvent",$E144="Betonsortenrechner",$E144="KBOB",$V144&lt;=0,Table24[[#This Row],[VALID_TO]]&lt;=TODAY()),0,1)</f>
        <v>1</v>
      </c>
      <c r="AG144" s="92">
        <v>1</v>
      </c>
      <c r="AH144" s="92">
        <f ca="1">IF(AND(Table24[[#This Row],[ValidEPD]]&lt;&gt;0,Table24[[#This Row],[Man_Ausschluss]]&lt;&gt;0),1,0)</f>
        <v>1</v>
      </c>
      <c r="AI144" s="178" cm="1">
        <f t="array" aca="1" ref="AI144" ca="1">IF(Table24[[#This Row],[gültig]]&lt;&gt;0,
IF(V144=MIN(_xlfn._xlws.FILTER($V$2:$V$282,($P$2:$P$282=P144))),1,
IF(V144=MAX(_xlfn._xlws.FILTER($V$2:$V$282,($P$2:$P$282=P144))),1,0)),0)</f>
        <v>1</v>
      </c>
      <c r="AJ144" s="180"/>
      <c r="AK144" s="2" t="s">
        <v>419</v>
      </c>
      <c r="AL144" s="2"/>
    </row>
    <row r="145" spans="1:38" x14ac:dyDescent="0.45">
      <c r="A145" s="199" t="s">
        <v>262</v>
      </c>
      <c r="B145" s="200" t="s">
        <v>519</v>
      </c>
      <c r="C145" s="115">
        <v>146</v>
      </c>
      <c r="D145" s="201" t="s">
        <v>102</v>
      </c>
      <c r="E145" s="202" t="s">
        <v>103</v>
      </c>
      <c r="F145" s="202"/>
      <c r="G145" s="203">
        <v>44411</v>
      </c>
      <c r="H145" s="203">
        <v>46236</v>
      </c>
      <c r="I145" s="96" t="s">
        <v>242</v>
      </c>
      <c r="J145" s="204" t="s">
        <v>246</v>
      </c>
      <c r="K145" s="205" t="s">
        <v>99</v>
      </c>
      <c r="L145" s="281" t="s">
        <v>328</v>
      </c>
      <c r="M145" s="201" t="s">
        <v>315</v>
      </c>
      <c r="N145" s="207" t="s">
        <v>321</v>
      </c>
      <c r="O145" s="208" t="s">
        <v>416</v>
      </c>
      <c r="P145" s="96" t="s">
        <v>525</v>
      </c>
      <c r="Q145" s="96">
        <v>470</v>
      </c>
      <c r="R145" s="202" t="s">
        <v>416</v>
      </c>
      <c r="S145" s="202" t="s">
        <v>416</v>
      </c>
      <c r="T145" s="202" t="s">
        <v>416</v>
      </c>
      <c r="U145" s="209" t="s">
        <v>416</v>
      </c>
      <c r="V145" s="123">
        <f>SUM(Table24[[#This Row],[A1toA3_GWP]:[C1toC4_GWP]])</f>
        <v>311.53191489361689</v>
      </c>
      <c r="W145" s="123">
        <f>VLOOKUP("AT",[1]Sheet1!$B$11:$F$30,4,FALSE)+Table24[[#This Row],[Total_GWP]]</f>
        <v>381.73191489361687</v>
      </c>
      <c r="X145" s="123">
        <f>VLOOKUP("AT",[1]Sheet1!$B$11:$F$30,5,FALSE)+Table24[[#This Row],[Total_GWP]]</f>
        <v>318.73191489361687</v>
      </c>
      <c r="Y145" s="123">
        <f>Table24[[#This Row],[Total_GWP]]*Table24[[#This Row],[DENSITY]]/1000</f>
        <v>146.41999999999993</v>
      </c>
      <c r="Z145" s="149">
        <f>-608/Table24[[#This Row],[DENSITY]]*1000</f>
        <v>-1293.6170212765958</v>
      </c>
      <c r="AA145" s="81">
        <f>(1.42+753)/Table24[[#This Row],[DENSITY]]*1000</f>
        <v>1605.1489361702127</v>
      </c>
      <c r="AB145" s="87">
        <f>SUM(Table24[[#This Row],[A1toA3_GWP-biogenic]:[C1toC4_GWP-biogenic]])</f>
        <v>-6.3865319148935669</v>
      </c>
      <c r="AC145" s="87">
        <f>Table24[[#This Row],[GWP-biogenic]]*Table24[[#This Row],[DENSITY]]/1000</f>
        <v>-3.0016699999999763</v>
      </c>
      <c r="AD145" s="83">
        <f>(-753)/Table24[[#This Row],[DENSITY]]*1000</f>
        <v>-1602.127659574468</v>
      </c>
      <c r="AE145" s="81">
        <f>(-1.67*10^-3+750)/Table24[[#This Row],[DENSITY]]*1000</f>
        <v>1595.7411276595744</v>
      </c>
      <c r="AF145" s="92">
        <f ca="1">IF(OR($E145="Ecoinvent",$E145="Betonsortenrechner",$E145="KBOB",$V145&lt;=0,Table24[[#This Row],[VALID_TO]]&lt;=TODAY()),0,1)</f>
        <v>1</v>
      </c>
      <c r="AG145" s="92">
        <v>1</v>
      </c>
      <c r="AH145" s="92">
        <f ca="1">IF(AND(Table24[[#This Row],[ValidEPD]]&lt;&gt;0,Table24[[#This Row],[Man_Ausschluss]]&lt;&gt;0),1,0)</f>
        <v>1</v>
      </c>
      <c r="AI145" s="178" cm="1">
        <f t="array" aca="1" ref="AI145" ca="1">IF(Table24[[#This Row],[gültig]]&lt;&gt;0,
IF(V145=MIN(_xlfn._xlws.FILTER($V$2:$V$282,($P$2:$P$282=P145))),1,
IF(V145=MAX(_xlfn._xlws.FILTER($V$2:$V$282,($P$2:$P$282=P145))),1,0)),0)</f>
        <v>1</v>
      </c>
      <c r="AJ145" s="180"/>
      <c r="AK145" s="2" t="s">
        <v>419</v>
      </c>
      <c r="AL145" s="2"/>
    </row>
    <row r="146" spans="1:38" x14ac:dyDescent="0.45">
      <c r="A146" s="199" t="s">
        <v>226</v>
      </c>
      <c r="B146" s="200"/>
      <c r="C146" s="111">
        <v>147</v>
      </c>
      <c r="D146" s="201" t="s">
        <v>104</v>
      </c>
      <c r="E146" s="202" t="s">
        <v>105</v>
      </c>
      <c r="F146" s="202"/>
      <c r="G146" s="203">
        <v>45104</v>
      </c>
      <c r="H146" s="203">
        <v>46930</v>
      </c>
      <c r="I146" s="96" t="s">
        <v>294</v>
      </c>
      <c r="J146" s="204" t="s">
        <v>610</v>
      </c>
      <c r="K146" s="205" t="s">
        <v>99</v>
      </c>
      <c r="L146" s="281" t="s">
        <v>328</v>
      </c>
      <c r="M146" s="201" t="s">
        <v>315</v>
      </c>
      <c r="N146" s="207" t="s">
        <v>321</v>
      </c>
      <c r="O146" s="208" t="s">
        <v>416</v>
      </c>
      <c r="P146" s="96" t="s">
        <v>1</v>
      </c>
      <c r="Q146" s="96">
        <v>464</v>
      </c>
      <c r="R146" s="202" t="s">
        <v>416</v>
      </c>
      <c r="S146" s="202" t="s">
        <v>416</v>
      </c>
      <c r="T146" s="202" t="s">
        <v>416</v>
      </c>
      <c r="U146" s="209" t="s">
        <v>416</v>
      </c>
      <c r="V146" s="123">
        <f>SUM(Table24[[#This Row],[A1toA3_GWP]:[C1toC4_GWP]])</f>
        <v>184.20258620689651</v>
      </c>
      <c r="W146" s="123">
        <f>VLOOKUP("AT",[1]Sheet1!$B$11:$F$30,4,FALSE)+Table24[[#This Row],[Total_GWP]]</f>
        <v>254.4025862068965</v>
      </c>
      <c r="X146" s="123">
        <f>VLOOKUP("AT",[1]Sheet1!$B$11:$F$30,5,FALSE)+Table24[[#This Row],[Total_GWP]]</f>
        <v>191.4025862068965</v>
      </c>
      <c r="Y146" s="123">
        <f>Table24[[#This Row],[Total_GWP]]*Table24[[#This Row],[DENSITY]]/1000</f>
        <v>85.469999999999985</v>
      </c>
      <c r="Z146" s="149">
        <f>-687/Table24[[#This Row],[DENSITY]]*1000</f>
        <v>-1480.6034482758621</v>
      </c>
      <c r="AA146" s="81">
        <f>(1.47+771)/Table24[[#This Row],[DENSITY]]*1000</f>
        <v>1664.8060344827586</v>
      </c>
      <c r="AB146" s="87">
        <f>SUM(Table24[[#This Row],[A1toA3_GWP-biogenic]:[C1toC4_GWP-biogenic]])</f>
        <v>8.4894396551724185</v>
      </c>
      <c r="AC146" s="87">
        <f>Table24[[#This Row],[GWP-biogenic]]*Table24[[#This Row],[DENSITY]]/1000</f>
        <v>3.939100000000002</v>
      </c>
      <c r="AD146" s="83">
        <f>(-763)/Table24[[#This Row],[DENSITY]]*1000</f>
        <v>-1644.3965517241379</v>
      </c>
      <c r="AE146" s="81">
        <f>(-6.09*10^-2+767)/Table24[[#This Row],[DENSITY]]*1000</f>
        <v>1652.8859913793103</v>
      </c>
      <c r="AF146" s="92">
        <f ca="1">IF(OR($E146="Ecoinvent",$E146="Betonsortenrechner",$E146="KBOB",$V146&lt;=0,Table24[[#This Row],[VALID_TO]]&lt;=TODAY()),0,1)</f>
        <v>1</v>
      </c>
      <c r="AG146" s="92">
        <v>1</v>
      </c>
      <c r="AH146" s="92">
        <f ca="1">IF(AND(Table24[[#This Row],[ValidEPD]]&lt;&gt;0,Table24[[#This Row],[Man_Ausschluss]]&lt;&gt;0),1,0)</f>
        <v>1</v>
      </c>
      <c r="AI146" s="178" cm="1">
        <f t="array" aca="1" ref="AI146" ca="1">IF(Table24[[#This Row],[gültig]]&lt;&gt;0,
IF(V146=MIN(_xlfn._xlws.FILTER($V$2:$V$282,($P$2:$P$282=P146))),1,
IF(V146=MAX(_xlfn._xlws.FILTER($V$2:$V$282,($P$2:$P$282=P146))),1,0)),0)</f>
        <v>0</v>
      </c>
      <c r="AJ146" s="180"/>
      <c r="AK146" s="2" t="s">
        <v>420</v>
      </c>
      <c r="AL146" s="2"/>
    </row>
    <row r="147" spans="1:38" x14ac:dyDescent="0.45">
      <c r="A147" s="199" t="s">
        <v>261</v>
      </c>
      <c r="B147" s="200" t="s">
        <v>502</v>
      </c>
      <c r="C147" s="115">
        <v>148</v>
      </c>
      <c r="D147" s="201" t="s">
        <v>107</v>
      </c>
      <c r="E147" s="202" t="s">
        <v>106</v>
      </c>
      <c r="F147" s="202"/>
      <c r="G147" s="203">
        <v>43798</v>
      </c>
      <c r="H147" s="203">
        <v>45624</v>
      </c>
      <c r="I147" s="96" t="s">
        <v>242</v>
      </c>
      <c r="J147" s="204" t="s">
        <v>242</v>
      </c>
      <c r="K147" s="205" t="s">
        <v>99</v>
      </c>
      <c r="L147" s="281" t="s">
        <v>328</v>
      </c>
      <c r="M147" s="201" t="s">
        <v>315</v>
      </c>
      <c r="N147" s="207" t="s">
        <v>321</v>
      </c>
      <c r="O147" s="208" t="s">
        <v>416</v>
      </c>
      <c r="P147" s="96" t="s">
        <v>528</v>
      </c>
      <c r="Q147" s="309">
        <v>459.2</v>
      </c>
      <c r="R147" s="202" t="s">
        <v>416</v>
      </c>
      <c r="S147" s="202" t="s">
        <v>416</v>
      </c>
      <c r="T147" s="202" t="s">
        <v>416</v>
      </c>
      <c r="U147" s="209" t="s">
        <v>416</v>
      </c>
      <c r="V147" s="123">
        <f>SUM(Table24[[#This Row],[A1toA3_GWP]:[C1toC4_GWP]])</f>
        <v>239.97386759581855</v>
      </c>
      <c r="W147" s="123">
        <f>VLOOKUP(Table24[[#This Row],[Country PRODUCTION]],[1]Sheet1!$B$11:$F$30,4,FALSE)+Table24[[#This Row],[Total_GWP]]</f>
        <v>310.17386759581854</v>
      </c>
      <c r="X147" s="123">
        <f>VLOOKUP(Table24[[#This Row],[Country PRODUCTION]],[1]Sheet1!$B$11:$F$30,5,FALSE)+Table24[[#This Row],[Total_GWP]]</f>
        <v>247.17386759581854</v>
      </c>
      <c r="Y147" s="123">
        <f>Table24[[#This Row],[Total_GWP]]*Table24[[#This Row],[DENSITY]]/1000</f>
        <v>110.19599999999987</v>
      </c>
      <c r="Z147" s="149">
        <f>(-660+6.26+14.4)/Table24[[#This Row],[DENSITY]]*1000</f>
        <v>-1392.2909407665506</v>
      </c>
      <c r="AA147" s="81">
        <f>(0.536+749)/Table24[[#This Row],[DENSITY]]*1000</f>
        <v>1632.2648083623692</v>
      </c>
      <c r="AB147" s="87">
        <f>SUM(Table24[[#This Row],[A1toA3_GWP-biogenic]:[C1toC4_GWP-biogenic]])</f>
        <v>0</v>
      </c>
      <c r="AC147" s="87">
        <f>Table24[[#This Row],[GWP-biogenic]]*Table24[[#This Row],[DENSITY]]/1000</f>
        <v>0</v>
      </c>
      <c r="AD147" s="83" t="s">
        <v>416</v>
      </c>
      <c r="AE147" s="81" t="s">
        <v>416</v>
      </c>
      <c r="AF147" s="92">
        <f ca="1">IF(OR($E147="Ecoinvent",$E147="Betonsortenrechner",$E147="KBOB",$V147&lt;=0,Table24[[#This Row],[VALID_TO]]&lt;=TODAY()),0,1)</f>
        <v>0</v>
      </c>
      <c r="AG147" s="92">
        <v>1</v>
      </c>
      <c r="AH147" s="92">
        <f ca="1">IF(AND(Table24[[#This Row],[ValidEPD]]&lt;&gt;0,Table24[[#This Row],[Man_Ausschluss]]&lt;&gt;0),1,0)</f>
        <v>0</v>
      </c>
      <c r="AI147" s="178" cm="1">
        <f t="array" aca="1" ref="AI147" ca="1">IF(Table24[[#This Row],[gültig]]&lt;&gt;0,
IF(V147=MIN(_xlfn._xlws.FILTER($V$2:$V$282,($P$2:$P$282=P147))),1,
IF(V147=MAX(_xlfn._xlws.FILTER($V$2:$V$282,($P$2:$P$282=P147))),1,0)),0)</f>
        <v>0</v>
      </c>
      <c r="AJ147" s="180"/>
      <c r="AK147" s="2"/>
      <c r="AL147" s="2"/>
    </row>
    <row r="148" spans="1:38" x14ac:dyDescent="0.45">
      <c r="A148" s="199" t="s">
        <v>261</v>
      </c>
      <c r="B148" s="200" t="s">
        <v>518</v>
      </c>
      <c r="C148" s="111">
        <v>149</v>
      </c>
      <c r="D148" s="201" t="s">
        <v>107</v>
      </c>
      <c r="E148" s="202" t="s">
        <v>106</v>
      </c>
      <c r="F148" s="202"/>
      <c r="G148" s="203">
        <v>43798</v>
      </c>
      <c r="H148" s="203">
        <v>45624</v>
      </c>
      <c r="I148" s="96" t="s">
        <v>242</v>
      </c>
      <c r="J148" s="204" t="s">
        <v>242</v>
      </c>
      <c r="K148" s="205" t="s">
        <v>99</v>
      </c>
      <c r="L148" s="281" t="s">
        <v>328</v>
      </c>
      <c r="M148" s="201" t="s">
        <v>315</v>
      </c>
      <c r="N148" s="207" t="s">
        <v>321</v>
      </c>
      <c r="O148" s="208" t="s">
        <v>416</v>
      </c>
      <c r="P148" s="96" t="s">
        <v>527</v>
      </c>
      <c r="Q148" s="309">
        <v>459.2</v>
      </c>
      <c r="R148" s="202" t="s">
        <v>416</v>
      </c>
      <c r="S148" s="202" t="s">
        <v>416</v>
      </c>
      <c r="T148" s="202" t="s">
        <v>416</v>
      </c>
      <c r="U148" s="209" t="s">
        <v>416</v>
      </c>
      <c r="V148" s="123">
        <f>SUM(Table24[[#This Row],[A1toA3_GWP]:[C1toC4_GWP]])</f>
        <v>239.97386759581855</v>
      </c>
      <c r="W148" s="123">
        <f>VLOOKUP(Table24[[#This Row],[Country PRODUCTION]],[1]Sheet1!$B$11:$F$30,4,FALSE)+Table24[[#This Row],[Total_GWP]]</f>
        <v>310.17386759581854</v>
      </c>
      <c r="X148" s="123">
        <f>VLOOKUP(Table24[[#This Row],[Country PRODUCTION]],[1]Sheet1!$B$11:$F$30,5,FALSE)+Table24[[#This Row],[Total_GWP]]</f>
        <v>247.17386759581854</v>
      </c>
      <c r="Y148" s="123">
        <f>Table24[[#This Row],[Total_GWP]]*Table24[[#This Row],[DENSITY]]/1000</f>
        <v>110.19599999999987</v>
      </c>
      <c r="Z148" s="149">
        <f>(-660+6.26+14.4)/Table24[[#This Row],[DENSITY]]*1000</f>
        <v>-1392.2909407665506</v>
      </c>
      <c r="AA148" s="81">
        <f>(0.536+749)/Table24[[#This Row],[DENSITY]]*1000</f>
        <v>1632.2648083623692</v>
      </c>
      <c r="AB148" s="87">
        <f>SUM(Table24[[#This Row],[A1toA3_GWP-biogenic]:[C1toC4_GWP-biogenic]])</f>
        <v>0</v>
      </c>
      <c r="AC148" s="87">
        <f>Table24[[#This Row],[GWP-biogenic]]*Table24[[#This Row],[DENSITY]]/1000</f>
        <v>0</v>
      </c>
      <c r="AD148" s="83" t="s">
        <v>416</v>
      </c>
      <c r="AE148" s="81" t="s">
        <v>416</v>
      </c>
      <c r="AF148" s="92">
        <f ca="1">IF(OR($E148="Ecoinvent",$E148="Betonsortenrechner",$E148="KBOB",$V148&lt;=0,Table24[[#This Row],[VALID_TO]]&lt;=TODAY()),0,1)</f>
        <v>0</v>
      </c>
      <c r="AG148" s="92">
        <v>1</v>
      </c>
      <c r="AH148" s="92">
        <f ca="1">IF(AND(Table24[[#This Row],[ValidEPD]]&lt;&gt;0,Table24[[#This Row],[Man_Ausschluss]]&lt;&gt;0),1,0)</f>
        <v>0</v>
      </c>
      <c r="AI148" s="178" cm="1">
        <f t="array" aca="1" ref="AI148" ca="1">IF(Table24[[#This Row],[gültig]]&lt;&gt;0,
IF(V148=MIN(_xlfn._xlws.FILTER($V$2:$V$282,($P$2:$P$282=P148))),1,
IF(V148=MAX(_xlfn._xlws.FILTER($V$2:$V$282,($P$2:$P$282=P148))),1,0)),0)</f>
        <v>0</v>
      </c>
      <c r="AJ148" s="180"/>
      <c r="AK148" s="2"/>
      <c r="AL148" s="2"/>
    </row>
    <row r="149" spans="1:38" x14ac:dyDescent="0.45">
      <c r="A149" s="199" t="s">
        <v>261</v>
      </c>
      <c r="B149" s="200" t="s">
        <v>519</v>
      </c>
      <c r="C149" s="115">
        <v>150</v>
      </c>
      <c r="D149" s="201" t="s">
        <v>107</v>
      </c>
      <c r="E149" s="202" t="s">
        <v>106</v>
      </c>
      <c r="F149" s="202"/>
      <c r="G149" s="203">
        <v>43798</v>
      </c>
      <c r="H149" s="203">
        <v>45624</v>
      </c>
      <c r="I149" s="96" t="s">
        <v>242</v>
      </c>
      <c r="J149" s="204" t="s">
        <v>242</v>
      </c>
      <c r="K149" s="205" t="s">
        <v>99</v>
      </c>
      <c r="L149" s="281" t="s">
        <v>328</v>
      </c>
      <c r="M149" s="201" t="s">
        <v>315</v>
      </c>
      <c r="N149" s="207" t="s">
        <v>321</v>
      </c>
      <c r="O149" s="208" t="s">
        <v>416</v>
      </c>
      <c r="P149" s="96" t="s">
        <v>529</v>
      </c>
      <c r="Q149" s="309">
        <v>459.2</v>
      </c>
      <c r="R149" s="202" t="s">
        <v>416</v>
      </c>
      <c r="S149" s="202" t="s">
        <v>416</v>
      </c>
      <c r="T149" s="202" t="s">
        <v>416</v>
      </c>
      <c r="U149" s="209" t="s">
        <v>416</v>
      </c>
      <c r="V149" s="123">
        <f>SUM(Table24[[#This Row],[A1toA3_GWP]:[C1toC4_GWP]])</f>
        <v>239.97386759581855</v>
      </c>
      <c r="W149" s="123">
        <f>VLOOKUP(Table24[[#This Row],[Country PRODUCTION]],[1]Sheet1!$B$11:$F$30,4,FALSE)+Table24[[#This Row],[Total_GWP]]</f>
        <v>310.17386759581854</v>
      </c>
      <c r="X149" s="123">
        <f>VLOOKUP(Table24[[#This Row],[Country PRODUCTION]],[1]Sheet1!$B$11:$F$30,5,FALSE)+Table24[[#This Row],[Total_GWP]]</f>
        <v>247.17386759581854</v>
      </c>
      <c r="Y149" s="123">
        <f>Table24[[#This Row],[Total_GWP]]*Table24[[#This Row],[DENSITY]]/1000</f>
        <v>110.19599999999987</v>
      </c>
      <c r="Z149" s="149">
        <f>(-660+6.26+14.4)/Table24[[#This Row],[DENSITY]]*1000</f>
        <v>-1392.2909407665506</v>
      </c>
      <c r="AA149" s="81">
        <f>(0.536+749)/Table24[[#This Row],[DENSITY]]*1000</f>
        <v>1632.2648083623692</v>
      </c>
      <c r="AB149" s="87">
        <f>SUM(Table24[[#This Row],[A1toA3_GWP-biogenic]:[C1toC4_GWP-biogenic]])</f>
        <v>0</v>
      </c>
      <c r="AC149" s="87">
        <f>Table24[[#This Row],[GWP-biogenic]]*Table24[[#This Row],[DENSITY]]/1000</f>
        <v>0</v>
      </c>
      <c r="AD149" s="83" t="s">
        <v>416</v>
      </c>
      <c r="AE149" s="81" t="s">
        <v>416</v>
      </c>
      <c r="AF149" s="92">
        <f ca="1">IF(OR($E149="Ecoinvent",$E149="Betonsortenrechner",$E149="KBOB",$V149&lt;=0,Table24[[#This Row],[VALID_TO]]&lt;=TODAY()),0,1)</f>
        <v>0</v>
      </c>
      <c r="AG149" s="92">
        <v>1</v>
      </c>
      <c r="AH149" s="92">
        <f ca="1">IF(AND(Table24[[#This Row],[ValidEPD]]&lt;&gt;0,Table24[[#This Row],[Man_Ausschluss]]&lt;&gt;0),1,0)</f>
        <v>0</v>
      </c>
      <c r="AI149" s="178" cm="1">
        <f t="array" aca="1" ref="AI149" ca="1">IF(Table24[[#This Row],[gültig]]&lt;&gt;0,
IF(V149=MIN(_xlfn._xlws.FILTER($V$2:$V$282,($P$2:$P$282=P149))),1,
IF(V149=MAX(_xlfn._xlws.FILTER($V$2:$V$282,($P$2:$P$282=P149))),1,0)),0)</f>
        <v>0</v>
      </c>
      <c r="AJ149" s="180"/>
      <c r="AK149" s="2"/>
      <c r="AL149" s="2"/>
    </row>
    <row r="150" spans="1:38" x14ac:dyDescent="0.45">
      <c r="A150" s="199" t="s">
        <v>261</v>
      </c>
      <c r="B150" s="200" t="s">
        <v>520</v>
      </c>
      <c r="C150" s="111">
        <v>151</v>
      </c>
      <c r="D150" s="201" t="s">
        <v>107</v>
      </c>
      <c r="E150" s="202" t="s">
        <v>106</v>
      </c>
      <c r="F150" s="202"/>
      <c r="G150" s="203">
        <v>43798</v>
      </c>
      <c r="H150" s="203">
        <v>45624</v>
      </c>
      <c r="I150" s="96" t="s">
        <v>242</v>
      </c>
      <c r="J150" s="204" t="s">
        <v>242</v>
      </c>
      <c r="K150" s="205" t="s">
        <v>99</v>
      </c>
      <c r="L150" s="281" t="s">
        <v>328</v>
      </c>
      <c r="M150" s="201" t="s">
        <v>315</v>
      </c>
      <c r="N150" s="207" t="s">
        <v>321</v>
      </c>
      <c r="O150" s="208" t="s">
        <v>416</v>
      </c>
      <c r="P150" s="96" t="s">
        <v>530</v>
      </c>
      <c r="Q150" s="309">
        <v>459.2</v>
      </c>
      <c r="R150" s="202" t="s">
        <v>416</v>
      </c>
      <c r="S150" s="202" t="s">
        <v>416</v>
      </c>
      <c r="T150" s="202" t="s">
        <v>416</v>
      </c>
      <c r="U150" s="209" t="s">
        <v>416</v>
      </c>
      <c r="V150" s="123">
        <f>SUM(Table24[[#This Row],[A1toA3_GWP]:[C1toC4_GWP]])</f>
        <v>239.97386759581855</v>
      </c>
      <c r="W150" s="123">
        <f>VLOOKUP(Table24[[#This Row],[Country PRODUCTION]],[1]Sheet1!$B$11:$F$30,4,FALSE)+Table24[[#This Row],[Total_GWP]]</f>
        <v>310.17386759581854</v>
      </c>
      <c r="X150" s="123">
        <f>VLOOKUP(Table24[[#This Row],[Country PRODUCTION]],[1]Sheet1!$B$11:$F$30,5,FALSE)+Table24[[#This Row],[Total_GWP]]</f>
        <v>247.17386759581854</v>
      </c>
      <c r="Y150" s="123">
        <f>Table24[[#This Row],[Total_GWP]]*Table24[[#This Row],[DENSITY]]/1000</f>
        <v>110.19599999999987</v>
      </c>
      <c r="Z150" s="149">
        <f>(-660+6.26+14.4)/Table24[[#This Row],[DENSITY]]*1000</f>
        <v>-1392.2909407665506</v>
      </c>
      <c r="AA150" s="81">
        <f>(0.536+749)/Table24[[#This Row],[DENSITY]]*1000</f>
        <v>1632.2648083623692</v>
      </c>
      <c r="AB150" s="87">
        <f>SUM(Table24[[#This Row],[A1toA3_GWP-biogenic]:[C1toC4_GWP-biogenic]])</f>
        <v>0</v>
      </c>
      <c r="AC150" s="87">
        <f>Table24[[#This Row],[GWP-biogenic]]*Table24[[#This Row],[DENSITY]]/1000</f>
        <v>0</v>
      </c>
      <c r="AD150" s="83" t="s">
        <v>416</v>
      </c>
      <c r="AE150" s="81" t="s">
        <v>416</v>
      </c>
      <c r="AF150" s="92">
        <f ca="1">IF(OR($E150="Ecoinvent",$E150="Betonsortenrechner",$E150="KBOB",$V150&lt;=0,Table24[[#This Row],[VALID_TO]]&lt;=TODAY()),0,1)</f>
        <v>0</v>
      </c>
      <c r="AG150" s="92">
        <v>1</v>
      </c>
      <c r="AH150" s="92">
        <f ca="1">IF(AND(Table24[[#This Row],[ValidEPD]]&lt;&gt;0,Table24[[#This Row],[Man_Ausschluss]]&lt;&gt;0),1,0)</f>
        <v>0</v>
      </c>
      <c r="AI150" s="178" cm="1">
        <f t="array" aca="1" ref="AI150" ca="1">IF(Table24[[#This Row],[gültig]]&lt;&gt;0,
IF(V150=MIN(_xlfn._xlws.FILTER($V$2:$V$282,($P$2:$P$282=P150))),1,
IF(V150=MAX(_xlfn._xlws.FILTER($V$2:$V$282,($P$2:$P$282=P150))),1,0)),0)</f>
        <v>0</v>
      </c>
      <c r="AJ150" s="180"/>
      <c r="AK150" s="2"/>
      <c r="AL150" s="2"/>
    </row>
    <row r="151" spans="1:38" ht="14.25" customHeight="1" x14ac:dyDescent="0.45">
      <c r="A151" s="199" t="s">
        <v>360</v>
      </c>
      <c r="B151" s="200"/>
      <c r="C151" s="115">
        <v>152</v>
      </c>
      <c r="D151" s="201" t="s">
        <v>108</v>
      </c>
      <c r="E151" s="202" t="s">
        <v>103</v>
      </c>
      <c r="F151" s="202"/>
      <c r="G151" s="203">
        <v>44411</v>
      </c>
      <c r="H151" s="203">
        <v>46236</v>
      </c>
      <c r="I151" s="96" t="s">
        <v>242</v>
      </c>
      <c r="J151" s="204" t="s">
        <v>242</v>
      </c>
      <c r="K151" s="205" t="s">
        <v>109</v>
      </c>
      <c r="L151" s="289" t="s">
        <v>329</v>
      </c>
      <c r="M151" s="103" t="s">
        <v>315</v>
      </c>
      <c r="N151" s="290" t="s">
        <v>322</v>
      </c>
      <c r="O151" s="208" t="s">
        <v>416</v>
      </c>
      <c r="P151" s="96" t="s">
        <v>114</v>
      </c>
      <c r="Q151" s="96">
        <v>470</v>
      </c>
      <c r="R151" s="202" t="s">
        <v>416</v>
      </c>
      <c r="S151" s="202" t="s">
        <v>416</v>
      </c>
      <c r="T151" s="202" t="s">
        <v>416</v>
      </c>
      <c r="U151" s="209" t="s">
        <v>416</v>
      </c>
      <c r="V151" s="123">
        <f>SUM(Table24[[#This Row],[A1toA3_GWP]:[C1toC4_GWP]])</f>
        <v>137.063829787234</v>
      </c>
      <c r="W151" s="123">
        <f>VLOOKUP(Table24[[#This Row],[Country PRODUCTION]],[1]Sheet1!$B$11:$F$30,4,FALSE)+Table24[[#This Row],[Total_GWP]]</f>
        <v>207.26382978723399</v>
      </c>
      <c r="X151" s="123">
        <f>VLOOKUP(Table24[[#This Row],[Country PRODUCTION]],[1]Sheet1!$B$11:$F$30,5,FALSE)+Table24[[#This Row],[Total_GWP]]</f>
        <v>144.26382978723399</v>
      </c>
      <c r="Y151" s="149">
        <f>Table24[[#This Row],[Total_GWP]]*Table24[[#This Row],[DENSITY]]/1000</f>
        <v>64.419999999999973</v>
      </c>
      <c r="Z151" s="149">
        <f>(-696)/Table24[[#This Row],[DENSITY]]*1000</f>
        <v>-1480.8510638297871</v>
      </c>
      <c r="AA151" s="81">
        <f>(1.42+759)/Table24[[#This Row],[DENSITY]]*1000</f>
        <v>1617.9148936170211</v>
      </c>
      <c r="AB151" s="87">
        <f>SUM(Table24[[#This Row],[A1toA3_GWP-biogenic]:[C1toC4_GWP-biogenic]])</f>
        <v>12.762404255319098</v>
      </c>
      <c r="AC151" s="87">
        <f>Table24[[#This Row],[GWP-biogenic]]*Table24[[#This Row],[DENSITY]]/1000</f>
        <v>5.9983299999999762</v>
      </c>
      <c r="AD151" s="83">
        <f>(-753)/Table24[[#This Row],[DENSITY]]*1000</f>
        <v>-1602.127659574468</v>
      </c>
      <c r="AE151" s="85">
        <f>(-1.67*10^-3+759)/Table24[[#This Row],[DENSITY]]*1000</f>
        <v>1614.8900638297871</v>
      </c>
      <c r="AF151" s="92">
        <f ca="1">IF(OR($E151="Ecoinvent",$E151="Betonsortenrechner",$E151="KBOB",$V151&lt;=0,Table24[[#This Row],[VALID_TO]]&lt;=TODAY()),0,1)</f>
        <v>1</v>
      </c>
      <c r="AG151" s="92">
        <v>1</v>
      </c>
      <c r="AH151" s="92">
        <f ca="1">IF(AND(Table24[[#This Row],[ValidEPD]]&lt;&gt;0,Table24[[#This Row],[Man_Ausschluss]]&lt;&gt;0),1,0)</f>
        <v>1</v>
      </c>
      <c r="AI151" s="178" cm="1">
        <f t="array" aca="1" ref="AI151" ca="1">IF(Table24[[#This Row],[gültig]]&lt;&gt;0,
IF(V151=MIN(_xlfn._xlws.FILTER($V$2:$V$282,($P$2:$P$282=P151))),1,
IF(V151=MAX(_xlfn._xlws.FILTER($V$2:$V$282,($P$2:$P$282=P151))),1,0)),0)</f>
        <v>0</v>
      </c>
      <c r="AJ151" s="180"/>
      <c r="AK151" s="31" t="s">
        <v>405</v>
      </c>
      <c r="AL151" s="31" t="s">
        <v>408</v>
      </c>
    </row>
    <row r="152" spans="1:38" x14ac:dyDescent="0.45">
      <c r="A152" s="199" t="s">
        <v>227</v>
      </c>
      <c r="B152" s="200"/>
      <c r="C152" s="111">
        <v>153</v>
      </c>
      <c r="D152" s="201" t="s">
        <v>111</v>
      </c>
      <c r="E152" s="202" t="s">
        <v>110</v>
      </c>
      <c r="F152" s="202"/>
      <c r="G152" s="203">
        <v>45386</v>
      </c>
      <c r="H152" s="203">
        <v>47211</v>
      </c>
      <c r="I152" s="96" t="s">
        <v>266</v>
      </c>
      <c r="J152" s="204" t="s">
        <v>266</v>
      </c>
      <c r="K152" s="205" t="s">
        <v>99</v>
      </c>
      <c r="L152" s="281" t="s">
        <v>328</v>
      </c>
      <c r="M152" s="201" t="s">
        <v>315</v>
      </c>
      <c r="N152" s="207" t="s">
        <v>321</v>
      </c>
      <c r="O152" s="208" t="s">
        <v>416</v>
      </c>
      <c r="P152" s="96" t="s">
        <v>1</v>
      </c>
      <c r="Q152" s="96">
        <v>430</v>
      </c>
      <c r="R152" s="202" t="s">
        <v>416</v>
      </c>
      <c r="S152" s="202" t="s">
        <v>416</v>
      </c>
      <c r="T152" s="202" t="s">
        <v>416</v>
      </c>
      <c r="U152" s="209" t="s">
        <v>416</v>
      </c>
      <c r="V152" s="123">
        <f>SUM(Table24[[#This Row],[A1toA3_GWP]:[C1toC4_GWP]])</f>
        <v>442.09302325581416</v>
      </c>
      <c r="W152" s="123">
        <f>VLOOKUP(Table24[[#This Row],[Country PRODUCTION]],[1]Sheet1!$B$11:$F$30,4,FALSE)+Table24[[#This Row],[Total_GWP]]</f>
        <v>518.14302325581411</v>
      </c>
      <c r="X152" s="123">
        <f>VLOOKUP(Table24[[#This Row],[Country PRODUCTION]],[1]Sheet1!$B$11:$F$30,5,FALSE)+Table24[[#This Row],[Total_GWP]]</f>
        <v>449.89302325581417</v>
      </c>
      <c r="Y152" s="123">
        <f>Table24[[#This Row],[Total_GWP]]*Table24[[#This Row],[DENSITY]]/1000</f>
        <v>190.10000000000008</v>
      </c>
      <c r="Z152" s="149">
        <f>(-554)/Table24[[#This Row],[DENSITY]]*1000</f>
        <v>-1288.3720930232557</v>
      </c>
      <c r="AA152" s="81">
        <f>(19.1+725)/Table24[[#This Row],[DENSITY]]*1000</f>
        <v>1730.4651162790699</v>
      </c>
      <c r="AB152" s="87">
        <f>SUM(Table24[[#This Row],[A1toA3_GWP-biogenic]:[C1toC4_GWP-biogenic]])</f>
        <v>0</v>
      </c>
      <c r="AC152" s="87">
        <f>Table24[[#This Row],[GWP-biogenic]]*Table24[[#This Row],[DENSITY]]/1000</f>
        <v>0</v>
      </c>
      <c r="AD152" s="83">
        <f>(-713)/Table24[[#This Row],[DENSITY]]*1000</f>
        <v>-1658.1395348837209</v>
      </c>
      <c r="AE152" s="85">
        <f>(713)/Table24[[#This Row],[DENSITY]]*1000</f>
        <v>1658.1395348837209</v>
      </c>
      <c r="AF152" s="92">
        <f ca="1">IF(OR($E152="Ecoinvent",$E152="Betonsortenrechner",$E152="KBOB",$V152&lt;=0,Table24[[#This Row],[VALID_TO]]&lt;=TODAY()),0,1)</f>
        <v>1</v>
      </c>
      <c r="AG152" s="92">
        <v>1</v>
      </c>
      <c r="AH152" s="92">
        <f ca="1">IF(AND(Table24[[#This Row],[ValidEPD]]&lt;&gt;0,Table24[[#This Row],[Man_Ausschluss]]&lt;&gt;0),1,0)</f>
        <v>1</v>
      </c>
      <c r="AI152" s="178" cm="1">
        <f t="array" aca="1" ref="AI152" ca="1">IF(Table24[[#This Row],[gültig]]&lt;&gt;0,
IF(V152=MIN(_xlfn._xlws.FILTER($V$2:$V$282,($P$2:$P$282=P152))),1,
IF(V152=MAX(_xlfn._xlws.FILTER($V$2:$V$282,($P$2:$P$282=P152))),1,0)),0)</f>
        <v>0</v>
      </c>
      <c r="AJ152" s="180"/>
      <c r="AK152" s="2" t="s">
        <v>422</v>
      </c>
      <c r="AL152" s="2"/>
    </row>
    <row r="153" spans="1:38" x14ac:dyDescent="0.45">
      <c r="A153" s="199" t="s">
        <v>228</v>
      </c>
      <c r="B153" s="200"/>
      <c r="C153" s="115">
        <v>154</v>
      </c>
      <c r="D153" s="201" t="s">
        <v>112</v>
      </c>
      <c r="E153" s="202" t="s">
        <v>110</v>
      </c>
      <c r="F153" s="202"/>
      <c r="G153" s="203">
        <v>45386</v>
      </c>
      <c r="H153" s="203">
        <v>47211</v>
      </c>
      <c r="I153" s="96" t="s">
        <v>266</v>
      </c>
      <c r="J153" s="204" t="s">
        <v>266</v>
      </c>
      <c r="K153" s="205" t="s">
        <v>113</v>
      </c>
      <c r="L153" s="281" t="s">
        <v>491</v>
      </c>
      <c r="M153" s="201" t="s">
        <v>315</v>
      </c>
      <c r="N153" s="207" t="s">
        <v>494</v>
      </c>
      <c r="O153" s="208" t="s">
        <v>416</v>
      </c>
      <c r="P153" s="96" t="s">
        <v>114</v>
      </c>
      <c r="Q153" s="96">
        <v>430</v>
      </c>
      <c r="R153" s="202" t="s">
        <v>416</v>
      </c>
      <c r="S153" s="202" t="s">
        <v>416</v>
      </c>
      <c r="T153" s="202" t="s">
        <v>416</v>
      </c>
      <c r="U153" s="209" t="s">
        <v>416</v>
      </c>
      <c r="V153" s="123">
        <f>SUM(Table24[[#This Row],[A1toA3_GWP]:[C1toC4_GWP]])</f>
        <v>556.04651162790697</v>
      </c>
      <c r="W153" s="123">
        <f>VLOOKUP(Table24[[#This Row],[Country PRODUCTION]],[1]Sheet1!$B$11:$F$30,4,FALSE)+Table24[[#This Row],[Total_GWP]]</f>
        <v>632.09651162790692</v>
      </c>
      <c r="X153" s="123">
        <f>VLOOKUP(Table24[[#This Row],[Country PRODUCTION]],[1]Sheet1!$B$11:$F$30,5,FALSE)+Table24[[#This Row],[Total_GWP]]</f>
        <v>563.84651162790692</v>
      </c>
      <c r="Y153" s="123">
        <f>Table24[[#This Row],[Total_GWP]]*Table24[[#This Row],[DENSITY]]/1000</f>
        <v>239.1</v>
      </c>
      <c r="Z153" s="149">
        <f>(-505)/Table24[[#This Row],[DENSITY]]*1000</f>
        <v>-1174.4186046511629</v>
      </c>
      <c r="AA153" s="81">
        <f>(19.1+725)/Table24[[#This Row],[DENSITY]]*1000</f>
        <v>1730.4651162790699</v>
      </c>
      <c r="AB153" s="87">
        <f>SUM(Table24[[#This Row],[A1toA3_GWP-biogenic]:[C1toC4_GWP-biogenic]])</f>
        <v>0</v>
      </c>
      <c r="AC153" s="87">
        <f>Table24[[#This Row],[GWP-biogenic]]*Table24[[#This Row],[DENSITY]]/1000</f>
        <v>0</v>
      </c>
      <c r="AD153" s="87">
        <f>(-713)/Table24[[#This Row],[DENSITY]]*1000</f>
        <v>-1658.1395348837209</v>
      </c>
      <c r="AE153" s="86">
        <f>(713)/Table24[[#This Row],[DENSITY]]*1000</f>
        <v>1658.1395348837209</v>
      </c>
      <c r="AF153" s="92">
        <f ca="1">IF(OR($E153="Ecoinvent",$E153="Betonsortenrechner",$E153="KBOB",$V153&lt;=0,Table24[[#This Row],[VALID_TO]]&lt;=TODAY()),0,1)</f>
        <v>1</v>
      </c>
      <c r="AG153" s="92">
        <v>1</v>
      </c>
      <c r="AH153" s="92">
        <f ca="1">IF(AND(Table24[[#This Row],[ValidEPD]]&lt;&gt;0,Table24[[#This Row],[Man_Ausschluss]]&lt;&gt;0),1,0)</f>
        <v>1</v>
      </c>
      <c r="AI153" s="178" cm="1">
        <f t="array" aca="1" ref="AI153" ca="1">IF(Table24[[#This Row],[gültig]]&lt;&gt;0,
IF(V153=MIN(_xlfn._xlws.FILTER($V$2:$V$282,($P$2:$P$282=P153))),1,
IF(V153=MAX(_xlfn._xlws.FILTER($V$2:$V$282,($P$2:$P$282=P153))),1,0)),0)</f>
        <v>0</v>
      </c>
      <c r="AJ153" s="180"/>
      <c r="AK153" s="2" t="s">
        <v>422</v>
      </c>
      <c r="AL153" s="2"/>
    </row>
    <row r="154" spans="1:38" x14ac:dyDescent="0.45">
      <c r="A154" s="199" t="s">
        <v>361</v>
      </c>
      <c r="B154" s="200"/>
      <c r="C154" s="111">
        <v>155</v>
      </c>
      <c r="D154" s="103" t="s">
        <v>117</v>
      </c>
      <c r="E154" s="102" t="s">
        <v>284</v>
      </c>
      <c r="F154" s="102"/>
      <c r="G154" s="286" t="s">
        <v>117</v>
      </c>
      <c r="H154" s="283" t="s">
        <v>117</v>
      </c>
      <c r="I154" s="96" t="s">
        <v>266</v>
      </c>
      <c r="J154" s="204" t="s">
        <v>416</v>
      </c>
      <c r="K154" s="205" t="s">
        <v>116</v>
      </c>
      <c r="L154" s="281" t="s">
        <v>330</v>
      </c>
      <c r="M154" s="201" t="s">
        <v>315</v>
      </c>
      <c r="N154" s="207" t="s">
        <v>323</v>
      </c>
      <c r="O154" s="208" t="s">
        <v>416</v>
      </c>
      <c r="P154" s="96" t="s">
        <v>114</v>
      </c>
      <c r="Q154" s="96">
        <v>435</v>
      </c>
      <c r="R154" s="202" t="s">
        <v>416</v>
      </c>
      <c r="S154" s="202" t="s">
        <v>416</v>
      </c>
      <c r="T154" s="202" t="s">
        <v>416</v>
      </c>
      <c r="U154" s="209" t="s">
        <v>416</v>
      </c>
      <c r="V154" s="92">
        <f>SUM(Table24[[#This Row],[A1toA3_GWP]:[C1toC4_GWP]])</f>
        <v>3056.7816091954023</v>
      </c>
      <c r="W154" s="92"/>
      <c r="X154" s="92"/>
      <c r="Y154" s="92">
        <f>Table24[[#This Row],[Total_GWP]]*Table24[[#This Row],[DENSITY]]/1000</f>
        <v>1329.7</v>
      </c>
      <c r="Z154" s="99">
        <f>(-1220-1400+3250)/Table24[[#This Row],[DENSITY]]*1000</f>
        <v>1448.2758620689656</v>
      </c>
      <c r="AA154" s="100">
        <f>(0.7+699)/Table24[[#This Row],[DENSITY]]*1000</f>
        <v>1608.5057471264367</v>
      </c>
      <c r="AB154" s="87">
        <f>SUM(Table24[[#This Row],[A1toA3_GWP-biogenic]:[C1toC4_GWP-biogenic]])</f>
        <v>0</v>
      </c>
      <c r="AC154" s="87">
        <f>Table24[[#This Row],[GWP-biogenic]]*Table24[[#This Row],[DENSITY]]/1000</f>
        <v>0</v>
      </c>
      <c r="AD154" s="83">
        <f>(-699)/Table24[[#This Row],[DENSITY]]*1000</f>
        <v>-1606.8965517241381</v>
      </c>
      <c r="AE154" s="85">
        <f>(699)/Table24[[#This Row],[DENSITY]]*1000</f>
        <v>1606.8965517241381</v>
      </c>
      <c r="AF154" s="92">
        <f ca="1">IF(OR($E154="Ecoinvent",$E154="Betonsortenrechner",$E154="KBOB",$V154&lt;=0,Table24[[#This Row],[VALID_TO]]&lt;=TODAY()),0,1)</f>
        <v>1</v>
      </c>
      <c r="AG154" s="92">
        <v>1</v>
      </c>
      <c r="AH154" s="92">
        <f ca="1">IF(AND(Table24[[#This Row],[ValidEPD]]&lt;&gt;0,Table24[[#This Row],[Man_Ausschluss]]&lt;&gt;0),1,0)</f>
        <v>1</v>
      </c>
      <c r="AI154" s="178" cm="1">
        <f t="array" aca="1" ref="AI154" ca="1">IF(Table24[[#This Row],[gültig]]&lt;&gt;0,
IF(V154=MIN(_xlfn._xlws.FILTER($V$2:$V$282,($P$2:$P$282=P154))),1,
IF(V154=MAX(_xlfn._xlws.FILTER($V$2:$V$282,($P$2:$P$282=P154))),1,0)),0)</f>
        <v>1</v>
      </c>
      <c r="AJ154" s="180"/>
      <c r="AK154" s="2"/>
      <c r="AL154" s="2"/>
    </row>
    <row r="155" spans="1:38" x14ac:dyDescent="0.45">
      <c r="A155" s="199" t="s">
        <v>229</v>
      </c>
      <c r="B155" s="200"/>
      <c r="C155" s="115">
        <v>156</v>
      </c>
      <c r="D155" s="201" t="s">
        <v>118</v>
      </c>
      <c r="E155" s="202" t="s">
        <v>119</v>
      </c>
      <c r="F155" s="202"/>
      <c r="G155" s="203">
        <v>45106</v>
      </c>
      <c r="H155" s="203">
        <v>46933</v>
      </c>
      <c r="I155" s="96" t="s">
        <v>242</v>
      </c>
      <c r="J155" s="204" t="s">
        <v>242</v>
      </c>
      <c r="K155" s="205" t="s">
        <v>113</v>
      </c>
      <c r="L155" s="281" t="s">
        <v>491</v>
      </c>
      <c r="M155" s="201" t="s">
        <v>315</v>
      </c>
      <c r="N155" s="207" t="s">
        <v>494</v>
      </c>
      <c r="O155" s="208" t="s">
        <v>416</v>
      </c>
      <c r="P155" s="96" t="s">
        <v>114</v>
      </c>
      <c r="Q155" s="96">
        <v>470</v>
      </c>
      <c r="R155" s="202" t="s">
        <v>416</v>
      </c>
      <c r="S155" s="202" t="s">
        <v>416</v>
      </c>
      <c r="T155" s="202" t="s">
        <v>416</v>
      </c>
      <c r="U155" s="209" t="s">
        <v>416</v>
      </c>
      <c r="V155" s="123">
        <f>SUM(Table24[[#This Row],[A1toA3_GWP]:[C1toC4_GWP]])</f>
        <v>243.38297872340422</v>
      </c>
      <c r="W155" s="123">
        <f>VLOOKUP(Table24[[#This Row],[Country PRODUCTION]],[1]Sheet1!$B$11:$F$30,4,FALSE)+Table24[[#This Row],[Total_GWP]]</f>
        <v>313.58297872340421</v>
      </c>
      <c r="X155" s="123">
        <f>VLOOKUP(Table24[[#This Row],[Country PRODUCTION]],[1]Sheet1!$B$11:$F$30,5,FALSE)+Table24[[#This Row],[Total_GWP]]</f>
        <v>250.58297872340421</v>
      </c>
      <c r="Y155" s="123">
        <f>Table24[[#This Row],[Total_GWP]]*Table24[[#This Row],[DENSITY]]/1000</f>
        <v>114.38999999999999</v>
      </c>
      <c r="Z155" s="149">
        <f>(-675)/Table24[[#This Row],[DENSITY]]*1000</f>
        <v>-1436.1702127659576</v>
      </c>
      <c r="AA155" s="81">
        <f>(9.42+3.97+776)/Table24[[#This Row],[DENSITY]]*1000</f>
        <v>1679.5531914893618</v>
      </c>
      <c r="AB155" s="87">
        <f>SUM(Table24[[#This Row],[A1toA3_GWP-biogenic]:[C1toC4_GWP-biogenic]])</f>
        <v>0</v>
      </c>
      <c r="AC155" s="87">
        <f>Table24[[#This Row],[GWP-biogenic]]*Table24[[#This Row],[DENSITY]]/1000</f>
        <v>0</v>
      </c>
      <c r="AD155" s="87">
        <f>(-762)/Table24[[#This Row],[DENSITY]]*1000</f>
        <v>-1621.2765957446809</v>
      </c>
      <c r="AE155" s="100">
        <f>(762)/Table24[[#This Row],[DENSITY]]*1000</f>
        <v>1621.2765957446809</v>
      </c>
      <c r="AF155" s="92">
        <f ca="1">IF(OR($E155="Ecoinvent",$E155="Betonsortenrechner",$E155="KBOB",$V155&lt;=0,Table24[[#This Row],[VALID_TO]]&lt;=TODAY()),0,1)</f>
        <v>1</v>
      </c>
      <c r="AG155" s="92">
        <v>1</v>
      </c>
      <c r="AH155" s="92">
        <f ca="1">IF(AND(Table24[[#This Row],[ValidEPD]]&lt;&gt;0,Table24[[#This Row],[Man_Ausschluss]]&lt;&gt;0),1,0)</f>
        <v>1</v>
      </c>
      <c r="AI155" s="178" cm="1">
        <f t="array" aca="1" ref="AI155" ca="1">IF(Table24[[#This Row],[gültig]]&lt;&gt;0,
IF(V155=MIN(_xlfn._xlws.FILTER($V$2:$V$282,($P$2:$P$282=P155))),1,
IF(V155=MAX(_xlfn._xlws.FILTER($V$2:$V$282,($P$2:$P$282=P155))),1,0)),0)</f>
        <v>0</v>
      </c>
      <c r="AJ155" s="180"/>
      <c r="AK155" s="2"/>
      <c r="AL155" s="2"/>
    </row>
    <row r="156" spans="1:38" x14ac:dyDescent="0.45">
      <c r="A156" s="199" t="s">
        <v>233</v>
      </c>
      <c r="B156" s="200"/>
      <c r="C156" s="111">
        <v>157</v>
      </c>
      <c r="D156" s="201" t="s">
        <v>232</v>
      </c>
      <c r="E156" s="202" t="s">
        <v>234</v>
      </c>
      <c r="F156" s="202"/>
      <c r="G156" s="203">
        <v>44179</v>
      </c>
      <c r="H156" s="203">
        <v>46003</v>
      </c>
      <c r="I156" s="96" t="s">
        <v>240</v>
      </c>
      <c r="J156" s="204" t="s">
        <v>240</v>
      </c>
      <c r="K156" s="205" t="s">
        <v>113</v>
      </c>
      <c r="L156" s="281" t="s">
        <v>491</v>
      </c>
      <c r="M156" s="201" t="s">
        <v>315</v>
      </c>
      <c r="N156" s="207" t="s">
        <v>494</v>
      </c>
      <c r="O156" s="208" t="s">
        <v>416</v>
      </c>
      <c r="P156" s="96" t="s">
        <v>114</v>
      </c>
      <c r="Q156" s="96">
        <v>430</v>
      </c>
      <c r="R156" s="202" t="s">
        <v>416</v>
      </c>
      <c r="S156" s="202" t="s">
        <v>416</v>
      </c>
      <c r="T156" s="202" t="s">
        <v>416</v>
      </c>
      <c r="U156" s="209" t="s">
        <v>416</v>
      </c>
      <c r="V156" s="123">
        <f>SUM(Table24[[#This Row],[A1toA3_GWP]:[C1toC4_GWP]])</f>
        <v>92.325581395348763</v>
      </c>
      <c r="W156" s="123">
        <f>VLOOKUP(Table24[[#This Row],[Country PRODUCTION]],[1]Sheet1!$B$11:$F$30,4,FALSE)+Table24[[#This Row],[Total_GWP]]</f>
        <v>361.42558139534879</v>
      </c>
      <c r="X156" s="123">
        <f>VLOOKUP(Table24[[#This Row],[Country PRODUCTION]],[1]Sheet1!$B$11:$F$30,5,FALSE)+Table24[[#This Row],[Total_GWP]]</f>
        <v>119.92558139534876</v>
      </c>
      <c r="Y156" s="123">
        <f>Table24[[#This Row],[Total_GWP]]*Table24[[#This Row],[DENSITY]]/1000</f>
        <v>39.699999999999974</v>
      </c>
      <c r="Z156" s="149">
        <f>-670/Table24[[#This Row],[DENSITY]]*1000</f>
        <v>-1558.1395348837211</v>
      </c>
      <c r="AA156" s="81">
        <f>(0.8+4.9+704)/Table24[[#This Row],[DENSITY]]*1000</f>
        <v>1650.4651162790699</v>
      </c>
      <c r="AB156" s="87">
        <f>SUM(Table24[[#This Row],[A1toA3_GWP-biogenic]:[C1toC4_GWP-biogenic]])</f>
        <v>0</v>
      </c>
      <c r="AC156" s="87">
        <f>Table24[[#This Row],[GWP-biogenic]]*Table24[[#This Row],[DENSITY]]/1000</f>
        <v>0</v>
      </c>
      <c r="AD156" s="87">
        <f>(-704)/Table24[[#This Row],[DENSITY]]*1000</f>
        <v>-1637.2093023255813</v>
      </c>
      <c r="AE156" s="100">
        <f>(704)/Table24[[#This Row],[DENSITY]]*1000</f>
        <v>1637.2093023255813</v>
      </c>
      <c r="AF156" s="92">
        <f ca="1">IF(OR($E156="Ecoinvent",$E156="Betonsortenrechner",$E156="KBOB",$V156&lt;=0,Table24[[#This Row],[VALID_TO]]&lt;=TODAY()),0,1)</f>
        <v>0</v>
      </c>
      <c r="AG156" s="92">
        <v>1</v>
      </c>
      <c r="AH156" s="92">
        <f ca="1">IF(AND(Table24[[#This Row],[ValidEPD]]&lt;&gt;0,Table24[[#This Row],[Man_Ausschluss]]&lt;&gt;0),1,0)</f>
        <v>0</v>
      </c>
      <c r="AI156" s="178" cm="1">
        <f t="array" aca="1" ref="AI156" ca="1">IF(Table24[[#This Row],[gültig]]&lt;&gt;0,
IF(V156=MIN(_xlfn._xlws.FILTER($V$2:$V$282,($P$2:$P$282=P156))),1,
IF(V156=MAX(_xlfn._xlws.FILTER($V$2:$V$282,($P$2:$P$282=P156))),1,0)),0)</f>
        <v>0</v>
      </c>
      <c r="AJ156" s="180"/>
      <c r="AK156" s="2" t="s">
        <v>427</v>
      </c>
      <c r="AL156" s="2"/>
    </row>
    <row r="157" spans="1:38" x14ac:dyDescent="0.45">
      <c r="A157" s="199" t="s">
        <v>237</v>
      </c>
      <c r="B157" s="200"/>
      <c r="C157" s="115">
        <v>158</v>
      </c>
      <c r="D157" s="201" t="s">
        <v>235</v>
      </c>
      <c r="E157" s="202" t="s">
        <v>236</v>
      </c>
      <c r="F157" s="202"/>
      <c r="G157" s="203">
        <v>44593</v>
      </c>
      <c r="H157" s="203">
        <v>46419</v>
      </c>
      <c r="I157" s="96" t="s">
        <v>240</v>
      </c>
      <c r="J157" s="204" t="s">
        <v>240</v>
      </c>
      <c r="K157" s="205" t="s">
        <v>113</v>
      </c>
      <c r="L157" s="281" t="s">
        <v>491</v>
      </c>
      <c r="M157" s="201" t="s">
        <v>315</v>
      </c>
      <c r="N157" s="207" t="s">
        <v>494</v>
      </c>
      <c r="O157" s="208" t="s">
        <v>416</v>
      </c>
      <c r="P157" s="96" t="s">
        <v>114</v>
      </c>
      <c r="Q157" s="96">
        <v>430</v>
      </c>
      <c r="R157" s="202" t="s">
        <v>416</v>
      </c>
      <c r="S157" s="202" t="s">
        <v>416</v>
      </c>
      <c r="T157" s="202" t="s">
        <v>416</v>
      </c>
      <c r="U157" s="209" t="s">
        <v>416</v>
      </c>
      <c r="V157" s="92">
        <f>SUM(Table24[[#This Row],[A1toA3_GWP]:[C1toC4_GWP]])</f>
        <v>-66.186046511627865</v>
      </c>
      <c r="W157" s="92">
        <f>VLOOKUP(Table24[[#This Row],[Country PRODUCTION]],[1]Sheet1!$B$11:$F$30,4,FALSE)+Table24[[#This Row],[Total_GWP]]</f>
        <v>202.91395348837216</v>
      </c>
      <c r="X157" s="92">
        <f>VLOOKUP(Table24[[#This Row],[Country PRODUCTION]],[1]Sheet1!$B$11:$F$30,5,FALSE)+Table24[[#This Row],[Total_GWP]]</f>
        <v>-38.586046511627863</v>
      </c>
      <c r="Y157" s="92">
        <f>Table24[[#This Row],[Total_GWP]]*Table24[[#This Row],[DENSITY]]/1000</f>
        <v>-28.459999999999983</v>
      </c>
      <c r="Z157" s="99">
        <f>-780/Table24[[#This Row],[DENSITY]]*1000</f>
        <v>-1813.9534883720928</v>
      </c>
      <c r="AA157" s="100">
        <f>(0.24+1.3+750)/Table24[[#This Row],[DENSITY]]*1000</f>
        <v>1747.7674418604649</v>
      </c>
      <c r="AB157" s="87">
        <f>SUM(Table24[[#This Row],[A1toA3_GWP-biogenic]:[C1toC4_GWP-biogenic]])</f>
        <v>-232.56209302325578</v>
      </c>
      <c r="AC157" s="87">
        <f>Table24[[#This Row],[GWP-biogenic]]*Table24[[#This Row],[DENSITY]]/1000</f>
        <v>-100.00169999999999</v>
      </c>
      <c r="AD157" s="87">
        <f>(-840)/Table24[[#This Row],[DENSITY]]*1000</f>
        <v>-1953.4883720930231</v>
      </c>
      <c r="AE157" s="100">
        <f>(-1.7*10^-3+740)/Table24[[#This Row],[DENSITY]]*1000</f>
        <v>1720.9262790697674</v>
      </c>
      <c r="AF157" s="92">
        <f ca="1">IF(OR($E157="Ecoinvent",$E157="Betonsortenrechner",$E157="KBOB",$V157&lt;=0,Table24[[#This Row],[VALID_TO]]&lt;=TODAY()),0,1)</f>
        <v>0</v>
      </c>
      <c r="AG157" s="92">
        <v>1</v>
      </c>
      <c r="AH157" s="92">
        <f ca="1">IF(AND(Table24[[#This Row],[ValidEPD]]&lt;&gt;0,Table24[[#This Row],[Man_Ausschluss]]&lt;&gt;0),1,0)</f>
        <v>0</v>
      </c>
      <c r="AI157" s="178" cm="1">
        <f t="array" aca="1" ref="AI157" ca="1">IF(Table24[[#This Row],[gültig]]&lt;&gt;0,
IF(V157=MIN(_xlfn._xlws.FILTER($V$2:$V$282,($P$2:$P$282=P157))),1,
IF(V157=MAX(_xlfn._xlws.FILTER($V$2:$V$282,($P$2:$P$282=P157))),1,0)),0)</f>
        <v>0</v>
      </c>
      <c r="AJ157" s="180"/>
      <c r="AK157" s="2" t="s">
        <v>428</v>
      </c>
      <c r="AL157" s="2"/>
    </row>
    <row r="158" spans="1:38" x14ac:dyDescent="0.45">
      <c r="A158" s="199" t="s">
        <v>243</v>
      </c>
      <c r="B158" s="200"/>
      <c r="C158" s="111">
        <v>159</v>
      </c>
      <c r="D158" s="201" t="s">
        <v>239</v>
      </c>
      <c r="E158" s="202" t="s">
        <v>238</v>
      </c>
      <c r="F158" s="202"/>
      <c r="G158" s="203">
        <v>45205</v>
      </c>
      <c r="H158" s="203">
        <v>47032</v>
      </c>
      <c r="I158" s="96" t="s">
        <v>313</v>
      </c>
      <c r="J158" s="204" t="s">
        <v>241</v>
      </c>
      <c r="K158" s="205" t="s">
        <v>113</v>
      </c>
      <c r="L158" s="281" t="s">
        <v>491</v>
      </c>
      <c r="M158" s="201" t="s">
        <v>315</v>
      </c>
      <c r="N158" s="207" t="s">
        <v>494</v>
      </c>
      <c r="O158" s="208" t="s">
        <v>416</v>
      </c>
      <c r="P158" s="96" t="s">
        <v>114</v>
      </c>
      <c r="Q158" s="96">
        <v>470</v>
      </c>
      <c r="R158" s="202" t="s">
        <v>416</v>
      </c>
      <c r="S158" s="202" t="s">
        <v>416</v>
      </c>
      <c r="T158" s="202" t="s">
        <v>416</v>
      </c>
      <c r="U158" s="209" t="s">
        <v>416</v>
      </c>
      <c r="V158" s="123">
        <f>SUM(Table24[[#This Row],[A1toA3_GWP]:[C1toC4_GWP]])</f>
        <v>170.34042553191466</v>
      </c>
      <c r="W158" s="123">
        <f>VLOOKUP("AT",[1]Sheet1!$B$11:$F$30,4,FALSE)+Table24[[#This Row],[Total_GWP]]</f>
        <v>240.54042553191465</v>
      </c>
      <c r="X158" s="123">
        <f>VLOOKUP("AT",[1]Sheet1!$B$11:$F$30,5,FALSE)+Table24[[#This Row],[Total_GWP]]</f>
        <v>177.54042553191465</v>
      </c>
      <c r="Y158" s="123">
        <f>Table24[[#This Row],[Total_GWP]]*Table24[[#This Row],[DENSITY]]/1000</f>
        <v>80.059999999999889</v>
      </c>
      <c r="Z158" s="149">
        <f>-708/Table24[[#This Row],[DENSITY]]*1000</f>
        <v>-1506.3829787234042</v>
      </c>
      <c r="AA158" s="81">
        <f>(4.01+2.05+782)/Table24[[#This Row],[DENSITY]]*1000</f>
        <v>1676.7234042553189</v>
      </c>
      <c r="AB158" s="87">
        <f>SUM(Table24[[#This Row],[A1toA3_GWP-biogenic]:[C1toC4_GWP-biogenic]])</f>
        <v>2.4255319158328348E-4</v>
      </c>
      <c r="AC158" s="87">
        <f>Table24[[#This Row],[GWP-biogenic]]*Table24[[#This Row],[DENSITY]]/1000</f>
        <v>1.1400000004414323E-4</v>
      </c>
      <c r="AD158" s="87">
        <f>(-762)/Table24[[#This Row],[DENSITY]]*1000</f>
        <v>-1621.2765957446809</v>
      </c>
      <c r="AE158" s="86">
        <f>(-6.98*10^-4+8.12*10^-4+762)/Table24[[#This Row],[DENSITY]]*1000</f>
        <v>1621.2768382978725</v>
      </c>
      <c r="AF158" s="92">
        <f ca="1">IF(OR($E158="Ecoinvent",$E158="Betonsortenrechner",$E158="KBOB",$V158&lt;=0,Table24[[#This Row],[VALID_TO]]&lt;=TODAY()),0,1)</f>
        <v>1</v>
      </c>
      <c r="AG158" s="92">
        <v>1</v>
      </c>
      <c r="AH158" s="92">
        <f ca="1">IF(AND(Table24[[#This Row],[ValidEPD]]&lt;&gt;0,Table24[[#This Row],[Man_Ausschluss]]&lt;&gt;0),1,0)</f>
        <v>1</v>
      </c>
      <c r="AI158" s="178" cm="1">
        <f t="array" aca="1" ref="AI158" ca="1">IF(Table24[[#This Row],[gültig]]&lt;&gt;0,
IF(V158=MIN(_xlfn._xlws.FILTER($V$2:$V$282,($P$2:$P$282=P158))),1,
IF(V158=MAX(_xlfn._xlws.FILTER($V$2:$V$282,($P$2:$P$282=P158))),1,0)),0)</f>
        <v>0</v>
      </c>
      <c r="AJ158" s="180"/>
      <c r="AK158" s="2" t="s">
        <v>429</v>
      </c>
      <c r="AL158" s="2" t="s">
        <v>412</v>
      </c>
    </row>
    <row r="159" spans="1:38" x14ac:dyDescent="0.45">
      <c r="A159" s="199" t="s">
        <v>244</v>
      </c>
      <c r="B159" s="200"/>
      <c r="C159" s="115">
        <v>160</v>
      </c>
      <c r="D159" s="201" t="s">
        <v>245</v>
      </c>
      <c r="E159" s="202" t="s">
        <v>106</v>
      </c>
      <c r="F159" s="202"/>
      <c r="G159" s="203">
        <v>43544</v>
      </c>
      <c r="H159" s="203">
        <v>45370</v>
      </c>
      <c r="I159" s="96" t="s">
        <v>242</v>
      </c>
      <c r="J159" s="204" t="s">
        <v>246</v>
      </c>
      <c r="K159" s="205" t="s">
        <v>247</v>
      </c>
      <c r="L159" s="281" t="s">
        <v>491</v>
      </c>
      <c r="M159" s="201" t="s">
        <v>315</v>
      </c>
      <c r="N159" s="207" t="s">
        <v>494</v>
      </c>
      <c r="O159" s="208" t="s">
        <v>416</v>
      </c>
      <c r="P159" s="96" t="s">
        <v>114</v>
      </c>
      <c r="Q159" s="96">
        <v>470</v>
      </c>
      <c r="R159" s="202" t="s">
        <v>416</v>
      </c>
      <c r="S159" s="202" t="s">
        <v>416</v>
      </c>
      <c r="T159" s="202" t="s">
        <v>416</v>
      </c>
      <c r="U159" s="209" t="s">
        <v>416</v>
      </c>
      <c r="V159" s="123">
        <f>SUM(Table24[[#This Row],[A1toA3_GWP]:[C1toC4_GWP]])</f>
        <v>232.9957446808512</v>
      </c>
      <c r="W159" s="123">
        <f>VLOOKUP("AT",[1]Sheet1!$B$11:$F$30,4,FALSE)+Table24[[#This Row],[Total_GWP]]</f>
        <v>303.19574468085119</v>
      </c>
      <c r="X159" s="123">
        <f>VLOOKUP("AT",[1]Sheet1!$B$11:$F$30,5,FALSE)+Table24[[#This Row],[Total_GWP]]</f>
        <v>240.19574468085119</v>
      </c>
      <c r="Y159" s="123">
        <f>Table24[[#This Row],[Total_GWP]]*Table24[[#This Row],[DENSITY]]/1000</f>
        <v>109.50800000000005</v>
      </c>
      <c r="Z159" s="149">
        <f>(-683+7.56+18.4)/Table24[[#This Row],[DENSITY]]*1000</f>
        <v>-1397.9574468085107</v>
      </c>
      <c r="AA159" s="81">
        <f>(0.548+766)/Table24[[#This Row],[DENSITY]]*1000</f>
        <v>1630.9531914893619</v>
      </c>
      <c r="AB159" s="87">
        <f>SUM(Table24[[#This Row],[A1toA3_GWP-biogenic]:[C1toC4_GWP-biogenic]])</f>
        <v>0</v>
      </c>
      <c r="AC159" s="87">
        <f>Table24[[#This Row],[GWP-biogenic]]*Table24[[#This Row],[DENSITY]]/1000</f>
        <v>0</v>
      </c>
      <c r="AD159" s="83" t="s">
        <v>416</v>
      </c>
      <c r="AE159" s="85" t="s">
        <v>416</v>
      </c>
      <c r="AF159" s="92">
        <f ca="1">IF(OR($E159="Ecoinvent",$E159="Betonsortenrechner",$E159="KBOB",$V159&lt;=0,Table24[[#This Row],[VALID_TO]]&lt;=TODAY()),0,1)</f>
        <v>0</v>
      </c>
      <c r="AG159" s="92">
        <v>1</v>
      </c>
      <c r="AH159" s="92">
        <f ca="1">IF(AND(Table24[[#This Row],[ValidEPD]]&lt;&gt;0,Table24[[#This Row],[Man_Ausschluss]]&lt;&gt;0),1,0)</f>
        <v>0</v>
      </c>
      <c r="AI159" s="178" cm="1">
        <f t="array" aca="1" ref="AI159" ca="1">IF(Table24[[#This Row],[gültig]]&lt;&gt;0,
IF(V159=MIN(_xlfn._xlws.FILTER($V$2:$V$282,($P$2:$P$282=P159))),1,
IF(V159=MAX(_xlfn._xlws.FILTER($V$2:$V$282,($P$2:$P$282=P159))),1,0)),0)</f>
        <v>0</v>
      </c>
      <c r="AJ159" s="180"/>
      <c r="AK159" s="2"/>
      <c r="AL159" s="2"/>
    </row>
    <row r="160" spans="1:38" x14ac:dyDescent="0.45">
      <c r="A160" s="199" t="s">
        <v>249</v>
      </c>
      <c r="B160" s="200" t="s">
        <v>502</v>
      </c>
      <c r="C160" s="111">
        <v>161</v>
      </c>
      <c r="D160" s="201" t="s">
        <v>248</v>
      </c>
      <c r="E160" s="202" t="s">
        <v>103</v>
      </c>
      <c r="F160" s="202"/>
      <c r="G160" s="203">
        <v>44449</v>
      </c>
      <c r="H160" s="203">
        <v>46236</v>
      </c>
      <c r="I160" s="96" t="s">
        <v>242</v>
      </c>
      <c r="J160" s="204" t="s">
        <v>242</v>
      </c>
      <c r="K160" s="205" t="s">
        <v>113</v>
      </c>
      <c r="L160" s="281" t="s">
        <v>491</v>
      </c>
      <c r="M160" s="201" t="s">
        <v>315</v>
      </c>
      <c r="N160" s="207" t="s">
        <v>494</v>
      </c>
      <c r="O160" s="208" t="s">
        <v>416</v>
      </c>
      <c r="P160" s="96" t="s">
        <v>114</v>
      </c>
      <c r="Q160" s="96">
        <v>470</v>
      </c>
      <c r="R160" s="202" t="s">
        <v>416</v>
      </c>
      <c r="S160" s="202" t="s">
        <v>416</v>
      </c>
      <c r="T160" s="202" t="s">
        <v>416</v>
      </c>
      <c r="U160" s="209" t="s">
        <v>416</v>
      </c>
      <c r="V160" s="123">
        <f>SUM(Table24[[#This Row],[A1toA3_GWP]:[C1toC4_GWP]])</f>
        <v>200.89361702127644</v>
      </c>
      <c r="W160" s="123">
        <f>VLOOKUP(Table24[[#This Row],[Country PRODUCTION]],[1]Sheet1!$B$11:$F$30,4,FALSE)+Table24[[#This Row],[Total_GWP]]</f>
        <v>271.09361702127643</v>
      </c>
      <c r="X160" s="123">
        <f>VLOOKUP(Table24[[#This Row],[Country PRODUCTION]],[1]Sheet1!$B$11:$F$30,5,FALSE)+Table24[[#This Row],[Total_GWP]]</f>
        <v>208.09361702127643</v>
      </c>
      <c r="Y160" s="123">
        <f>Table24[[#This Row],[Total_GWP]]*Table24[[#This Row],[DENSITY]]/1000</f>
        <v>94.419999999999931</v>
      </c>
      <c r="Z160" s="149">
        <f>-660/Table24[[#This Row],[DENSITY]]*1000</f>
        <v>-1404.2553191489362</v>
      </c>
      <c r="AA160" s="81">
        <f>(1.42+753)/Table24[[#This Row],[DENSITY]]*1000</f>
        <v>1605.1489361702127</v>
      </c>
      <c r="AB160" s="87">
        <f>SUM(Table24[[#This Row],[A1toA3_GWP-biogenic]:[C1toC4_GWP-biogenic]])</f>
        <v>-8.5141914893617923</v>
      </c>
      <c r="AC160" s="87">
        <f>Table24[[#This Row],[GWP-biogenic]]*Table24[[#This Row],[DENSITY]]/1000</f>
        <v>-4.0016700000000425</v>
      </c>
      <c r="AD160" s="87">
        <f>(-754)/Table24[[#This Row],[DENSITY]]*1000</f>
        <v>-1604.2553191489362</v>
      </c>
      <c r="AE160" s="86">
        <f>(-1.67*10^-3+7.5*10^2)/Table24[[#This Row],[DENSITY]]*1000</f>
        <v>1595.7411276595744</v>
      </c>
      <c r="AF160" s="92">
        <f ca="1">IF(OR($E160="Ecoinvent",$E160="Betonsortenrechner",$E160="KBOB",$V160&lt;=0,Table24[[#This Row],[VALID_TO]]&lt;=TODAY()),0,1)</f>
        <v>1</v>
      </c>
      <c r="AG160" s="92">
        <v>1</v>
      </c>
      <c r="AH160" s="92">
        <f ca="1">IF(AND(Table24[[#This Row],[ValidEPD]]&lt;&gt;0,Table24[[#This Row],[Man_Ausschluss]]&lt;&gt;0),1,0)</f>
        <v>1</v>
      </c>
      <c r="AI160" s="178" cm="1">
        <f t="array" aca="1" ref="AI160" ca="1">IF(Table24[[#This Row],[gültig]]&lt;&gt;0,
IF(V160=MIN(_xlfn._xlws.FILTER($V$2:$V$282,($P$2:$P$282=P160))),1,
IF(V160=MAX(_xlfn._xlws.FILTER($V$2:$V$282,($P$2:$P$282=P160))),1,0)),0)</f>
        <v>0</v>
      </c>
      <c r="AJ160" s="180"/>
      <c r="AK160" s="2"/>
      <c r="AL160" s="2"/>
    </row>
    <row r="161" spans="1:38" x14ac:dyDescent="0.45">
      <c r="A161" s="199" t="s">
        <v>249</v>
      </c>
      <c r="B161" s="200" t="s">
        <v>518</v>
      </c>
      <c r="C161" s="115">
        <v>162</v>
      </c>
      <c r="D161" s="201" t="s">
        <v>248</v>
      </c>
      <c r="E161" s="202" t="s">
        <v>103</v>
      </c>
      <c r="F161" s="202"/>
      <c r="G161" s="203">
        <v>44449</v>
      </c>
      <c r="H161" s="203">
        <v>46236</v>
      </c>
      <c r="I161" s="96" t="s">
        <v>242</v>
      </c>
      <c r="J161" s="204" t="s">
        <v>242</v>
      </c>
      <c r="K161" s="205" t="s">
        <v>113</v>
      </c>
      <c r="L161" s="281" t="s">
        <v>491</v>
      </c>
      <c r="M161" s="201" t="s">
        <v>315</v>
      </c>
      <c r="N161" s="207" t="s">
        <v>494</v>
      </c>
      <c r="O161" s="208" t="s">
        <v>416</v>
      </c>
      <c r="P161" s="96" t="s">
        <v>531</v>
      </c>
      <c r="Q161" s="96">
        <v>470</v>
      </c>
      <c r="R161" s="202" t="s">
        <v>416</v>
      </c>
      <c r="S161" s="202" t="s">
        <v>416</v>
      </c>
      <c r="T161" s="202" t="s">
        <v>416</v>
      </c>
      <c r="U161" s="209" t="s">
        <v>416</v>
      </c>
      <c r="V161" s="123">
        <f>SUM(Table24[[#This Row],[A1toA3_GWP]:[C1toC4_GWP]])</f>
        <v>200.89361702127644</v>
      </c>
      <c r="W161" s="123">
        <f>VLOOKUP(Table24[[#This Row],[Country PRODUCTION]],[1]Sheet1!$B$11:$F$30,4,FALSE)+Table24[[#This Row],[Total_GWP]]</f>
        <v>271.09361702127643</v>
      </c>
      <c r="X161" s="123">
        <f>VLOOKUP(Table24[[#This Row],[Country PRODUCTION]],[1]Sheet1!$B$11:$F$30,5,FALSE)+Table24[[#This Row],[Total_GWP]]</f>
        <v>208.09361702127643</v>
      </c>
      <c r="Y161" s="123">
        <f>Table24[[#This Row],[Total_GWP]]*Table24[[#This Row],[DENSITY]]/1000</f>
        <v>94.419999999999931</v>
      </c>
      <c r="Z161" s="149">
        <f>-660/Table24[[#This Row],[DENSITY]]*1000</f>
        <v>-1404.2553191489362</v>
      </c>
      <c r="AA161" s="81">
        <f>(1.42+753)/Table24[[#This Row],[DENSITY]]*1000</f>
        <v>1605.1489361702127</v>
      </c>
      <c r="AB161" s="87">
        <f>SUM(Table24[[#This Row],[A1toA3_GWP-biogenic]:[C1toC4_GWP-biogenic]])</f>
        <v>-8.5141914893617923</v>
      </c>
      <c r="AC161" s="87">
        <f>Table24[[#This Row],[GWP-biogenic]]*Table24[[#This Row],[DENSITY]]/1000</f>
        <v>-4.0016700000000425</v>
      </c>
      <c r="AD161" s="87">
        <f>(-754)/Table24[[#This Row],[DENSITY]]*1000</f>
        <v>-1604.2553191489362</v>
      </c>
      <c r="AE161" s="100">
        <f>(-1.67*10^-3+7.5*10^2)/Table24[[#This Row],[DENSITY]]*1000</f>
        <v>1595.7411276595744</v>
      </c>
      <c r="AF161" s="92">
        <f ca="1">IF(OR($E161="Ecoinvent",$E161="Betonsortenrechner",$E161="KBOB",$V161&lt;=0,Table24[[#This Row],[VALID_TO]]&lt;=TODAY()),0,1)</f>
        <v>1</v>
      </c>
      <c r="AG161" s="92">
        <v>1</v>
      </c>
      <c r="AH161" s="92">
        <f ca="1">IF(AND(Table24[[#This Row],[ValidEPD]]&lt;&gt;0,Table24[[#This Row],[Man_Ausschluss]]&lt;&gt;0),1,0)</f>
        <v>1</v>
      </c>
      <c r="AI161" s="178" cm="1">
        <f t="array" aca="1" ref="AI161" ca="1">IF(Table24[[#This Row],[gültig]]&lt;&gt;0,
IF(V161=MIN(_xlfn._xlws.FILTER($V$2:$V$282,($P$2:$P$282=P161))),1,
IF(V161=MAX(_xlfn._xlws.FILTER($V$2:$V$282,($P$2:$P$282=P161))),1,0)),0)</f>
        <v>1</v>
      </c>
      <c r="AJ161" s="180"/>
      <c r="AK161" s="2"/>
      <c r="AL161" s="2"/>
    </row>
    <row r="162" spans="1:38" x14ac:dyDescent="0.45">
      <c r="A162" s="199" t="s">
        <v>249</v>
      </c>
      <c r="B162" s="200" t="s">
        <v>519</v>
      </c>
      <c r="C162" s="111">
        <v>163</v>
      </c>
      <c r="D162" s="201" t="s">
        <v>248</v>
      </c>
      <c r="E162" s="202" t="s">
        <v>103</v>
      </c>
      <c r="F162" s="202"/>
      <c r="G162" s="203">
        <v>44449</v>
      </c>
      <c r="H162" s="203">
        <v>46236</v>
      </c>
      <c r="I162" s="96" t="s">
        <v>242</v>
      </c>
      <c r="J162" s="204" t="s">
        <v>242</v>
      </c>
      <c r="K162" s="205" t="s">
        <v>113</v>
      </c>
      <c r="L162" s="281" t="s">
        <v>491</v>
      </c>
      <c r="M162" s="201" t="s">
        <v>315</v>
      </c>
      <c r="N162" s="207" t="s">
        <v>494</v>
      </c>
      <c r="O162" s="208" t="s">
        <v>416</v>
      </c>
      <c r="P162" s="96" t="s">
        <v>532</v>
      </c>
      <c r="Q162" s="96">
        <v>470</v>
      </c>
      <c r="R162" s="202" t="s">
        <v>416</v>
      </c>
      <c r="S162" s="202" t="s">
        <v>416</v>
      </c>
      <c r="T162" s="202" t="s">
        <v>416</v>
      </c>
      <c r="U162" s="209" t="s">
        <v>416</v>
      </c>
      <c r="V162" s="123">
        <f>SUM(Table24[[#This Row],[A1toA3_GWP]:[C1toC4_GWP]])</f>
        <v>200.89361702127644</v>
      </c>
      <c r="W162" s="123">
        <f>VLOOKUP(Table24[[#This Row],[Country PRODUCTION]],[1]Sheet1!$B$11:$F$30,4,FALSE)+Table24[[#This Row],[Total_GWP]]</f>
        <v>271.09361702127643</v>
      </c>
      <c r="X162" s="123">
        <f>VLOOKUP(Table24[[#This Row],[Country PRODUCTION]],[1]Sheet1!$B$11:$F$30,5,FALSE)+Table24[[#This Row],[Total_GWP]]</f>
        <v>208.09361702127643</v>
      </c>
      <c r="Y162" s="123">
        <f>Table24[[#This Row],[Total_GWP]]*Table24[[#This Row],[DENSITY]]/1000</f>
        <v>94.419999999999931</v>
      </c>
      <c r="Z162" s="149">
        <f>-660/Table24[[#This Row],[DENSITY]]*1000</f>
        <v>-1404.2553191489362</v>
      </c>
      <c r="AA162" s="81">
        <f>(1.42+753)/Table24[[#This Row],[DENSITY]]*1000</f>
        <v>1605.1489361702127</v>
      </c>
      <c r="AB162" s="87">
        <f>SUM(Table24[[#This Row],[A1toA3_GWP-biogenic]:[C1toC4_GWP-biogenic]])</f>
        <v>-8.5141914893617923</v>
      </c>
      <c r="AC162" s="87">
        <f>Table24[[#This Row],[GWP-biogenic]]*Table24[[#This Row],[DENSITY]]/1000</f>
        <v>-4.0016700000000425</v>
      </c>
      <c r="AD162" s="87">
        <f>(-754)/Table24[[#This Row],[DENSITY]]*1000</f>
        <v>-1604.2553191489362</v>
      </c>
      <c r="AE162" s="100">
        <f>(-1.67*10^-3+7.5*10^2)/Table24[[#This Row],[DENSITY]]*1000</f>
        <v>1595.7411276595744</v>
      </c>
      <c r="AF162" s="92">
        <f ca="1">IF(OR($E162="Ecoinvent",$E162="Betonsortenrechner",$E162="KBOB",$V162&lt;=0,Table24[[#This Row],[VALID_TO]]&lt;=TODAY()),0,1)</f>
        <v>1</v>
      </c>
      <c r="AG162" s="92">
        <v>1</v>
      </c>
      <c r="AH162" s="92">
        <f ca="1">IF(AND(Table24[[#This Row],[ValidEPD]]&lt;&gt;0,Table24[[#This Row],[Man_Ausschluss]]&lt;&gt;0),1,0)</f>
        <v>1</v>
      </c>
      <c r="AI162" s="178" cm="1">
        <f t="array" aca="1" ref="AI162" ca="1">IF(Table24[[#This Row],[gültig]]&lt;&gt;0,
IF(V162=MIN(_xlfn._xlws.FILTER($V$2:$V$282,($P$2:$P$282=P162))),1,
IF(V162=MAX(_xlfn._xlws.FILTER($V$2:$V$282,($P$2:$P$282=P162))),1,0)),0)</f>
        <v>1</v>
      </c>
      <c r="AJ162" s="180"/>
      <c r="AK162" s="2"/>
      <c r="AL162" s="2"/>
    </row>
    <row r="163" spans="1:38" x14ac:dyDescent="0.45">
      <c r="A163" s="199" t="s">
        <v>249</v>
      </c>
      <c r="B163" s="200" t="s">
        <v>520</v>
      </c>
      <c r="C163" s="115">
        <v>164</v>
      </c>
      <c r="D163" s="201" t="s">
        <v>248</v>
      </c>
      <c r="E163" s="202" t="s">
        <v>103</v>
      </c>
      <c r="F163" s="202"/>
      <c r="G163" s="203">
        <v>44449</v>
      </c>
      <c r="H163" s="203">
        <v>46236</v>
      </c>
      <c r="I163" s="96" t="s">
        <v>242</v>
      </c>
      <c r="J163" s="204" t="s">
        <v>242</v>
      </c>
      <c r="K163" s="205" t="s">
        <v>113</v>
      </c>
      <c r="L163" s="281" t="s">
        <v>491</v>
      </c>
      <c r="M163" s="201" t="s">
        <v>315</v>
      </c>
      <c r="N163" s="207" t="s">
        <v>494</v>
      </c>
      <c r="O163" s="208" t="s">
        <v>416</v>
      </c>
      <c r="P163" s="96" t="s">
        <v>533</v>
      </c>
      <c r="Q163" s="96">
        <v>470</v>
      </c>
      <c r="R163" s="202" t="s">
        <v>416</v>
      </c>
      <c r="S163" s="202" t="s">
        <v>416</v>
      </c>
      <c r="T163" s="202" t="s">
        <v>416</v>
      </c>
      <c r="U163" s="209" t="s">
        <v>416</v>
      </c>
      <c r="V163" s="123">
        <f>SUM(Table24[[#This Row],[A1toA3_GWP]:[C1toC4_GWP]])</f>
        <v>200.89361702127644</v>
      </c>
      <c r="W163" s="123">
        <f>VLOOKUP(Table24[[#This Row],[Country PRODUCTION]],[1]Sheet1!$B$11:$F$30,4,FALSE)+Table24[[#This Row],[Total_GWP]]</f>
        <v>271.09361702127643</v>
      </c>
      <c r="X163" s="123">
        <f>VLOOKUP(Table24[[#This Row],[Country PRODUCTION]],[1]Sheet1!$B$11:$F$30,5,FALSE)+Table24[[#This Row],[Total_GWP]]</f>
        <v>208.09361702127643</v>
      </c>
      <c r="Y163" s="123">
        <f>Table24[[#This Row],[Total_GWP]]*Table24[[#This Row],[DENSITY]]/1000</f>
        <v>94.419999999999931</v>
      </c>
      <c r="Z163" s="149">
        <f>-660/Table24[[#This Row],[DENSITY]]*1000</f>
        <v>-1404.2553191489362</v>
      </c>
      <c r="AA163" s="81">
        <f>(1.42+753)/Table24[[#This Row],[DENSITY]]*1000</f>
        <v>1605.1489361702127</v>
      </c>
      <c r="AB163" s="87">
        <f>SUM(Table24[[#This Row],[A1toA3_GWP-biogenic]:[C1toC4_GWP-biogenic]])</f>
        <v>-8.5141914893617923</v>
      </c>
      <c r="AC163" s="87">
        <f>Table24[[#This Row],[GWP-biogenic]]*Table24[[#This Row],[DENSITY]]/1000</f>
        <v>-4.0016700000000425</v>
      </c>
      <c r="AD163" s="87">
        <f>(-754)/Table24[[#This Row],[DENSITY]]*1000</f>
        <v>-1604.2553191489362</v>
      </c>
      <c r="AE163" s="86">
        <f>(-1.67*10^-3+7.5*10^2)/Table24[[#This Row],[DENSITY]]*1000</f>
        <v>1595.7411276595744</v>
      </c>
      <c r="AF163" s="92">
        <f ca="1">IF(OR($E163="Ecoinvent",$E163="Betonsortenrechner",$E163="KBOB",$V163&lt;=0,Table24[[#This Row],[VALID_TO]]&lt;=TODAY()),0,1)</f>
        <v>1</v>
      </c>
      <c r="AG163" s="92">
        <v>1</v>
      </c>
      <c r="AH163" s="92">
        <f ca="1">IF(AND(Table24[[#This Row],[ValidEPD]]&lt;&gt;0,Table24[[#This Row],[Man_Ausschluss]]&lt;&gt;0),1,0)</f>
        <v>1</v>
      </c>
      <c r="AI163" s="178" cm="1">
        <f t="array" aca="1" ref="AI163" ca="1">IF(Table24[[#This Row],[gültig]]&lt;&gt;0,
IF(V163=MIN(_xlfn._xlws.FILTER($V$2:$V$282,($P$2:$P$282=P163))),1,
IF(V163=MAX(_xlfn._xlws.FILTER($V$2:$V$282,($P$2:$P$282=P163))),1,0)),0)</f>
        <v>1</v>
      </c>
      <c r="AJ163" s="180"/>
      <c r="AK163" s="2"/>
      <c r="AL163" s="2"/>
    </row>
    <row r="164" spans="1:38" x14ac:dyDescent="0.45">
      <c r="A164" s="199" t="s">
        <v>249</v>
      </c>
      <c r="B164" s="200" t="s">
        <v>521</v>
      </c>
      <c r="C164" s="111">
        <v>165</v>
      </c>
      <c r="D164" s="201" t="s">
        <v>248</v>
      </c>
      <c r="E164" s="202" t="s">
        <v>103</v>
      </c>
      <c r="F164" s="202"/>
      <c r="G164" s="203">
        <v>44449</v>
      </c>
      <c r="H164" s="203">
        <v>46236</v>
      </c>
      <c r="I164" s="96" t="s">
        <v>242</v>
      </c>
      <c r="J164" s="204" t="s">
        <v>242</v>
      </c>
      <c r="K164" s="205" t="s">
        <v>113</v>
      </c>
      <c r="L164" s="281" t="s">
        <v>491</v>
      </c>
      <c r="M164" s="201" t="s">
        <v>315</v>
      </c>
      <c r="N164" s="207" t="s">
        <v>494</v>
      </c>
      <c r="O164" s="208" t="s">
        <v>416</v>
      </c>
      <c r="P164" s="96" t="s">
        <v>534</v>
      </c>
      <c r="Q164" s="96">
        <v>470</v>
      </c>
      <c r="R164" s="202" t="s">
        <v>416</v>
      </c>
      <c r="S164" s="202" t="s">
        <v>416</v>
      </c>
      <c r="T164" s="202" t="s">
        <v>416</v>
      </c>
      <c r="U164" s="209" t="s">
        <v>416</v>
      </c>
      <c r="V164" s="123">
        <f>SUM(Table24[[#This Row],[A1toA3_GWP]:[C1toC4_GWP]])</f>
        <v>200.89361702127644</v>
      </c>
      <c r="W164" s="123">
        <f>VLOOKUP(Table24[[#This Row],[Country PRODUCTION]],[1]Sheet1!$B$11:$F$30,4,FALSE)+Table24[[#This Row],[Total_GWP]]</f>
        <v>271.09361702127643</v>
      </c>
      <c r="X164" s="123">
        <f>VLOOKUP(Table24[[#This Row],[Country PRODUCTION]],[1]Sheet1!$B$11:$F$30,5,FALSE)+Table24[[#This Row],[Total_GWP]]</f>
        <v>208.09361702127643</v>
      </c>
      <c r="Y164" s="123">
        <f>Table24[[#This Row],[Total_GWP]]*Table24[[#This Row],[DENSITY]]/1000</f>
        <v>94.419999999999931</v>
      </c>
      <c r="Z164" s="149">
        <f>-660/Table24[[#This Row],[DENSITY]]*1000</f>
        <v>-1404.2553191489362</v>
      </c>
      <c r="AA164" s="81">
        <f>(1.42+753)/Table24[[#This Row],[DENSITY]]*1000</f>
        <v>1605.1489361702127</v>
      </c>
      <c r="AB164" s="87">
        <f>SUM(Table24[[#This Row],[A1toA3_GWP-biogenic]:[C1toC4_GWP-biogenic]])</f>
        <v>-8.5141914893617923</v>
      </c>
      <c r="AC164" s="87">
        <f>Table24[[#This Row],[GWP-biogenic]]*Table24[[#This Row],[DENSITY]]/1000</f>
        <v>-4.0016700000000425</v>
      </c>
      <c r="AD164" s="87">
        <f>(-754)/Table24[[#This Row],[DENSITY]]*1000</f>
        <v>-1604.2553191489362</v>
      </c>
      <c r="AE164" s="86">
        <f>(-1.67*10^-3+7.5*10^2)/Table24[[#This Row],[DENSITY]]*1000</f>
        <v>1595.7411276595744</v>
      </c>
      <c r="AF164" s="92">
        <f ca="1">IF(OR($E164="Ecoinvent",$E164="Betonsortenrechner",$E164="KBOB",$V164&lt;=0,Table24[[#This Row],[VALID_TO]]&lt;=TODAY()),0,1)</f>
        <v>1</v>
      </c>
      <c r="AG164" s="92">
        <v>1</v>
      </c>
      <c r="AH164" s="92">
        <f ca="1">IF(AND(Table24[[#This Row],[ValidEPD]]&lt;&gt;0,Table24[[#This Row],[Man_Ausschluss]]&lt;&gt;0),1,0)</f>
        <v>1</v>
      </c>
      <c r="AI164" s="178" cm="1">
        <f t="array" aca="1" ref="AI164" ca="1">IF(Table24[[#This Row],[gültig]]&lt;&gt;0,
IF(V164=MIN(_xlfn._xlws.FILTER($V$2:$V$282,($P$2:$P$282=P164))),1,
IF(V164=MAX(_xlfn._xlws.FILTER($V$2:$V$282,($P$2:$P$282=P164))),1,0)),0)</f>
        <v>1</v>
      </c>
      <c r="AJ164" s="180"/>
      <c r="AK164" s="2"/>
      <c r="AL164" s="2"/>
    </row>
    <row r="165" spans="1:38" x14ac:dyDescent="0.45">
      <c r="A165" s="199" t="s">
        <v>249</v>
      </c>
      <c r="B165" s="200" t="s">
        <v>523</v>
      </c>
      <c r="C165" s="115">
        <v>166</v>
      </c>
      <c r="D165" s="201" t="s">
        <v>248</v>
      </c>
      <c r="E165" s="202" t="s">
        <v>103</v>
      </c>
      <c r="F165" s="202"/>
      <c r="G165" s="203">
        <v>44449</v>
      </c>
      <c r="H165" s="203">
        <v>46236</v>
      </c>
      <c r="I165" s="96" t="s">
        <v>242</v>
      </c>
      <c r="J165" s="204" t="s">
        <v>242</v>
      </c>
      <c r="K165" s="205" t="s">
        <v>113</v>
      </c>
      <c r="L165" s="281" t="s">
        <v>491</v>
      </c>
      <c r="M165" s="201" t="s">
        <v>315</v>
      </c>
      <c r="N165" s="207" t="s">
        <v>494</v>
      </c>
      <c r="O165" s="208" t="s">
        <v>416</v>
      </c>
      <c r="P165" s="96" t="s">
        <v>535</v>
      </c>
      <c r="Q165" s="96">
        <v>470</v>
      </c>
      <c r="R165" s="202" t="s">
        <v>416</v>
      </c>
      <c r="S165" s="202" t="s">
        <v>416</v>
      </c>
      <c r="T165" s="202" t="s">
        <v>416</v>
      </c>
      <c r="U165" s="209" t="s">
        <v>416</v>
      </c>
      <c r="V165" s="123">
        <f>SUM(Table24[[#This Row],[A1toA3_GWP]:[C1toC4_GWP]])</f>
        <v>200.89361702127644</v>
      </c>
      <c r="W165" s="123">
        <f>VLOOKUP(Table24[[#This Row],[Country PRODUCTION]],[1]Sheet1!$B$11:$F$30,4,FALSE)+Table24[[#This Row],[Total_GWP]]</f>
        <v>271.09361702127643</v>
      </c>
      <c r="X165" s="123">
        <f>VLOOKUP(Table24[[#This Row],[Country PRODUCTION]],[1]Sheet1!$B$11:$F$30,5,FALSE)+Table24[[#This Row],[Total_GWP]]</f>
        <v>208.09361702127643</v>
      </c>
      <c r="Y165" s="123">
        <f>Table24[[#This Row],[Total_GWP]]*Table24[[#This Row],[DENSITY]]/1000</f>
        <v>94.419999999999931</v>
      </c>
      <c r="Z165" s="149">
        <f>-660/Table24[[#This Row],[DENSITY]]*1000</f>
        <v>-1404.2553191489362</v>
      </c>
      <c r="AA165" s="81">
        <f>(1.42+753)/Table24[[#This Row],[DENSITY]]*1000</f>
        <v>1605.1489361702127</v>
      </c>
      <c r="AB165" s="87">
        <f>SUM(Table24[[#This Row],[A1toA3_GWP-biogenic]:[C1toC4_GWP-biogenic]])</f>
        <v>-8.5141914893617923</v>
      </c>
      <c r="AC165" s="87">
        <f>Table24[[#This Row],[GWP-biogenic]]*Table24[[#This Row],[DENSITY]]/1000</f>
        <v>-4.0016700000000425</v>
      </c>
      <c r="AD165" s="87">
        <f>(-754)/Table24[[#This Row],[DENSITY]]*1000</f>
        <v>-1604.2553191489362</v>
      </c>
      <c r="AE165" s="86">
        <f>(-1.67*10^-3+7.5*10^2)/Table24[[#This Row],[DENSITY]]*1000</f>
        <v>1595.7411276595744</v>
      </c>
      <c r="AF165" s="92">
        <f ca="1">IF(OR($E165="Ecoinvent",$E165="Betonsortenrechner",$E165="KBOB",$V165&lt;=0,Table24[[#This Row],[VALID_TO]]&lt;=TODAY()),0,1)</f>
        <v>1</v>
      </c>
      <c r="AG165" s="92">
        <v>1</v>
      </c>
      <c r="AH165" s="92">
        <f ca="1">IF(AND(Table24[[#This Row],[ValidEPD]]&lt;&gt;0,Table24[[#This Row],[Man_Ausschluss]]&lt;&gt;0),1,0)</f>
        <v>1</v>
      </c>
      <c r="AI165" s="178" cm="1">
        <f t="array" aca="1" ref="AI165" ca="1">IF(Table24[[#This Row],[gültig]]&lt;&gt;0,
IF(V165=MIN(_xlfn._xlws.FILTER($V$2:$V$282,($P$2:$P$282=P165))),1,
IF(V165=MAX(_xlfn._xlws.FILTER($V$2:$V$282,($P$2:$P$282=P165))),1,0)),0)</f>
        <v>1</v>
      </c>
      <c r="AJ165" s="180"/>
      <c r="AK165" s="2"/>
      <c r="AL165" s="2"/>
    </row>
    <row r="166" spans="1:38" x14ac:dyDescent="0.45">
      <c r="A166" s="199" t="s">
        <v>252</v>
      </c>
      <c r="B166" s="200"/>
      <c r="C166" s="111">
        <v>167</v>
      </c>
      <c r="D166" s="201" t="s">
        <v>250</v>
      </c>
      <c r="E166" s="202" t="s">
        <v>251</v>
      </c>
      <c r="F166" s="202"/>
      <c r="G166" s="203">
        <v>44844</v>
      </c>
      <c r="H166" s="203">
        <v>46670</v>
      </c>
      <c r="I166" s="96" t="s">
        <v>289</v>
      </c>
      <c r="J166" s="204" t="s">
        <v>289</v>
      </c>
      <c r="K166" s="205" t="s">
        <v>113</v>
      </c>
      <c r="L166" s="281" t="s">
        <v>491</v>
      </c>
      <c r="M166" s="201" t="s">
        <v>315</v>
      </c>
      <c r="N166" s="207" t="s">
        <v>494</v>
      </c>
      <c r="O166" s="208" t="s">
        <v>416</v>
      </c>
      <c r="P166" s="96" t="s">
        <v>114</v>
      </c>
      <c r="Q166" s="96">
        <v>470</v>
      </c>
      <c r="R166" s="202" t="s">
        <v>416</v>
      </c>
      <c r="S166" s="202" t="s">
        <v>416</v>
      </c>
      <c r="T166" s="202" t="s">
        <v>416</v>
      </c>
      <c r="U166" s="209" t="s">
        <v>416</v>
      </c>
      <c r="V166" s="123">
        <f>SUM(Table24[[#This Row],[A1toA3_GWP]:[C1toC4_GWP]])</f>
        <v>418.08510638297867</v>
      </c>
      <c r="W166" s="123">
        <f>VLOOKUP(Table24[[#This Row],[Country PRODUCTION]],[1]Sheet1!$B$11:$F$30,4,FALSE)+Table24[[#This Row],[Total_GWP]]</f>
        <v>634.53510638297871</v>
      </c>
      <c r="X166" s="123">
        <f>VLOOKUP(Table24[[#This Row],[Country PRODUCTION]],[1]Sheet1!$B$11:$F$30,5,FALSE)+Table24[[#This Row],[Total_GWP]]</f>
        <v>440.28510638297865</v>
      </c>
      <c r="Y166" s="123">
        <f>Table24[[#This Row],[Total_GWP]]*Table24[[#This Row],[DENSITY]]/1000</f>
        <v>196.49999999999997</v>
      </c>
      <c r="Z166" s="149">
        <f>(-1000+28+6)/Table24[[#This Row],[DENSITY]]*1000</f>
        <v>-2055.3191489361702</v>
      </c>
      <c r="AA166" s="81">
        <f>(430+86+640+6.5)/Table24[[#This Row],[DENSITY]]*1000</f>
        <v>2473.4042553191489</v>
      </c>
      <c r="AB166" s="87">
        <f>SUM(Table24[[#This Row],[A1toA3_GWP-biogenic]:[C1toC4_GWP-biogenic]])</f>
        <v>-144.35531914893636</v>
      </c>
      <c r="AC166" s="87">
        <f>Table24[[#This Row],[GWP-biogenic]]*Table24[[#This Row],[DENSITY]]/1000</f>
        <v>-67.847000000000094</v>
      </c>
      <c r="AD166" s="87">
        <f>(-1.1*10^3+9*10^-3+2.1+2.1*10^-2)/Table24[[#This Row],[DENSITY]]*1000</f>
        <v>-2335.8936170212769</v>
      </c>
      <c r="AE166" s="100">
        <f>(4*10^2+2.3*10^-2+6.3*10^2)/Table24[[#This Row],[DENSITY]]*1000</f>
        <v>2191.5382978723405</v>
      </c>
      <c r="AF166" s="92">
        <f ca="1">IF(OR($E166="Ecoinvent",$E166="Betonsortenrechner",$E166="KBOB",$V166&lt;=0,Table24[[#This Row],[VALID_TO]]&lt;=TODAY()),0,1)</f>
        <v>1</v>
      </c>
      <c r="AG166" s="92">
        <v>1</v>
      </c>
      <c r="AH166" s="92">
        <f ca="1">IF(AND(Table24[[#This Row],[ValidEPD]]&lt;&gt;0,Table24[[#This Row],[Man_Ausschluss]]&lt;&gt;0),1,0)</f>
        <v>1</v>
      </c>
      <c r="AI166" s="178" cm="1">
        <f t="array" aca="1" ref="AI166" ca="1">IF(Table24[[#This Row],[gültig]]&lt;&gt;0,
IF(V166=MIN(_xlfn._xlws.FILTER($V$2:$V$282,($P$2:$P$282=P166))),1,
IF(V166=MAX(_xlfn._xlws.FILTER($V$2:$V$282,($P$2:$P$282=P166))),1,0)),0)</f>
        <v>0</v>
      </c>
      <c r="AJ166" s="180"/>
      <c r="AK166" s="2"/>
      <c r="AL166" s="2"/>
    </row>
    <row r="167" spans="1:38" x14ac:dyDescent="0.45">
      <c r="A167" s="199" t="s">
        <v>253</v>
      </c>
      <c r="B167" s="200" t="s">
        <v>502</v>
      </c>
      <c r="C167" s="115">
        <v>168</v>
      </c>
      <c r="D167" s="201" t="s">
        <v>254</v>
      </c>
      <c r="E167" s="202" t="s">
        <v>284</v>
      </c>
      <c r="F167" s="202"/>
      <c r="G167" s="203">
        <v>43388</v>
      </c>
      <c r="H167" s="203">
        <v>45396</v>
      </c>
      <c r="I167" s="96" t="s">
        <v>266</v>
      </c>
      <c r="J167" s="204" t="s">
        <v>612</v>
      </c>
      <c r="K167" s="205" t="s">
        <v>113</v>
      </c>
      <c r="L167" s="281" t="s">
        <v>491</v>
      </c>
      <c r="M167" s="201" t="s">
        <v>315</v>
      </c>
      <c r="N167" s="207" t="s">
        <v>494</v>
      </c>
      <c r="O167" s="208" t="s">
        <v>416</v>
      </c>
      <c r="P167" s="96" t="s">
        <v>536</v>
      </c>
      <c r="Q167" s="96">
        <v>470</v>
      </c>
      <c r="R167" s="202" t="s">
        <v>416</v>
      </c>
      <c r="S167" s="202" t="s">
        <v>416</v>
      </c>
      <c r="T167" s="202" t="s">
        <v>416</v>
      </c>
      <c r="U167" s="209" t="s">
        <v>416</v>
      </c>
      <c r="V167" s="123">
        <f>SUM(Table24[[#This Row],[A1toA3_GWP]:[C1toC4_GWP]])</f>
        <v>349.0042553191488</v>
      </c>
      <c r="W167" s="123">
        <f>VLOOKUP("AT",[1]Sheet1!$B$11:$F$30,4,FALSE)+Table24[[#This Row],[Total_GWP]]</f>
        <v>419.20425531914879</v>
      </c>
      <c r="X167" s="123">
        <f>VLOOKUP("AT",[1]Sheet1!$B$11:$F$30,5,FALSE)+Table24[[#This Row],[Total_GWP]]</f>
        <v>356.20425531914879</v>
      </c>
      <c r="Y167" s="123">
        <f>Table24[[#This Row],[Total_GWP]]*Table24[[#This Row],[DENSITY]]/1000</f>
        <v>164.03199999999995</v>
      </c>
      <c r="Z167" s="149">
        <f>(-699+7.56+97)/Table24[[#This Row],[DENSITY]]*1000</f>
        <v>-1264.7659574468087</v>
      </c>
      <c r="AA167" s="81">
        <f>(0.472+758)/Table24[[#This Row],[DENSITY]]*1000</f>
        <v>1613.7702127659575</v>
      </c>
      <c r="AB167" s="87">
        <f>SUM(Table24[[#This Row],[A1toA3_GWP-biogenic]:[C1toC4_GWP-biogenic]])</f>
        <v>0</v>
      </c>
      <c r="AC167" s="87">
        <f>Table24[[#This Row],[GWP-biogenic]]*Table24[[#This Row],[DENSITY]]/1000</f>
        <v>0</v>
      </c>
      <c r="AD167" s="83" t="s">
        <v>416</v>
      </c>
      <c r="AE167" s="81" t="s">
        <v>416</v>
      </c>
      <c r="AF167" s="92">
        <f ca="1">IF(OR($E167="Ecoinvent",$E167="Betonsortenrechner",$E167="KBOB",$V167&lt;=0,Table24[[#This Row],[VALID_TO]]&lt;=TODAY()),0,1)</f>
        <v>0</v>
      </c>
      <c r="AG167" s="92">
        <v>1</v>
      </c>
      <c r="AH167" s="92">
        <f ca="1">IF(AND(Table24[[#This Row],[ValidEPD]]&lt;&gt;0,Table24[[#This Row],[Man_Ausschluss]]&lt;&gt;0),1,0)</f>
        <v>0</v>
      </c>
      <c r="AI167" s="178" cm="1">
        <f t="array" aca="1" ref="AI167" ca="1">IF(Table24[[#This Row],[gültig]]&lt;&gt;0,
IF(V167=MIN(_xlfn._xlws.FILTER($V$2:$V$282,($P$2:$P$282=P167))),1,
IF(V167=MAX(_xlfn._xlws.FILTER($V$2:$V$282,($P$2:$P$282=P167))),1,0)),0)</f>
        <v>0</v>
      </c>
      <c r="AJ167" s="180"/>
      <c r="AK167" s="2"/>
      <c r="AL167" s="2"/>
    </row>
    <row r="168" spans="1:38" x14ac:dyDescent="0.45">
      <c r="A168" s="199" t="s">
        <v>253</v>
      </c>
      <c r="B168" s="200" t="s">
        <v>518</v>
      </c>
      <c r="C168" s="111">
        <v>169</v>
      </c>
      <c r="D168" s="201" t="s">
        <v>254</v>
      </c>
      <c r="E168" s="202" t="s">
        <v>284</v>
      </c>
      <c r="F168" s="202"/>
      <c r="G168" s="203">
        <v>43388</v>
      </c>
      <c r="H168" s="203">
        <v>45396</v>
      </c>
      <c r="I168" s="96" t="s">
        <v>266</v>
      </c>
      <c r="J168" s="204" t="s">
        <v>612</v>
      </c>
      <c r="K168" s="205" t="s">
        <v>113</v>
      </c>
      <c r="L168" s="281" t="s">
        <v>491</v>
      </c>
      <c r="M168" s="201" t="s">
        <v>315</v>
      </c>
      <c r="N168" s="207" t="s">
        <v>494</v>
      </c>
      <c r="O168" s="208" t="s">
        <v>416</v>
      </c>
      <c r="P168" s="96" t="s">
        <v>114</v>
      </c>
      <c r="Q168" s="96">
        <v>470</v>
      </c>
      <c r="R168" s="202" t="s">
        <v>416</v>
      </c>
      <c r="S168" s="202" t="s">
        <v>416</v>
      </c>
      <c r="T168" s="202" t="s">
        <v>416</v>
      </c>
      <c r="U168" s="209" t="s">
        <v>416</v>
      </c>
      <c r="V168" s="123">
        <f>SUM(Table24[[#This Row],[A1toA3_GWP]:[C1toC4_GWP]])</f>
        <v>349.0042553191488</v>
      </c>
      <c r="W168" s="123">
        <f>VLOOKUP("AT",[1]Sheet1!$B$11:$F$30,4,FALSE)+Table24[[#This Row],[Total_GWP]]</f>
        <v>419.20425531914879</v>
      </c>
      <c r="X168" s="123">
        <f>VLOOKUP("AT",[1]Sheet1!$B$11:$F$30,5,FALSE)+Table24[[#This Row],[Total_GWP]]</f>
        <v>356.20425531914879</v>
      </c>
      <c r="Y168" s="123">
        <f>Table24[[#This Row],[Total_GWP]]*Table24[[#This Row],[DENSITY]]/1000</f>
        <v>164.03199999999995</v>
      </c>
      <c r="Z168" s="149">
        <f>(-699+7.56+97)/Table24[[#This Row],[DENSITY]]*1000</f>
        <v>-1264.7659574468087</v>
      </c>
      <c r="AA168" s="81">
        <f>(0.472+758)/Table24[[#This Row],[DENSITY]]*1000</f>
        <v>1613.7702127659575</v>
      </c>
      <c r="AB168" s="87">
        <f>SUM(Table24[[#This Row],[A1toA3_GWP-biogenic]:[C1toC4_GWP-biogenic]])</f>
        <v>0</v>
      </c>
      <c r="AC168" s="87">
        <f>Table24[[#This Row],[GWP-biogenic]]*Table24[[#This Row],[DENSITY]]/1000</f>
        <v>0</v>
      </c>
      <c r="AD168" s="83" t="s">
        <v>416</v>
      </c>
      <c r="AE168" s="81" t="s">
        <v>416</v>
      </c>
      <c r="AF168" s="92">
        <f ca="1">IF(OR($E168="Ecoinvent",$E168="Betonsortenrechner",$E168="KBOB",$V168&lt;=0,Table24[[#This Row],[VALID_TO]]&lt;=TODAY()),0,1)</f>
        <v>0</v>
      </c>
      <c r="AG168" s="92">
        <v>1</v>
      </c>
      <c r="AH168" s="92">
        <f ca="1">IF(AND(Table24[[#This Row],[ValidEPD]]&lt;&gt;0,Table24[[#This Row],[Man_Ausschluss]]&lt;&gt;0),1,0)</f>
        <v>0</v>
      </c>
      <c r="AI168" s="178" cm="1">
        <f t="array" aca="1" ref="AI168" ca="1">IF(Table24[[#This Row],[gültig]]&lt;&gt;0,
IF(V168=MIN(_xlfn._xlws.FILTER($V$2:$V$282,($P$2:$P$282=P168))),1,
IF(V168=MAX(_xlfn._xlws.FILTER($V$2:$V$282,($P$2:$P$282=P168))),1,0)),0)</f>
        <v>0</v>
      </c>
      <c r="AJ168" s="180"/>
      <c r="AK168" s="2"/>
      <c r="AL168" s="2"/>
    </row>
    <row r="169" spans="1:38" x14ac:dyDescent="0.45">
      <c r="A169" s="199" t="s">
        <v>253</v>
      </c>
      <c r="B169" s="200" t="s">
        <v>519</v>
      </c>
      <c r="C169" s="115">
        <v>170</v>
      </c>
      <c r="D169" s="201" t="s">
        <v>254</v>
      </c>
      <c r="E169" s="202" t="s">
        <v>284</v>
      </c>
      <c r="F169" s="202"/>
      <c r="G169" s="203">
        <v>43388</v>
      </c>
      <c r="H169" s="203">
        <v>45396</v>
      </c>
      <c r="I169" s="96" t="s">
        <v>266</v>
      </c>
      <c r="J169" s="204" t="s">
        <v>612</v>
      </c>
      <c r="K169" s="205" t="s">
        <v>113</v>
      </c>
      <c r="L169" s="281" t="s">
        <v>491</v>
      </c>
      <c r="M169" s="201" t="s">
        <v>315</v>
      </c>
      <c r="N169" s="207" t="s">
        <v>494</v>
      </c>
      <c r="O169" s="208" t="s">
        <v>416</v>
      </c>
      <c r="P169" s="96" t="s">
        <v>537</v>
      </c>
      <c r="Q169" s="96">
        <v>470</v>
      </c>
      <c r="R169" s="202" t="s">
        <v>416</v>
      </c>
      <c r="S169" s="202" t="s">
        <v>416</v>
      </c>
      <c r="T169" s="202" t="s">
        <v>416</v>
      </c>
      <c r="U169" s="209" t="s">
        <v>416</v>
      </c>
      <c r="V169" s="123">
        <f>SUM(Table24[[#This Row],[A1toA3_GWP]:[C1toC4_GWP]])</f>
        <v>349.0042553191488</v>
      </c>
      <c r="W169" s="123">
        <f>VLOOKUP("AT",[1]Sheet1!$B$11:$F$30,4,FALSE)+Table24[[#This Row],[Total_GWP]]</f>
        <v>419.20425531914879</v>
      </c>
      <c r="X169" s="123">
        <f>VLOOKUP("AT",[1]Sheet1!$B$11:$F$30,5,FALSE)+Table24[[#This Row],[Total_GWP]]</f>
        <v>356.20425531914879</v>
      </c>
      <c r="Y169" s="123">
        <f>Table24[[#This Row],[Total_GWP]]*Table24[[#This Row],[DENSITY]]/1000</f>
        <v>164.03199999999995</v>
      </c>
      <c r="Z169" s="149">
        <f>(-699+7.56+97)/Table24[[#This Row],[DENSITY]]*1000</f>
        <v>-1264.7659574468087</v>
      </c>
      <c r="AA169" s="81">
        <f>(0.472+758)/Table24[[#This Row],[DENSITY]]*1000</f>
        <v>1613.7702127659575</v>
      </c>
      <c r="AB169" s="87">
        <f>SUM(Table24[[#This Row],[A1toA3_GWP-biogenic]:[C1toC4_GWP-biogenic]])</f>
        <v>0</v>
      </c>
      <c r="AC169" s="87">
        <f>Table24[[#This Row],[GWP-biogenic]]*Table24[[#This Row],[DENSITY]]/1000</f>
        <v>0</v>
      </c>
      <c r="AD169" s="83" t="s">
        <v>416</v>
      </c>
      <c r="AE169" s="81" t="s">
        <v>416</v>
      </c>
      <c r="AF169" s="92">
        <f ca="1">IF(OR($E169="Ecoinvent",$E169="Betonsortenrechner",$E169="KBOB",$V169&lt;=0,Table24[[#This Row],[VALID_TO]]&lt;=TODAY()),0,1)</f>
        <v>0</v>
      </c>
      <c r="AG169" s="92">
        <v>1</v>
      </c>
      <c r="AH169" s="92">
        <f ca="1">IF(AND(Table24[[#This Row],[ValidEPD]]&lt;&gt;0,Table24[[#This Row],[Man_Ausschluss]]&lt;&gt;0),1,0)</f>
        <v>0</v>
      </c>
      <c r="AI169" s="178" cm="1">
        <f t="array" aca="1" ref="AI169" ca="1">IF(Table24[[#This Row],[gültig]]&lt;&gt;0,
IF(V169=MIN(_xlfn._xlws.FILTER($V$2:$V$282,($P$2:$P$282=P169))),1,
IF(V169=MAX(_xlfn._xlws.FILTER($V$2:$V$282,($P$2:$P$282=P169))),1,0)),0)</f>
        <v>0</v>
      </c>
      <c r="AJ169" s="180"/>
      <c r="AK169" s="2"/>
      <c r="AL169" s="2"/>
    </row>
    <row r="170" spans="1:38" x14ac:dyDescent="0.45">
      <c r="A170" s="199" t="s">
        <v>257</v>
      </c>
      <c r="B170" s="200"/>
      <c r="C170" s="111">
        <v>171</v>
      </c>
      <c r="D170" s="200" t="s">
        <v>255</v>
      </c>
      <c r="E170" s="202" t="s">
        <v>256</v>
      </c>
      <c r="F170" s="202"/>
      <c r="G170" s="203">
        <v>43914</v>
      </c>
      <c r="H170" s="203">
        <v>45740</v>
      </c>
      <c r="I170" s="96" t="s">
        <v>295</v>
      </c>
      <c r="J170" s="204" t="s">
        <v>295</v>
      </c>
      <c r="K170" s="205" t="s">
        <v>113</v>
      </c>
      <c r="L170" s="281" t="s">
        <v>491</v>
      </c>
      <c r="M170" s="201" t="s">
        <v>315</v>
      </c>
      <c r="N170" s="207" t="s">
        <v>494</v>
      </c>
      <c r="O170" s="208" t="s">
        <v>416</v>
      </c>
      <c r="P170" s="96" t="s">
        <v>114</v>
      </c>
      <c r="Q170" s="96">
        <v>424</v>
      </c>
      <c r="R170" s="202" t="s">
        <v>416</v>
      </c>
      <c r="S170" s="202" t="s">
        <v>416</v>
      </c>
      <c r="T170" s="202" t="s">
        <v>416</v>
      </c>
      <c r="U170" s="209" t="s">
        <v>416</v>
      </c>
      <c r="V170" s="123">
        <f>SUM(Table24[[#This Row],[A1toA3_GWP]:[C1toC4_GWP]])</f>
        <v>244.19174528301892</v>
      </c>
      <c r="W170" s="123">
        <f>VLOOKUP(Table24[[#This Row],[Country PRODUCTION]],[1]Sheet1!$B$11:$F$30,4,FALSE)+Table24[[#This Row],[Total_GWP]]</f>
        <v>478.19174528301892</v>
      </c>
      <c r="X170" s="123">
        <f>VLOOKUP(Table24[[#This Row],[Country PRODUCTION]],[1]Sheet1!$B$11:$F$30,5,FALSE)+Table24[[#This Row],[Total_GWP]]</f>
        <v>268.19174528301892</v>
      </c>
      <c r="Y170" s="123">
        <f>Table24[[#This Row],[Total_GWP]]*Table24[[#This Row],[DENSITY]]/1000</f>
        <v>103.53730000000002</v>
      </c>
      <c r="Z170" s="149">
        <f>(-597)/Table24[[#This Row],[DENSITY]]*1000</f>
        <v>-1408.0188679245282</v>
      </c>
      <c r="AA170" s="81">
        <f>(3.52+697+0.0173)/Table24[[#This Row],[DENSITY]]*1000</f>
        <v>1652.2106132075471</v>
      </c>
      <c r="AB170" s="87">
        <f>SUM(Table24[[#This Row],[A1toA3_GWP-biogenic]:[C1toC4_GWP-biogenic]])</f>
        <v>2.3584905660377444</v>
      </c>
      <c r="AC170" s="87">
        <f>Table24[[#This Row],[GWP-biogenic]]*Table24[[#This Row],[DENSITY]]/1000</f>
        <v>1.0000000000000036</v>
      </c>
      <c r="AD170" s="87">
        <f>(-6.87*10^2)/Table24[[#This Row],[DENSITY]]*1000</f>
        <v>-1620.2830188679245</v>
      </c>
      <c r="AE170" s="100">
        <f>(6.88*10^2)/Table24[[#This Row],[DENSITY]]*1000</f>
        <v>1622.6415094339623</v>
      </c>
      <c r="AF170" s="92">
        <f ca="1">IF(OR($E170="Ecoinvent",$E170="Betonsortenrechner",$E170="KBOB",$V170&lt;=0,Table24[[#This Row],[VALID_TO]]&lt;=TODAY()),0,1)</f>
        <v>0</v>
      </c>
      <c r="AG170" s="92">
        <v>1</v>
      </c>
      <c r="AH170" s="92">
        <f ca="1">IF(AND(Table24[[#This Row],[ValidEPD]]&lt;&gt;0,Table24[[#This Row],[Man_Ausschluss]]&lt;&gt;0),1,0)</f>
        <v>0</v>
      </c>
      <c r="AI170" s="178" cm="1">
        <f t="array" aca="1" ref="AI170" ca="1">IF(Table24[[#This Row],[gültig]]&lt;&gt;0,
IF(V170=MIN(_xlfn._xlws.FILTER($V$2:$V$282,($P$2:$P$282=P170))),1,
IF(V170=MAX(_xlfn._xlws.FILTER($V$2:$V$282,($P$2:$P$282=P170))),1,0)),0)</f>
        <v>0</v>
      </c>
      <c r="AJ170" s="180"/>
      <c r="AK170" s="2"/>
      <c r="AL170" s="2"/>
    </row>
    <row r="171" spans="1:38" x14ac:dyDescent="0.45">
      <c r="A171" s="199" t="s">
        <v>258</v>
      </c>
      <c r="B171" s="200"/>
      <c r="C171" s="115">
        <v>172</v>
      </c>
      <c r="D171" s="200" t="s">
        <v>260</v>
      </c>
      <c r="E171" s="202" t="s">
        <v>259</v>
      </c>
      <c r="F171" s="202"/>
      <c r="G171" s="203">
        <v>43451</v>
      </c>
      <c r="H171" s="203">
        <v>45271</v>
      </c>
      <c r="I171" s="96" t="s">
        <v>294</v>
      </c>
      <c r="J171" s="204" t="s">
        <v>294</v>
      </c>
      <c r="K171" s="205" t="s">
        <v>113</v>
      </c>
      <c r="L171" s="281" t="s">
        <v>491</v>
      </c>
      <c r="M171" s="201" t="s">
        <v>315</v>
      </c>
      <c r="N171" s="207" t="s">
        <v>494</v>
      </c>
      <c r="O171" s="208" t="s">
        <v>416</v>
      </c>
      <c r="P171" s="96" t="s">
        <v>114</v>
      </c>
      <c r="Q171" s="96">
        <v>400</v>
      </c>
      <c r="R171" s="202" t="s">
        <v>416</v>
      </c>
      <c r="S171" s="202" t="s">
        <v>416</v>
      </c>
      <c r="T171" s="202" t="s">
        <v>416</v>
      </c>
      <c r="U171" s="209" t="s">
        <v>416</v>
      </c>
      <c r="V171" s="123">
        <f>SUM(Table24[[#This Row],[A1toA3_GWP]:[C1toC4_GWP]])</f>
        <v>400</v>
      </c>
      <c r="W171" s="123">
        <f>VLOOKUP(Table24[[#This Row],[Country PRODUCTION]],[1]Sheet1!$B$11:$F$30,4,FALSE)+Table24[[#This Row],[Total_GWP]]</f>
        <v>493.6</v>
      </c>
      <c r="X171" s="123">
        <f>VLOOKUP(Table24[[#This Row],[Country PRODUCTION]],[1]Sheet1!$B$11:$F$30,5,FALSE)+Table24[[#This Row],[Total_GWP]]</f>
        <v>409.6</v>
      </c>
      <c r="Y171" s="123">
        <f>Table24[[#This Row],[Total_GWP]]*Table24[[#This Row],[DENSITY]]/1000</f>
        <v>160</v>
      </c>
      <c r="Z171" s="149">
        <f>(160)/Table24[[#This Row],[DENSITY]]*1000</f>
        <v>400</v>
      </c>
      <c r="AA171" s="81" t="s">
        <v>416</v>
      </c>
      <c r="AB171" s="87">
        <f>SUM(Table24[[#This Row],[A1toA3_GWP-biogenic]:[C1toC4_GWP-biogenic]])</f>
        <v>-1300</v>
      </c>
      <c r="AC171" s="87">
        <f>Table24[[#This Row],[GWP-biogenic]]*Table24[[#This Row],[DENSITY]]/1000</f>
        <v>-520</v>
      </c>
      <c r="AD171" s="87">
        <f>(-5.2*10^2)/Table24[[#This Row],[DENSITY]]*1000</f>
        <v>-1300</v>
      </c>
      <c r="AE171" s="81" t="s">
        <v>416</v>
      </c>
      <c r="AF171" s="92">
        <f ca="1">IF(OR($E171="Ecoinvent",$E171="Betonsortenrechner",$E171="KBOB",$V171&lt;=0,Table24[[#This Row],[VALID_TO]]&lt;=TODAY()),0,1)</f>
        <v>0</v>
      </c>
      <c r="AG171" s="92">
        <v>1</v>
      </c>
      <c r="AH171" s="92">
        <f ca="1">IF(AND(Table24[[#This Row],[ValidEPD]]&lt;&gt;0,Table24[[#This Row],[Man_Ausschluss]]&lt;&gt;0),1,0)</f>
        <v>0</v>
      </c>
      <c r="AI171" s="178" cm="1">
        <f t="array" aca="1" ref="AI171" ca="1">IF(Table24[[#This Row],[gültig]]&lt;&gt;0,
IF(V171=MIN(_xlfn._xlws.FILTER($V$2:$V$282,($P$2:$P$282=P171))),1,
IF(V171=MAX(_xlfn._xlws.FILTER($V$2:$V$282,($P$2:$P$282=P171))),1,0)),0)</f>
        <v>0</v>
      </c>
      <c r="AJ171" s="180"/>
      <c r="AK171" s="2"/>
      <c r="AL171" s="2"/>
    </row>
    <row r="172" spans="1:38" x14ac:dyDescent="0.45">
      <c r="A172" s="199" t="s">
        <v>263</v>
      </c>
      <c r="B172" s="200"/>
      <c r="C172" s="111">
        <v>173</v>
      </c>
      <c r="D172" s="200" t="s">
        <v>265</v>
      </c>
      <c r="E172" s="202" t="s">
        <v>264</v>
      </c>
      <c r="F172" s="202"/>
      <c r="G172" s="203">
        <v>44628</v>
      </c>
      <c r="H172" s="203">
        <v>46454</v>
      </c>
      <c r="I172" s="96" t="s">
        <v>266</v>
      </c>
      <c r="J172" s="204" t="s">
        <v>266</v>
      </c>
      <c r="K172" s="205" t="s">
        <v>113</v>
      </c>
      <c r="L172" s="281" t="s">
        <v>491</v>
      </c>
      <c r="M172" s="201" t="s">
        <v>315</v>
      </c>
      <c r="N172" s="207" t="s">
        <v>494</v>
      </c>
      <c r="O172" s="208" t="s">
        <v>416</v>
      </c>
      <c r="P172" s="96" t="s">
        <v>114</v>
      </c>
      <c r="Q172" s="96">
        <v>470</v>
      </c>
      <c r="R172" s="202" t="s">
        <v>416</v>
      </c>
      <c r="S172" s="202" t="s">
        <v>416</v>
      </c>
      <c r="T172" s="202" t="s">
        <v>416</v>
      </c>
      <c r="U172" s="209" t="s">
        <v>416</v>
      </c>
      <c r="V172" s="123">
        <f>SUM(Table24[[#This Row],[A1toA3_GWP]:[C1toC4_GWP]])</f>
        <v>207.063829787234</v>
      </c>
      <c r="W172" s="123">
        <f>VLOOKUP(Table24[[#This Row],[Country PRODUCTION]],[1]Sheet1!$B$11:$F$30,4,FALSE)+Table24[[#This Row],[Total_GWP]]</f>
        <v>283.11382978723401</v>
      </c>
      <c r="X172" s="123">
        <f>VLOOKUP(Table24[[#This Row],[Country PRODUCTION]],[1]Sheet1!$B$11:$F$30,5,FALSE)+Table24[[#This Row],[Total_GWP]]</f>
        <v>214.86382978723401</v>
      </c>
      <c r="Y172" s="123">
        <f>Table24[[#This Row],[Total_GWP]]*Table24[[#This Row],[DENSITY]]/1000</f>
        <v>97.319999999999979</v>
      </c>
      <c r="Z172" s="149">
        <f>(-690)/Table24[[#This Row],[DENSITY]]*1000</f>
        <v>-1468.0851063829787</v>
      </c>
      <c r="AA172" s="81">
        <f>(1.32+786)/Table24[[#This Row],[DENSITY]]*1000</f>
        <v>1675.1489361702127</v>
      </c>
      <c r="AB172" s="87">
        <f>SUM(Table24[[#This Row],[A1toA3_GWP-biogenic]:[C1toC4_GWP-biogenic]])</f>
        <v>0</v>
      </c>
      <c r="AC172" s="87">
        <f>Table24[[#This Row],[GWP-biogenic]]*Table24[[#This Row],[DENSITY]]/1000</f>
        <v>0</v>
      </c>
      <c r="AD172" s="83" t="s">
        <v>416</v>
      </c>
      <c r="AE172" s="81" t="s">
        <v>416</v>
      </c>
      <c r="AF172" s="92">
        <f ca="1">IF(OR($E172="Ecoinvent",$E172="Betonsortenrechner",$E172="KBOB",$V172&lt;=0,Table24[[#This Row],[VALID_TO]]&lt;=TODAY()),0,1)</f>
        <v>1</v>
      </c>
      <c r="AG172" s="92">
        <v>1</v>
      </c>
      <c r="AH172" s="92">
        <f ca="1">IF(AND(Table24[[#This Row],[ValidEPD]]&lt;&gt;0,Table24[[#This Row],[Man_Ausschluss]]&lt;&gt;0),1,0)</f>
        <v>1</v>
      </c>
      <c r="AI172" s="178" cm="1">
        <f t="array" aca="1" ref="AI172" ca="1">IF(Table24[[#This Row],[gültig]]&lt;&gt;0,
IF(V172=MIN(_xlfn._xlws.FILTER($V$2:$V$282,($P$2:$P$282=P172))),1,
IF(V172=MAX(_xlfn._xlws.FILTER($V$2:$V$282,($P$2:$P$282=P172))),1,0)),0)</f>
        <v>0</v>
      </c>
      <c r="AJ172" s="180"/>
      <c r="AK172" s="2"/>
      <c r="AL172" s="2"/>
    </row>
    <row r="173" spans="1:38" x14ac:dyDescent="0.45">
      <c r="A173" s="199" t="s">
        <v>268</v>
      </c>
      <c r="B173" s="200"/>
      <c r="C173" s="115">
        <v>174</v>
      </c>
      <c r="D173" s="200" t="s">
        <v>267</v>
      </c>
      <c r="E173" s="202" t="s">
        <v>236</v>
      </c>
      <c r="F173" s="202"/>
      <c r="G173" s="203">
        <v>45454</v>
      </c>
      <c r="H173" s="203">
        <v>47280</v>
      </c>
      <c r="I173" s="96" t="s">
        <v>240</v>
      </c>
      <c r="J173" s="204" t="s">
        <v>240</v>
      </c>
      <c r="K173" s="205" t="s">
        <v>99</v>
      </c>
      <c r="L173" s="281" t="s">
        <v>328</v>
      </c>
      <c r="M173" s="201" t="s">
        <v>315</v>
      </c>
      <c r="N173" s="207" t="s">
        <v>321</v>
      </c>
      <c r="O173" s="208" t="s">
        <v>416</v>
      </c>
      <c r="P173" s="96" t="s">
        <v>1</v>
      </c>
      <c r="Q173" s="96">
        <v>463</v>
      </c>
      <c r="R173" s="202" t="s">
        <v>416</v>
      </c>
      <c r="S173" s="202" t="s">
        <v>416</v>
      </c>
      <c r="T173" s="202" t="s">
        <v>416</v>
      </c>
      <c r="U173" s="209" t="s">
        <v>416</v>
      </c>
      <c r="V173" s="123">
        <f>SUM(Table24[[#This Row],[A1toA3_GWP]:[C1toC4_GWP]])</f>
        <v>116.63714902807783</v>
      </c>
      <c r="W173" s="123">
        <f>VLOOKUP(Table24[[#This Row],[Country PRODUCTION]],[1]Sheet1!$B$11:$F$30,4,FALSE)+Table24[[#This Row],[Total_GWP]]</f>
        <v>385.73714902807785</v>
      </c>
      <c r="X173" s="123">
        <f>VLOOKUP(Table24[[#This Row],[Country PRODUCTION]],[1]Sheet1!$B$11:$F$30,5,FALSE)+Table24[[#This Row],[Total_GWP]]</f>
        <v>144.23714902807782</v>
      </c>
      <c r="Y173" s="123">
        <f>Table24[[#This Row],[Total_GWP]]*Table24[[#This Row],[DENSITY]]/1000</f>
        <v>54.003000000000036</v>
      </c>
      <c r="Z173" s="149">
        <f>(-700)/Table24[[#This Row],[DENSITY]]*1000</f>
        <v>-1511.8790496760259</v>
      </c>
      <c r="AA173" s="81">
        <f>(0.153+1.85+752)/Table24[[#This Row],[DENSITY]]*1000</f>
        <v>1628.5161987041038</v>
      </c>
      <c r="AB173" s="87">
        <f>SUM(Table24[[#This Row],[A1toA3_GWP-biogenic]:[C1toC4_GWP-biogenic]])</f>
        <v>5.332613390919505E-2</v>
      </c>
      <c r="AC173" s="87">
        <f>Table24[[#This Row],[GWP-biogenic]]*Table24[[#This Row],[DENSITY]]/1000</f>
        <v>2.4689999999957309E-2</v>
      </c>
      <c r="AD173" s="83">
        <f>(-751)/Table24[[#This Row],[DENSITY]]*1000</f>
        <v>-1622.0302375809936</v>
      </c>
      <c r="AE173" s="81">
        <f>(1.89*10^-3+2.28*10^-2+751)/Table24[[#This Row],[DENSITY]]*1000</f>
        <v>1622.0835637149028</v>
      </c>
      <c r="AF173" s="92">
        <f ca="1">IF(OR($E173="Ecoinvent",$E173="Betonsortenrechner",$E173="KBOB",$V173&lt;=0,Table24[[#This Row],[VALID_TO]]&lt;=TODAY()),0,1)</f>
        <v>1</v>
      </c>
      <c r="AG173" s="92">
        <v>1</v>
      </c>
      <c r="AH173" s="92">
        <f ca="1">IF(AND(Table24[[#This Row],[ValidEPD]]&lt;&gt;0,Table24[[#This Row],[Man_Ausschluss]]&lt;&gt;0),1,0)</f>
        <v>1</v>
      </c>
      <c r="AI173" s="178" cm="1">
        <f t="array" aca="1" ref="AI173" ca="1">IF(Table24[[#This Row],[gültig]]&lt;&gt;0,
IF(V173=MIN(_xlfn._xlws.FILTER($V$2:$V$282,($P$2:$P$282=P173))),1,
IF(V173=MAX(_xlfn._xlws.FILTER($V$2:$V$282,($P$2:$P$282=P173))),1,0)),0)</f>
        <v>0</v>
      </c>
      <c r="AJ173" s="180"/>
      <c r="AK173" s="2" t="s">
        <v>423</v>
      </c>
      <c r="AL173" s="2"/>
    </row>
    <row r="174" spans="1:38" x14ac:dyDescent="0.45">
      <c r="A174" s="199" t="s">
        <v>270</v>
      </c>
      <c r="B174" s="200"/>
      <c r="C174" s="111">
        <v>175</v>
      </c>
      <c r="D174" s="200" t="s">
        <v>269</v>
      </c>
      <c r="E174" s="202" t="s">
        <v>236</v>
      </c>
      <c r="F174" s="202"/>
      <c r="G174" s="203">
        <v>43399</v>
      </c>
      <c r="H174" s="203">
        <v>45225</v>
      </c>
      <c r="I174" s="96" t="s">
        <v>240</v>
      </c>
      <c r="J174" s="204" t="s">
        <v>240</v>
      </c>
      <c r="K174" s="205" t="s">
        <v>99</v>
      </c>
      <c r="L174" s="281" t="s">
        <v>328</v>
      </c>
      <c r="M174" s="201" t="s">
        <v>315</v>
      </c>
      <c r="N174" s="207" t="s">
        <v>321</v>
      </c>
      <c r="O174" s="208" t="s">
        <v>416</v>
      </c>
      <c r="P174" s="96" t="s">
        <v>1</v>
      </c>
      <c r="Q174" s="96">
        <v>430</v>
      </c>
      <c r="R174" s="202" t="s">
        <v>416</v>
      </c>
      <c r="S174" s="202" t="s">
        <v>416</v>
      </c>
      <c r="T174" s="202" t="s">
        <v>416</v>
      </c>
      <c r="U174" s="209" t="s">
        <v>416</v>
      </c>
      <c r="V174" s="123">
        <f>SUM(Table24[[#This Row],[A1toA3_GWP]:[C1toC4_GWP]])</f>
        <v>-1534.8837209302326</v>
      </c>
      <c r="W174" s="123"/>
      <c r="X174" s="123"/>
      <c r="Y174" s="123">
        <f>Table24[[#This Row],[Total_GWP]]*Table24[[#This Row],[DENSITY]]/1000</f>
        <v>-660</v>
      </c>
      <c r="Z174" s="149">
        <f>(-660)/Table24[[#This Row],[DENSITY]]*1000</f>
        <v>-1534.8837209302326</v>
      </c>
      <c r="AA174" s="81" t="s">
        <v>416</v>
      </c>
      <c r="AB174" s="87">
        <f>SUM(Table24[[#This Row],[A1toA3_GWP-biogenic]:[C1toC4_GWP-biogenic]])</f>
        <v>0</v>
      </c>
      <c r="AC174" s="87">
        <f>Table24[[#This Row],[GWP-biogenic]]*Table24[[#This Row],[DENSITY]]/1000</f>
        <v>0</v>
      </c>
      <c r="AD174" s="83" t="s">
        <v>416</v>
      </c>
      <c r="AE174" s="81" t="s">
        <v>416</v>
      </c>
      <c r="AF174" s="92">
        <f ca="1">IF(OR($E174="Ecoinvent",$E174="Betonsortenrechner",$E174="KBOB",$V174&lt;=0,Table24[[#This Row],[VALID_TO]]&lt;=TODAY()),0,1)</f>
        <v>0</v>
      </c>
      <c r="AG174" s="92">
        <v>1</v>
      </c>
      <c r="AH174" s="92">
        <f ca="1">IF(AND(Table24[[#This Row],[ValidEPD]]&lt;&gt;0,Table24[[#This Row],[Man_Ausschluss]]&lt;&gt;0),1,0)</f>
        <v>0</v>
      </c>
      <c r="AI174" s="178" cm="1">
        <f t="array" aca="1" ref="AI174" ca="1">IF(Table24[[#This Row],[gültig]]&lt;&gt;0,
IF(V174=MIN(_xlfn._xlws.FILTER($V$2:$V$282,($P$2:$P$282=P174))),1,
IF(V174=MAX(_xlfn._xlws.FILTER($V$2:$V$282,($P$2:$P$282=P174))),1,0)),0)</f>
        <v>0</v>
      </c>
      <c r="AJ174" s="180"/>
      <c r="AK174" s="2" t="s">
        <v>421</v>
      </c>
      <c r="AL174" s="2"/>
    </row>
    <row r="175" spans="1:38" x14ac:dyDescent="0.45">
      <c r="A175" s="199" t="s">
        <v>271</v>
      </c>
      <c r="B175" s="200" t="s">
        <v>502</v>
      </c>
      <c r="C175" s="115">
        <v>176</v>
      </c>
      <c r="D175" s="200" t="s">
        <v>272</v>
      </c>
      <c r="E175" s="202" t="s">
        <v>273</v>
      </c>
      <c r="F175" s="202"/>
      <c r="G175" s="203">
        <v>44830</v>
      </c>
      <c r="H175" s="203">
        <v>46655</v>
      </c>
      <c r="I175" s="96" t="s">
        <v>266</v>
      </c>
      <c r="J175" s="204" t="s">
        <v>266</v>
      </c>
      <c r="K175" s="205" t="s">
        <v>99</v>
      </c>
      <c r="L175" s="281" t="s">
        <v>328</v>
      </c>
      <c r="M175" s="201" t="s">
        <v>315</v>
      </c>
      <c r="N175" s="207" t="s">
        <v>321</v>
      </c>
      <c r="O175" s="208" t="s">
        <v>416</v>
      </c>
      <c r="P175" s="96" t="s">
        <v>528</v>
      </c>
      <c r="Q175" s="96">
        <v>480</v>
      </c>
      <c r="R175" s="202" t="s">
        <v>416</v>
      </c>
      <c r="S175" s="202" t="s">
        <v>416</v>
      </c>
      <c r="T175" s="202" t="s">
        <v>416</v>
      </c>
      <c r="U175" s="209" t="s">
        <v>416</v>
      </c>
      <c r="V175" s="123">
        <f>SUM(Table24[[#This Row],[A1toA3_GWP]:[C1toC4_GWP]])</f>
        <v>291.03750000000014</v>
      </c>
      <c r="W175" s="123">
        <f>VLOOKUP(Table24[[#This Row],[Country PRODUCTION]],[1]Sheet1!$B$11:$F$30,4,FALSE)+Table24[[#This Row],[Total_GWP]]</f>
        <v>367.08750000000015</v>
      </c>
      <c r="X175" s="123">
        <f>VLOOKUP(Table24[[#This Row],[Country PRODUCTION]],[1]Sheet1!$B$11:$F$30,5,FALSE)+Table24[[#This Row],[Total_GWP]]</f>
        <v>298.83750000000015</v>
      </c>
      <c r="Y175" s="123">
        <f>Table24[[#This Row],[Total_GWP]]*Table24[[#This Row],[DENSITY]]/1000</f>
        <v>139.69800000000006</v>
      </c>
      <c r="Z175" s="149">
        <f>(-680+6.04+37.1)/Table24[[#This Row],[DENSITY]]*1000</f>
        <v>-1326.7916666666665</v>
      </c>
      <c r="AA175" s="81">
        <f>(0.558+776)/Table24[[#This Row],[DENSITY]]*1000</f>
        <v>1617.8291666666667</v>
      </c>
      <c r="AB175" s="87">
        <f>SUM(Table24[[#This Row],[A1toA3_GWP-biogenic]:[C1toC4_GWP-biogenic]])</f>
        <v>0</v>
      </c>
      <c r="AC175" s="87">
        <f>Table24[[#This Row],[GWP-biogenic]]*Table24[[#This Row],[DENSITY]]/1000</f>
        <v>0</v>
      </c>
      <c r="AD175" s="83" t="s">
        <v>416</v>
      </c>
      <c r="AE175" s="85" t="s">
        <v>416</v>
      </c>
      <c r="AF175" s="92">
        <f ca="1">IF(OR($E175="Ecoinvent",$E175="Betonsortenrechner",$E175="KBOB",$V175&lt;=0,Table24[[#This Row],[VALID_TO]]&lt;=TODAY()),0,1)</f>
        <v>1</v>
      </c>
      <c r="AG175" s="92">
        <v>1</v>
      </c>
      <c r="AH175" s="92">
        <f ca="1">IF(AND(Table24[[#This Row],[ValidEPD]]&lt;&gt;0,Table24[[#This Row],[Man_Ausschluss]]&lt;&gt;0),1,0)</f>
        <v>1</v>
      </c>
      <c r="AI175" s="178" cm="1">
        <f t="array" aca="1" ref="AI175" ca="1">IF(Table24[[#This Row],[gültig]]&lt;&gt;0,
IF(V175=MIN(_xlfn._xlws.FILTER($V$2:$V$282,($P$2:$P$282=P175))),1,
IF(V175=MAX(_xlfn._xlws.FILTER($V$2:$V$282,($P$2:$P$282=P175))),1,0)),0)</f>
        <v>1</v>
      </c>
      <c r="AJ175" s="180"/>
      <c r="AK175" s="2" t="s">
        <v>424</v>
      </c>
      <c r="AL175" s="2"/>
    </row>
    <row r="176" spans="1:38" x14ac:dyDescent="0.45">
      <c r="A176" s="199" t="s">
        <v>271</v>
      </c>
      <c r="B176" s="200" t="s">
        <v>518</v>
      </c>
      <c r="C176" s="111">
        <v>177</v>
      </c>
      <c r="D176" s="200" t="s">
        <v>272</v>
      </c>
      <c r="E176" s="202" t="s">
        <v>273</v>
      </c>
      <c r="F176" s="202"/>
      <c r="G176" s="203">
        <v>44830</v>
      </c>
      <c r="H176" s="203">
        <v>46655</v>
      </c>
      <c r="I176" s="96" t="s">
        <v>266</v>
      </c>
      <c r="J176" s="204" t="s">
        <v>266</v>
      </c>
      <c r="K176" s="205" t="s">
        <v>99</v>
      </c>
      <c r="L176" s="281" t="s">
        <v>328</v>
      </c>
      <c r="M176" s="201" t="s">
        <v>315</v>
      </c>
      <c r="N176" s="207" t="s">
        <v>321</v>
      </c>
      <c r="O176" s="208" t="s">
        <v>416</v>
      </c>
      <c r="P176" s="96" t="s">
        <v>527</v>
      </c>
      <c r="Q176" s="96">
        <v>480</v>
      </c>
      <c r="R176" s="202" t="s">
        <v>416</v>
      </c>
      <c r="S176" s="202" t="s">
        <v>416</v>
      </c>
      <c r="T176" s="202" t="s">
        <v>416</v>
      </c>
      <c r="U176" s="209" t="s">
        <v>416</v>
      </c>
      <c r="V176" s="123">
        <f>SUM(Table24[[#This Row],[A1toA3_GWP]:[C1toC4_GWP]])</f>
        <v>291.03750000000014</v>
      </c>
      <c r="W176" s="123">
        <f>VLOOKUP(Table24[[#This Row],[Country PRODUCTION]],[1]Sheet1!$B$11:$F$30,4,FALSE)+Table24[[#This Row],[Total_GWP]]</f>
        <v>367.08750000000015</v>
      </c>
      <c r="X176" s="123">
        <f>VLOOKUP(Table24[[#This Row],[Country PRODUCTION]],[1]Sheet1!$B$11:$F$30,5,FALSE)+Table24[[#This Row],[Total_GWP]]</f>
        <v>298.83750000000015</v>
      </c>
      <c r="Y176" s="123">
        <f>Table24[[#This Row],[Total_GWP]]*Table24[[#This Row],[DENSITY]]/1000</f>
        <v>139.69800000000006</v>
      </c>
      <c r="Z176" s="149">
        <f>(-680+6.04+37.1)/Table24[[#This Row],[DENSITY]]*1000</f>
        <v>-1326.7916666666665</v>
      </c>
      <c r="AA176" s="81">
        <f>(0.558+776)/Table24[[#This Row],[DENSITY]]*1000</f>
        <v>1617.8291666666667</v>
      </c>
      <c r="AB176" s="87">
        <f>SUM(Table24[[#This Row],[A1toA3_GWP-biogenic]:[C1toC4_GWP-biogenic]])</f>
        <v>0</v>
      </c>
      <c r="AC176" s="87">
        <f>Table24[[#This Row],[GWP-biogenic]]*Table24[[#This Row],[DENSITY]]/1000</f>
        <v>0</v>
      </c>
      <c r="AD176" s="83" t="s">
        <v>416</v>
      </c>
      <c r="AE176" s="81" t="s">
        <v>416</v>
      </c>
      <c r="AF176" s="92">
        <f ca="1">IF(OR($E176="Ecoinvent",$E176="Betonsortenrechner",$E176="KBOB",$V176&lt;=0,Table24[[#This Row],[VALID_TO]]&lt;=TODAY()),0,1)</f>
        <v>1</v>
      </c>
      <c r="AG176" s="92">
        <v>1</v>
      </c>
      <c r="AH176" s="92">
        <f ca="1">IF(AND(Table24[[#This Row],[ValidEPD]]&lt;&gt;0,Table24[[#This Row],[Man_Ausschluss]]&lt;&gt;0),1,0)</f>
        <v>1</v>
      </c>
      <c r="AI176" s="178" cm="1">
        <f t="array" aca="1" ref="AI176" ca="1">IF(Table24[[#This Row],[gültig]]&lt;&gt;0,
IF(V176=MIN(_xlfn._xlws.FILTER($V$2:$V$282,($P$2:$P$282=P176))),1,
IF(V176=MAX(_xlfn._xlws.FILTER($V$2:$V$282,($P$2:$P$282=P176))),1,0)),0)</f>
        <v>1</v>
      </c>
      <c r="AJ176" s="180"/>
      <c r="AK176" s="2" t="s">
        <v>424</v>
      </c>
      <c r="AL176" s="2"/>
    </row>
    <row r="177" spans="1:38" x14ac:dyDescent="0.45">
      <c r="A177" s="199" t="s">
        <v>271</v>
      </c>
      <c r="B177" s="200" t="s">
        <v>519</v>
      </c>
      <c r="C177" s="115">
        <v>178</v>
      </c>
      <c r="D177" s="200" t="s">
        <v>272</v>
      </c>
      <c r="E177" s="202" t="s">
        <v>273</v>
      </c>
      <c r="F177" s="202"/>
      <c r="G177" s="203">
        <v>44830</v>
      </c>
      <c r="H177" s="203">
        <v>46655</v>
      </c>
      <c r="I177" s="96" t="s">
        <v>266</v>
      </c>
      <c r="J177" s="204" t="s">
        <v>266</v>
      </c>
      <c r="K177" s="205" t="s">
        <v>99</v>
      </c>
      <c r="L177" s="281" t="s">
        <v>328</v>
      </c>
      <c r="M177" s="201" t="s">
        <v>315</v>
      </c>
      <c r="N177" s="207" t="s">
        <v>321</v>
      </c>
      <c r="O177" s="208" t="s">
        <v>416</v>
      </c>
      <c r="P177" s="96" t="s">
        <v>529</v>
      </c>
      <c r="Q177" s="96">
        <v>480</v>
      </c>
      <c r="R177" s="202" t="s">
        <v>416</v>
      </c>
      <c r="S177" s="202" t="s">
        <v>416</v>
      </c>
      <c r="T177" s="202" t="s">
        <v>416</v>
      </c>
      <c r="U177" s="209" t="s">
        <v>416</v>
      </c>
      <c r="V177" s="123">
        <f>SUM(Table24[[#This Row],[A1toA3_GWP]:[C1toC4_GWP]])</f>
        <v>291.03750000000014</v>
      </c>
      <c r="W177" s="123">
        <f>VLOOKUP(Table24[[#This Row],[Country PRODUCTION]],[1]Sheet1!$B$11:$F$30,4,FALSE)+Table24[[#This Row],[Total_GWP]]</f>
        <v>367.08750000000015</v>
      </c>
      <c r="X177" s="123">
        <f>VLOOKUP(Table24[[#This Row],[Country PRODUCTION]],[1]Sheet1!$B$11:$F$30,5,FALSE)+Table24[[#This Row],[Total_GWP]]</f>
        <v>298.83750000000015</v>
      </c>
      <c r="Y177" s="123">
        <f>Table24[[#This Row],[Total_GWP]]*Table24[[#This Row],[DENSITY]]/1000</f>
        <v>139.69800000000006</v>
      </c>
      <c r="Z177" s="149">
        <f>(-680+6.04+37.1)/Table24[[#This Row],[DENSITY]]*1000</f>
        <v>-1326.7916666666665</v>
      </c>
      <c r="AA177" s="81">
        <f>(0.558+776)/Table24[[#This Row],[DENSITY]]*1000</f>
        <v>1617.8291666666667</v>
      </c>
      <c r="AB177" s="87">
        <f>SUM(Table24[[#This Row],[A1toA3_GWP-biogenic]:[C1toC4_GWP-biogenic]])</f>
        <v>0</v>
      </c>
      <c r="AC177" s="87">
        <f>Table24[[#This Row],[GWP-biogenic]]*Table24[[#This Row],[DENSITY]]/1000</f>
        <v>0</v>
      </c>
      <c r="AD177" s="83" t="s">
        <v>416</v>
      </c>
      <c r="AE177" s="81" t="s">
        <v>416</v>
      </c>
      <c r="AF177" s="92">
        <f ca="1">IF(OR($E177="Ecoinvent",$E177="Betonsortenrechner",$E177="KBOB",$V177&lt;=0,Table24[[#This Row],[VALID_TO]]&lt;=TODAY()),0,1)</f>
        <v>1</v>
      </c>
      <c r="AG177" s="92">
        <v>1</v>
      </c>
      <c r="AH177" s="92">
        <f ca="1">IF(AND(Table24[[#This Row],[ValidEPD]]&lt;&gt;0,Table24[[#This Row],[Man_Ausschluss]]&lt;&gt;0),1,0)</f>
        <v>1</v>
      </c>
      <c r="AI177" s="178" cm="1">
        <f t="array" aca="1" ref="AI177" ca="1">IF(Table24[[#This Row],[gültig]]&lt;&gt;0,
IF(V177=MIN(_xlfn._xlws.FILTER($V$2:$V$282,($P$2:$P$282=P177))),1,
IF(V177=MAX(_xlfn._xlws.FILTER($V$2:$V$282,($P$2:$P$282=P177))),1,0)),0)</f>
        <v>1</v>
      </c>
      <c r="AJ177" s="180"/>
      <c r="AK177" s="2" t="s">
        <v>424</v>
      </c>
      <c r="AL177" s="2"/>
    </row>
    <row r="178" spans="1:38" x14ac:dyDescent="0.45">
      <c r="A178" s="199" t="s">
        <v>275</v>
      </c>
      <c r="B178" s="200"/>
      <c r="C178" s="111">
        <v>179</v>
      </c>
      <c r="D178" s="200" t="s">
        <v>274</v>
      </c>
      <c r="E178" s="202" t="s">
        <v>276</v>
      </c>
      <c r="F178" s="202"/>
      <c r="G178" s="203">
        <v>44746</v>
      </c>
      <c r="H178" s="203">
        <v>46572</v>
      </c>
      <c r="I178" s="96" t="s">
        <v>277</v>
      </c>
      <c r="J178" s="204" t="s">
        <v>277</v>
      </c>
      <c r="K178" s="205" t="s">
        <v>99</v>
      </c>
      <c r="L178" s="281" t="s">
        <v>328</v>
      </c>
      <c r="M178" s="201" t="s">
        <v>315</v>
      </c>
      <c r="N178" s="207" t="s">
        <v>321</v>
      </c>
      <c r="O178" s="208" t="s">
        <v>416</v>
      </c>
      <c r="P178" s="96" t="s">
        <v>1</v>
      </c>
      <c r="Q178" s="96">
        <v>430</v>
      </c>
      <c r="R178" s="202" t="s">
        <v>416</v>
      </c>
      <c r="S178" s="202" t="s">
        <v>416</v>
      </c>
      <c r="T178" s="202" t="s">
        <v>416</v>
      </c>
      <c r="U178" s="209" t="s">
        <v>416</v>
      </c>
      <c r="V178" s="123">
        <f>SUM(Table24[[#This Row],[A1toA3_GWP]:[C1toC4_GWP]])</f>
        <v>319.93023255813955</v>
      </c>
      <c r="W178" s="123">
        <f>VLOOKUP(Table24[[#This Row],[Country PRODUCTION]],[1]Sheet1!$B$11:$F$30,4,FALSE)+Table24[[#This Row],[Total_GWP]]</f>
        <v>448.6302325581396</v>
      </c>
      <c r="X178" s="123">
        <f>VLOOKUP(Table24[[#This Row],[Country PRODUCTION]],[1]Sheet1!$B$11:$F$30,5,FALSE)+Table24[[#This Row],[Total_GWP]]</f>
        <v>333.13023255813954</v>
      </c>
      <c r="Y178" s="123">
        <f>Table24[[#This Row],[Total_GWP]]*Table24[[#This Row],[DENSITY]]/1000</f>
        <v>137.57</v>
      </c>
      <c r="Z178" s="149">
        <f>(-556)/Table24[[#This Row],[DENSITY]]*1000</f>
        <v>-1293.0232558139535</v>
      </c>
      <c r="AA178" s="81">
        <f>(2.57+691)/Table24[[#This Row],[DENSITY]]*1000</f>
        <v>1612.953488372093</v>
      </c>
      <c r="AB178" s="87">
        <f>SUM(Table24[[#This Row],[A1toA3_GWP-biogenic]:[C1toC4_GWP-biogenic]])</f>
        <v>6.3255813953446705E-2</v>
      </c>
      <c r="AC178" s="87">
        <f>Table24[[#This Row],[GWP-biogenic]]*Table24[[#This Row],[DENSITY]]/1000</f>
        <v>2.7199999999982082E-2</v>
      </c>
      <c r="AD178" s="83">
        <f>(-678)/Table24[[#This Row],[DENSITY]]*1000</f>
        <v>-1576.7441860465117</v>
      </c>
      <c r="AE178" s="81">
        <f>(2.72*10^-2+678)/Table24[[#This Row],[DENSITY]]*1000</f>
        <v>1576.8074418604651</v>
      </c>
      <c r="AF178" s="92">
        <f ca="1">IF(OR($E178="Ecoinvent",$E178="Betonsortenrechner",$E178="KBOB",$V178&lt;=0,Table24[[#This Row],[VALID_TO]]&lt;=TODAY()),0,1)</f>
        <v>1</v>
      </c>
      <c r="AG178" s="92">
        <v>1</v>
      </c>
      <c r="AH178" s="92">
        <f ca="1">IF(AND(Table24[[#This Row],[ValidEPD]]&lt;&gt;0,Table24[[#This Row],[Man_Ausschluss]]&lt;&gt;0),1,0)</f>
        <v>1</v>
      </c>
      <c r="AI178" s="178" cm="1">
        <f t="array" aca="1" ref="AI178" ca="1">IF(Table24[[#This Row],[gültig]]&lt;&gt;0,
IF(V178=MIN(_xlfn._xlws.FILTER($V$2:$V$282,($P$2:$P$282=P178))),1,
IF(V178=MAX(_xlfn._xlws.FILTER($V$2:$V$282,($P$2:$P$282=P178))),1,0)),0)</f>
        <v>0</v>
      </c>
      <c r="AJ178" s="180"/>
      <c r="AK178" s="2" t="s">
        <v>426</v>
      </c>
      <c r="AL178" s="2" t="s">
        <v>425</v>
      </c>
    </row>
    <row r="179" spans="1:38" x14ac:dyDescent="0.45">
      <c r="A179" s="199" t="s">
        <v>278</v>
      </c>
      <c r="B179" s="200"/>
      <c r="C179" s="115">
        <v>180</v>
      </c>
      <c r="D179" s="200" t="s">
        <v>279</v>
      </c>
      <c r="E179" s="202" t="s">
        <v>280</v>
      </c>
      <c r="F179" s="202"/>
      <c r="G179" s="203" t="s">
        <v>281</v>
      </c>
      <c r="H179" s="203">
        <v>46659</v>
      </c>
      <c r="I179" s="96" t="s">
        <v>240</v>
      </c>
      <c r="J179" s="204" t="s">
        <v>240</v>
      </c>
      <c r="K179" s="205" t="s">
        <v>99</v>
      </c>
      <c r="L179" s="281" t="s">
        <v>328</v>
      </c>
      <c r="M179" s="201" t="s">
        <v>315</v>
      </c>
      <c r="N179" s="207" t="s">
        <v>321</v>
      </c>
      <c r="O179" s="208" t="s">
        <v>416</v>
      </c>
      <c r="P179" s="96" t="s">
        <v>1</v>
      </c>
      <c r="Q179" s="96">
        <v>462</v>
      </c>
      <c r="R179" s="202" t="s">
        <v>416</v>
      </c>
      <c r="S179" s="202" t="s">
        <v>416</v>
      </c>
      <c r="T179" s="202" t="s">
        <v>416</v>
      </c>
      <c r="U179" s="209" t="s">
        <v>416</v>
      </c>
      <c r="V179" s="123">
        <f>SUM(Table24[[#This Row],[A1toA3_GWP]:[C1toC4_GWP]])</f>
        <v>169.16883116883105</v>
      </c>
      <c r="W179" s="123">
        <f>VLOOKUP(Table24[[#This Row],[Country PRODUCTION]],[1]Sheet1!$B$11:$F$30,4,FALSE)+Table24[[#This Row],[Total_GWP]]</f>
        <v>438.26883116883107</v>
      </c>
      <c r="X179" s="123">
        <f>VLOOKUP(Table24[[#This Row],[Country PRODUCTION]],[1]Sheet1!$B$11:$F$30,5,FALSE)+Table24[[#This Row],[Total_GWP]]</f>
        <v>196.76883116883104</v>
      </c>
      <c r="Y179" s="123">
        <f>Table24[[#This Row],[Total_GWP]]*Table24[[#This Row],[DENSITY]]/1000</f>
        <v>78.155999999999935</v>
      </c>
      <c r="Z179" s="149">
        <f>(-674)/Table24[[#This Row],[DENSITY]]*1000</f>
        <v>-1458.8744588744589</v>
      </c>
      <c r="AA179" s="81">
        <f>(0.116+1.04+751)/Table24[[#This Row],[DENSITY]]*1000</f>
        <v>1628.04329004329</v>
      </c>
      <c r="AB179" s="87">
        <f>SUM(Table24[[#This Row],[A1toA3_GWP-biogenic]:[C1toC4_GWP-biogenic]])</f>
        <v>15.159218614718611</v>
      </c>
      <c r="AC179" s="87">
        <f>Table24[[#This Row],[GWP-biogenic]]*Table24[[#This Row],[DENSITY]]/1000</f>
        <v>7.0035589999999983</v>
      </c>
      <c r="AD179" s="83">
        <f>(-744)/Table24[[#This Row],[DENSITY]]*1000</f>
        <v>-1610.3896103896104</v>
      </c>
      <c r="AE179" s="81">
        <f>(3.59*10^-4+3.2*10^-3+751)/Table24[[#This Row],[DENSITY]]*1000</f>
        <v>1625.548829004329</v>
      </c>
      <c r="AF179" s="92">
        <f ca="1">IF(OR($E179="Ecoinvent",$E179="Betonsortenrechner",$E179="KBOB",$V179&lt;=0,Table24[[#This Row],[VALID_TO]]&lt;=TODAY()),0,1)</f>
        <v>1</v>
      </c>
      <c r="AG179" s="92">
        <v>1</v>
      </c>
      <c r="AH179" s="92">
        <f ca="1">IF(AND(Table24[[#This Row],[ValidEPD]]&lt;&gt;0,Table24[[#This Row],[Man_Ausschluss]]&lt;&gt;0),1,0)</f>
        <v>1</v>
      </c>
      <c r="AI179" s="178" cm="1">
        <f t="array" aca="1" ref="AI179" ca="1">IF(Table24[[#This Row],[gültig]]&lt;&gt;0,
IF(V179=MIN(_xlfn._xlws.FILTER($V$2:$V$282,($P$2:$P$282=P179))),1,
IF(V179=MAX(_xlfn._xlws.FILTER($V$2:$V$282,($P$2:$P$282=P179))),1,0)),0)</f>
        <v>0</v>
      </c>
      <c r="AJ179" s="180"/>
      <c r="AK179" s="2" t="s">
        <v>423</v>
      </c>
      <c r="AL179" s="2"/>
    </row>
    <row r="180" spans="1:38" x14ac:dyDescent="0.45">
      <c r="A180" s="199" t="s">
        <v>282</v>
      </c>
      <c r="B180" s="200" t="s">
        <v>502</v>
      </c>
      <c r="C180" s="111">
        <v>181</v>
      </c>
      <c r="D180" s="200" t="s">
        <v>283</v>
      </c>
      <c r="E180" s="202" t="s">
        <v>284</v>
      </c>
      <c r="F180" s="202"/>
      <c r="G180" s="203">
        <v>43325</v>
      </c>
      <c r="H180" s="203">
        <v>45334</v>
      </c>
      <c r="I180" s="96" t="s">
        <v>266</v>
      </c>
      <c r="J180" s="204" t="s">
        <v>266</v>
      </c>
      <c r="K180" s="205" t="s">
        <v>99</v>
      </c>
      <c r="L180" s="281" t="s">
        <v>328</v>
      </c>
      <c r="M180" s="201" t="s">
        <v>315</v>
      </c>
      <c r="N180" s="207" t="s">
        <v>321</v>
      </c>
      <c r="O180" s="208" t="s">
        <v>416</v>
      </c>
      <c r="P180" s="96" t="s">
        <v>538</v>
      </c>
      <c r="Q180" s="96">
        <v>483</v>
      </c>
      <c r="R180" s="202" t="s">
        <v>416</v>
      </c>
      <c r="S180" s="202" t="s">
        <v>416</v>
      </c>
      <c r="T180" s="202" t="s">
        <v>416</v>
      </c>
      <c r="U180" s="209" t="s">
        <v>416</v>
      </c>
      <c r="V180" s="123">
        <f>SUM(Table24[[#This Row],[A1toA3_GWP]:[C1toC4_GWP]])</f>
        <v>264.56521739130449</v>
      </c>
      <c r="W180" s="123">
        <f>VLOOKUP(Table24[[#This Row],[Country PRODUCTION]],[1]Sheet1!$B$11:$F$30,4,FALSE)+Table24[[#This Row],[Total_GWP]]</f>
        <v>340.6152173913045</v>
      </c>
      <c r="X180" s="123">
        <f>VLOOKUP(Table24[[#This Row],[Country PRODUCTION]],[1]Sheet1!$B$11:$F$30,5,FALSE)+Table24[[#This Row],[Total_GWP]]</f>
        <v>272.3652173913045</v>
      </c>
      <c r="Y180" s="123">
        <f>Table24[[#This Row],[Total_GWP]]*Table24[[#This Row],[DENSITY]]/1000</f>
        <v>127.78500000000007</v>
      </c>
      <c r="Z180" s="149">
        <f>(-751+32.1+68.2)/Table24[[#This Row],[DENSITY]]*1000</f>
        <v>-1347.2049689440992</v>
      </c>
      <c r="AA180" s="81">
        <f>(0.485+778)/Table24[[#This Row],[DENSITY]]*1000</f>
        <v>1611.7701863354037</v>
      </c>
      <c r="AB180" s="87">
        <f>SUM(Table24[[#This Row],[A1toA3_GWP-biogenic]:[C1toC4_GWP-biogenic]])</f>
        <v>0</v>
      </c>
      <c r="AC180" s="87">
        <f>Table24[[#This Row],[GWP-biogenic]]*Table24[[#This Row],[DENSITY]]/1000</f>
        <v>0</v>
      </c>
      <c r="AD180" s="83" t="s">
        <v>416</v>
      </c>
      <c r="AE180" s="81" t="s">
        <v>416</v>
      </c>
      <c r="AF180" s="92">
        <f ca="1">IF(OR($E180="Ecoinvent",$E180="Betonsortenrechner",$E180="KBOB",$V180&lt;=0,Table24[[#This Row],[VALID_TO]]&lt;=TODAY()),0,1)</f>
        <v>0</v>
      </c>
      <c r="AG180" s="92">
        <v>1</v>
      </c>
      <c r="AH180" s="92">
        <f ca="1">IF(AND(Table24[[#This Row],[ValidEPD]]&lt;&gt;0,Table24[[#This Row],[Man_Ausschluss]]&lt;&gt;0),1,0)</f>
        <v>0</v>
      </c>
      <c r="AI180" s="178" cm="1">
        <f t="array" aca="1" ref="AI180" ca="1">IF(Table24[[#This Row],[gültig]]&lt;&gt;0,
IF(V180=MIN(_xlfn._xlws.FILTER($V$2:$V$282,($P$2:$P$282=P180))),1,
IF(V180=MAX(_xlfn._xlws.FILTER($V$2:$V$282,($P$2:$P$282=P180))),1,0)),0)</f>
        <v>0</v>
      </c>
      <c r="AJ180" s="180"/>
      <c r="AK180" s="2"/>
      <c r="AL180" s="2"/>
    </row>
    <row r="181" spans="1:38" x14ac:dyDescent="0.45">
      <c r="A181" s="199" t="s">
        <v>282</v>
      </c>
      <c r="B181" s="200" t="s">
        <v>518</v>
      </c>
      <c r="C181" s="115">
        <v>182</v>
      </c>
      <c r="D181" s="200" t="s">
        <v>283</v>
      </c>
      <c r="E181" s="202" t="s">
        <v>284</v>
      </c>
      <c r="F181" s="202"/>
      <c r="G181" s="203">
        <v>43325</v>
      </c>
      <c r="H181" s="203">
        <v>45334</v>
      </c>
      <c r="I181" s="96" t="s">
        <v>266</v>
      </c>
      <c r="J181" s="204" t="s">
        <v>266</v>
      </c>
      <c r="K181" s="205" t="s">
        <v>99</v>
      </c>
      <c r="L181" s="281" t="s">
        <v>328</v>
      </c>
      <c r="M181" s="201" t="s">
        <v>315</v>
      </c>
      <c r="N181" s="207" t="s">
        <v>321</v>
      </c>
      <c r="O181" s="208" t="s">
        <v>416</v>
      </c>
      <c r="P181" s="96" t="s">
        <v>522</v>
      </c>
      <c r="Q181" s="96">
        <v>483</v>
      </c>
      <c r="R181" s="202" t="s">
        <v>416</v>
      </c>
      <c r="S181" s="202" t="s">
        <v>416</v>
      </c>
      <c r="T181" s="202" t="s">
        <v>416</v>
      </c>
      <c r="U181" s="209" t="s">
        <v>416</v>
      </c>
      <c r="V181" s="123">
        <f>SUM(Table24[[#This Row],[A1toA3_GWP]:[C1toC4_GWP]])</f>
        <v>264.56521739130449</v>
      </c>
      <c r="W181" s="123">
        <f>VLOOKUP(Table24[[#This Row],[Country PRODUCTION]],[1]Sheet1!$B$11:$F$30,4,FALSE)+Table24[[#This Row],[Total_GWP]]</f>
        <v>340.6152173913045</v>
      </c>
      <c r="X181" s="123">
        <f>VLOOKUP(Table24[[#This Row],[Country PRODUCTION]],[1]Sheet1!$B$11:$F$30,5,FALSE)+Table24[[#This Row],[Total_GWP]]</f>
        <v>272.3652173913045</v>
      </c>
      <c r="Y181" s="123">
        <f>Table24[[#This Row],[Total_GWP]]*Table24[[#This Row],[DENSITY]]/1000</f>
        <v>127.78500000000007</v>
      </c>
      <c r="Z181" s="149">
        <f>(-751+32.1+68.2)/Table24[[#This Row],[DENSITY]]*1000</f>
        <v>-1347.2049689440992</v>
      </c>
      <c r="AA181" s="81">
        <f>(0.485+778)/Table24[[#This Row],[DENSITY]]*1000</f>
        <v>1611.7701863354037</v>
      </c>
      <c r="AB181" s="87">
        <f>SUM(Table24[[#This Row],[A1toA3_GWP-biogenic]:[C1toC4_GWP-biogenic]])</f>
        <v>0</v>
      </c>
      <c r="AC181" s="87">
        <f>Table24[[#This Row],[GWP-biogenic]]*Table24[[#This Row],[DENSITY]]/1000</f>
        <v>0</v>
      </c>
      <c r="AD181" s="83" t="s">
        <v>416</v>
      </c>
      <c r="AE181" s="81" t="s">
        <v>416</v>
      </c>
      <c r="AF181" s="92">
        <f ca="1">IF(OR($E181="Ecoinvent",$E181="Betonsortenrechner",$E181="KBOB",$V181&lt;=0,Table24[[#This Row],[VALID_TO]]&lt;=TODAY()),0,1)</f>
        <v>0</v>
      </c>
      <c r="AG181" s="92">
        <v>1</v>
      </c>
      <c r="AH181" s="92">
        <f ca="1">IF(AND(Table24[[#This Row],[ValidEPD]]&lt;&gt;0,Table24[[#This Row],[Man_Ausschluss]]&lt;&gt;0),1,0)</f>
        <v>0</v>
      </c>
      <c r="AI181" s="178" cm="1">
        <f t="array" aca="1" ref="AI181" ca="1">IF(Table24[[#This Row],[gültig]]&lt;&gt;0,
IF(V181=MIN(_xlfn._xlws.FILTER($V$2:$V$282,($P$2:$P$282=P181))),1,
IF(V181=MAX(_xlfn._xlws.FILTER($V$2:$V$282,($P$2:$P$282=P181))),1,0)),0)</f>
        <v>0</v>
      </c>
      <c r="AJ181" s="180"/>
      <c r="AK181" s="2"/>
      <c r="AL181" s="2"/>
    </row>
    <row r="182" spans="1:38" x14ac:dyDescent="0.45">
      <c r="A182" s="199" t="s">
        <v>282</v>
      </c>
      <c r="B182" s="200" t="s">
        <v>519</v>
      </c>
      <c r="C182" s="111">
        <v>183</v>
      </c>
      <c r="D182" s="200" t="s">
        <v>283</v>
      </c>
      <c r="E182" s="202" t="s">
        <v>284</v>
      </c>
      <c r="F182" s="202"/>
      <c r="G182" s="203">
        <v>43325</v>
      </c>
      <c r="H182" s="203">
        <v>45334</v>
      </c>
      <c r="I182" s="96" t="s">
        <v>266</v>
      </c>
      <c r="J182" s="204" t="s">
        <v>266</v>
      </c>
      <c r="K182" s="205" t="s">
        <v>99</v>
      </c>
      <c r="L182" s="281" t="s">
        <v>328</v>
      </c>
      <c r="M182" s="201" t="s">
        <v>315</v>
      </c>
      <c r="N182" s="207" t="s">
        <v>321</v>
      </c>
      <c r="O182" s="208" t="s">
        <v>416</v>
      </c>
      <c r="P182" s="96" t="s">
        <v>539</v>
      </c>
      <c r="Q182" s="96">
        <v>483</v>
      </c>
      <c r="R182" s="202" t="s">
        <v>416</v>
      </c>
      <c r="S182" s="202" t="s">
        <v>416</v>
      </c>
      <c r="T182" s="202" t="s">
        <v>416</v>
      </c>
      <c r="U182" s="209" t="s">
        <v>416</v>
      </c>
      <c r="V182" s="123">
        <f>SUM(Table24[[#This Row],[A1toA3_GWP]:[C1toC4_GWP]])</f>
        <v>264.56521739130449</v>
      </c>
      <c r="W182" s="123">
        <f>VLOOKUP(Table24[[#This Row],[Country PRODUCTION]],[1]Sheet1!$B$11:$F$30,4,FALSE)+Table24[[#This Row],[Total_GWP]]</f>
        <v>340.6152173913045</v>
      </c>
      <c r="X182" s="123">
        <f>VLOOKUP(Table24[[#This Row],[Country PRODUCTION]],[1]Sheet1!$B$11:$F$30,5,FALSE)+Table24[[#This Row],[Total_GWP]]</f>
        <v>272.3652173913045</v>
      </c>
      <c r="Y182" s="123">
        <f>Table24[[#This Row],[Total_GWP]]*Table24[[#This Row],[DENSITY]]/1000</f>
        <v>127.78500000000007</v>
      </c>
      <c r="Z182" s="149">
        <f>(-751+32.1+68.2)/Table24[[#This Row],[DENSITY]]*1000</f>
        <v>-1347.2049689440992</v>
      </c>
      <c r="AA182" s="81">
        <f>(0.485+778)/Table24[[#This Row],[DENSITY]]*1000</f>
        <v>1611.7701863354037</v>
      </c>
      <c r="AB182" s="87">
        <f>SUM(Table24[[#This Row],[A1toA3_GWP-biogenic]:[C1toC4_GWP-biogenic]])</f>
        <v>0</v>
      </c>
      <c r="AC182" s="87">
        <f>Table24[[#This Row],[GWP-biogenic]]*Table24[[#This Row],[DENSITY]]/1000</f>
        <v>0</v>
      </c>
      <c r="AD182" s="83" t="s">
        <v>416</v>
      </c>
      <c r="AE182" s="81" t="s">
        <v>416</v>
      </c>
      <c r="AF182" s="92">
        <f ca="1">IF(OR($E182="Ecoinvent",$E182="Betonsortenrechner",$E182="KBOB",$V182&lt;=0,Table24[[#This Row],[VALID_TO]]&lt;=TODAY()),0,1)</f>
        <v>0</v>
      </c>
      <c r="AG182" s="92">
        <v>1</v>
      </c>
      <c r="AH182" s="92">
        <f ca="1">IF(AND(Table24[[#This Row],[ValidEPD]]&lt;&gt;0,Table24[[#This Row],[Man_Ausschluss]]&lt;&gt;0),1,0)</f>
        <v>0</v>
      </c>
      <c r="AI182" s="178" cm="1">
        <f t="array" aca="1" ref="AI182" ca="1">IF(Table24[[#This Row],[gültig]]&lt;&gt;0,
IF(V182=MIN(_xlfn._xlws.FILTER($V$2:$V$282,($P$2:$P$282=P182))),1,
IF(V182=MAX(_xlfn._xlws.FILTER($V$2:$V$282,($P$2:$P$282=P182))),1,0)),0)</f>
        <v>0</v>
      </c>
      <c r="AJ182" s="180"/>
      <c r="AK182" s="2"/>
      <c r="AL182" s="2"/>
    </row>
    <row r="183" spans="1:38" x14ac:dyDescent="0.45">
      <c r="A183" s="199" t="s">
        <v>286</v>
      </c>
      <c r="B183" s="200"/>
      <c r="C183" s="115">
        <v>184</v>
      </c>
      <c r="D183" s="200" t="s">
        <v>285</v>
      </c>
      <c r="E183" s="202" t="s">
        <v>287</v>
      </c>
      <c r="F183" s="202"/>
      <c r="G183" s="203">
        <v>44475</v>
      </c>
      <c r="H183" s="203">
        <v>6.1020260000000004</v>
      </c>
      <c r="I183" s="96" t="s">
        <v>289</v>
      </c>
      <c r="J183" s="204" t="s">
        <v>289</v>
      </c>
      <c r="K183" s="205" t="s">
        <v>99</v>
      </c>
      <c r="L183" s="281" t="s">
        <v>328</v>
      </c>
      <c r="M183" s="201" t="s">
        <v>315</v>
      </c>
      <c r="N183" s="207" t="s">
        <v>321</v>
      </c>
      <c r="O183" s="208" t="s">
        <v>416</v>
      </c>
      <c r="P183" s="96" t="s">
        <v>1</v>
      </c>
      <c r="Q183" s="96">
        <v>440</v>
      </c>
      <c r="R183" s="202" t="s">
        <v>416</v>
      </c>
      <c r="S183" s="202" t="s">
        <v>416</v>
      </c>
      <c r="T183" s="202" t="s">
        <v>416</v>
      </c>
      <c r="U183" s="209" t="s">
        <v>416</v>
      </c>
      <c r="V183" s="123">
        <f>SUM(Table24[[#This Row],[A1toA3_GWP]:[C1toC4_GWP]])</f>
        <v>765.45454545454561</v>
      </c>
      <c r="W183" s="123">
        <f>VLOOKUP(Table24[[#This Row],[Country PRODUCTION]],[1]Sheet1!$B$11:$F$30,4,FALSE)+Table24[[#This Row],[Total_GWP]]</f>
        <v>981.90454545454566</v>
      </c>
      <c r="X183" s="123">
        <f>VLOOKUP(Table24[[#This Row],[Country PRODUCTION]],[1]Sheet1!$B$11:$F$30,5,FALSE)+Table24[[#This Row],[Total_GWP]]</f>
        <v>787.65454545454566</v>
      </c>
      <c r="Y183" s="123">
        <f>Table24[[#This Row],[Total_GWP]]*Table24[[#This Row],[DENSITY]]/1000</f>
        <v>336.80000000000007</v>
      </c>
      <c r="Z183" s="149">
        <f>(-371)/Table24[[#This Row],[DENSITY]]*1000</f>
        <v>-843.18181818181813</v>
      </c>
      <c r="AA183" s="81">
        <f>(28.8+679)/Table24[[#This Row],[DENSITY]]*1000</f>
        <v>1608.6363636363637</v>
      </c>
      <c r="AB183" s="87">
        <f>SUM(Table24[[#This Row],[A1toA3_GWP-biogenic]:[C1toC4_GWP-biogenic]])</f>
        <v>0</v>
      </c>
      <c r="AC183" s="87">
        <f>Table24[[#This Row],[GWP-biogenic]]*Table24[[#This Row],[DENSITY]]/1000</f>
        <v>0</v>
      </c>
      <c r="AD183" s="83">
        <f>(-667)/Table24[[#This Row],[DENSITY]]*1000</f>
        <v>-1515.9090909090908</v>
      </c>
      <c r="AE183" s="83">
        <f>(667)/Table24[[#This Row],[DENSITY]]*1000</f>
        <v>1515.9090909090908</v>
      </c>
      <c r="AF183" s="92">
        <f ca="1">IF(OR($E183="Ecoinvent",$E183="Betonsortenrechner",$E183="KBOB",$V183&lt;=0,Table24[[#This Row],[VALID_TO]]&lt;=TODAY()),0,1)</f>
        <v>0</v>
      </c>
      <c r="AG183" s="92">
        <v>1</v>
      </c>
      <c r="AH183" s="92">
        <f ca="1">IF(AND(Table24[[#This Row],[ValidEPD]]&lt;&gt;0,Table24[[#This Row],[Man_Ausschluss]]&lt;&gt;0),1,0)</f>
        <v>0</v>
      </c>
      <c r="AI183" s="178" cm="1">
        <f t="array" aca="1" ref="AI183" ca="1">IF(Table24[[#This Row],[gültig]]&lt;&gt;0,
IF(V183=MIN(_xlfn._xlws.FILTER($V$2:$V$282,($P$2:$P$282=P183))),1,
IF(V183=MAX(_xlfn._xlws.FILTER($V$2:$V$282,($P$2:$P$282=P183))),1,0)),0)</f>
        <v>0</v>
      </c>
      <c r="AJ183" s="180"/>
      <c r="AK183" s="2"/>
      <c r="AL183" s="2"/>
    </row>
    <row r="184" spans="1:38" x14ac:dyDescent="0.45">
      <c r="A184" s="199" t="s">
        <v>292</v>
      </c>
      <c r="B184" s="200"/>
      <c r="C184" s="111">
        <v>185</v>
      </c>
      <c r="D184" s="200" t="s">
        <v>290</v>
      </c>
      <c r="E184" s="202" t="s">
        <v>291</v>
      </c>
      <c r="F184" s="202"/>
      <c r="G184" s="203">
        <v>44293</v>
      </c>
      <c r="H184" s="203">
        <v>46119</v>
      </c>
      <c r="I184" s="96" t="s">
        <v>288</v>
      </c>
      <c r="J184" s="204" t="s">
        <v>288</v>
      </c>
      <c r="K184" s="205" t="s">
        <v>99</v>
      </c>
      <c r="L184" s="281" t="s">
        <v>328</v>
      </c>
      <c r="M184" s="201" t="s">
        <v>315</v>
      </c>
      <c r="N184" s="207" t="s">
        <v>321</v>
      </c>
      <c r="O184" s="208" t="s">
        <v>416</v>
      </c>
      <c r="P184" s="96" t="s">
        <v>1</v>
      </c>
      <c r="Q184" s="96">
        <v>467</v>
      </c>
      <c r="R184" s="202" t="s">
        <v>416</v>
      </c>
      <c r="S184" s="202" t="s">
        <v>416</v>
      </c>
      <c r="T184" s="202" t="s">
        <v>416</v>
      </c>
      <c r="U184" s="209" t="s">
        <v>416</v>
      </c>
      <c r="V184" s="92">
        <f>SUM(Table24[[#This Row],[A1toA3_GWP]:[C1toC4_GWP]])</f>
        <v>-220.42826552462543</v>
      </c>
      <c r="W184" s="92">
        <f>VLOOKUP(Table24[[#This Row],[Country PRODUCTION]],[1]Sheet1!$B$11:$F$30,4,FALSE)+Table24[[#This Row],[Total_GWP]]</f>
        <v>7.7217344753745749</v>
      </c>
      <c r="X184" s="92">
        <f>VLOOKUP(Table24[[#This Row],[Country PRODUCTION]],[1]Sheet1!$B$11:$F$30,5,FALSE)+Table24[[#This Row],[Total_GWP]]</f>
        <v>-197.02826552462543</v>
      </c>
      <c r="Y184" s="92">
        <f>Table24[[#This Row],[Total_GWP]]*Table24[[#This Row],[DENSITY]]/1000</f>
        <v>-102.94000000000007</v>
      </c>
      <c r="Z184" s="99">
        <f>(-814)/Table24[[#This Row],[DENSITY]]*1000</f>
        <v>-1743.0406852248395</v>
      </c>
      <c r="AA184" s="100">
        <f>(1.57+6.49+703)/Table24[[#This Row],[DENSITY]]*1000</f>
        <v>1522.6124197002141</v>
      </c>
      <c r="AB184" s="87">
        <f>SUM(Table24[[#This Row],[A1toA3_GWP-biogenic]:[C1toC4_GWP-biogenic]])</f>
        <v>-503.63961713062122</v>
      </c>
      <c r="AC184" s="87">
        <f>Table24[[#This Row],[GWP-biogenic]]*Table24[[#This Row],[DENSITY]]/1000</f>
        <v>-235.19970120000011</v>
      </c>
      <c r="AD184" s="87">
        <f>(-932.2)/Table24[[#This Row],[DENSITY]]*1000</f>
        <v>-1996.1456102783727</v>
      </c>
      <c r="AE184" s="87">
        <f>(1.15*10^-4+1.838*10^-4+697)/Table24[[#This Row],[DENSITY]]*1000</f>
        <v>1492.5059931477515</v>
      </c>
      <c r="AF184" s="92">
        <f ca="1">IF(OR($E184="Ecoinvent",$E184="Betonsortenrechner",$E184="KBOB",$V184&lt;=0,Table24[[#This Row],[VALID_TO]]&lt;=TODAY()),0,1)</f>
        <v>0</v>
      </c>
      <c r="AG184" s="92">
        <v>1</v>
      </c>
      <c r="AH184" s="92">
        <f ca="1">IF(AND(Table24[[#This Row],[ValidEPD]]&lt;&gt;0,Table24[[#This Row],[Man_Ausschluss]]&lt;&gt;0),1,0)</f>
        <v>0</v>
      </c>
      <c r="AI184" s="178" cm="1">
        <f t="array" aca="1" ref="AI184" ca="1">IF(Table24[[#This Row],[gültig]]&lt;&gt;0,
IF(V184=MIN(_xlfn._xlws.FILTER($V$2:$V$282,($P$2:$P$282=P184))),1,
IF(V184=MAX(_xlfn._xlws.FILTER($V$2:$V$282,($P$2:$P$282=P184))),1,0)),0)</f>
        <v>0</v>
      </c>
      <c r="AJ184" s="180"/>
      <c r="AK184" s="2" t="s">
        <v>427</v>
      </c>
      <c r="AL184" s="2"/>
    </row>
    <row r="185" spans="1:38" x14ac:dyDescent="0.45">
      <c r="A185" s="199" t="s">
        <v>298</v>
      </c>
      <c r="B185" s="200"/>
      <c r="C185" s="115">
        <v>186</v>
      </c>
      <c r="D185" s="200" t="s">
        <v>297</v>
      </c>
      <c r="E185" s="202" t="s">
        <v>299</v>
      </c>
      <c r="F185" s="202"/>
      <c r="G185" s="203">
        <v>44218</v>
      </c>
      <c r="H185" s="203">
        <v>46044</v>
      </c>
      <c r="I185" s="96" t="s">
        <v>240</v>
      </c>
      <c r="J185" s="204" t="s">
        <v>240</v>
      </c>
      <c r="K185" s="205" t="s">
        <v>109</v>
      </c>
      <c r="L185" s="281" t="s">
        <v>329</v>
      </c>
      <c r="M185" s="201" t="s">
        <v>315</v>
      </c>
      <c r="N185" s="207" t="s">
        <v>322</v>
      </c>
      <c r="O185" s="208" t="s">
        <v>416</v>
      </c>
      <c r="P185" s="283" t="s">
        <v>114</v>
      </c>
      <c r="Q185" s="96">
        <v>489</v>
      </c>
      <c r="R185" s="202" t="s">
        <v>416</v>
      </c>
      <c r="S185" s="202" t="s">
        <v>416</v>
      </c>
      <c r="T185" s="202" t="s">
        <v>416</v>
      </c>
      <c r="U185" s="209" t="s">
        <v>416</v>
      </c>
      <c r="V185" s="123">
        <f>SUM(Table24[[#This Row],[A1toA3_GWP]:[C1toC4_GWP]])</f>
        <v>75.664621676891556</v>
      </c>
      <c r="W185" s="123">
        <f>VLOOKUP(Table24[[#This Row],[Country PRODUCTION]],[1]Sheet1!$B$11:$F$30,4,FALSE)+Table24[[#This Row],[Total_GWP]]</f>
        <v>344.76462167689158</v>
      </c>
      <c r="X185" s="123">
        <f>VLOOKUP(Table24[[#This Row],[Country PRODUCTION]],[1]Sheet1!$B$11:$F$30,5,FALSE)+Table24[[#This Row],[Total_GWP]]</f>
        <v>103.26462167689155</v>
      </c>
      <c r="Y185" s="123">
        <f>Table24[[#This Row],[Total_GWP]]*Table24[[#This Row],[DENSITY]]/1000</f>
        <v>36.999999999999972</v>
      </c>
      <c r="Z185" s="149">
        <f>(-744)/Table24[[#This Row],[DENSITY]]*1000</f>
        <v>-1521.4723926380368</v>
      </c>
      <c r="AA185" s="81">
        <f>(781)/Table24[[#This Row],[DENSITY]]*1000</f>
        <v>1597.1370143149284</v>
      </c>
      <c r="AB185" s="87">
        <f>SUM(Table24[[#This Row],[A1toA3_GWP-biogenic]:[C1toC4_GWP-biogenic]])</f>
        <v>0</v>
      </c>
      <c r="AC185" s="87">
        <f>Table24[[#This Row],[GWP-biogenic]]*Table24[[#This Row],[DENSITY]]/1000</f>
        <v>0</v>
      </c>
      <c r="AD185" s="83">
        <f>(-773)/Table24[[#This Row],[DENSITY]]*1000</f>
        <v>-1580.7770961145193</v>
      </c>
      <c r="AE185" s="83">
        <f>(773)/Table24[[#This Row],[DENSITY]]*1000</f>
        <v>1580.7770961145193</v>
      </c>
      <c r="AF185" s="92">
        <f ca="1">IF(OR($E185="Ecoinvent",$E185="Betonsortenrechner",$E185="KBOB",$V185&lt;=0,Table24[[#This Row],[VALID_TO]]&lt;=TODAY()),0,1)</f>
        <v>0</v>
      </c>
      <c r="AG185" s="92">
        <v>1</v>
      </c>
      <c r="AH185" s="92">
        <f ca="1">IF(AND(Table24[[#This Row],[ValidEPD]]&lt;&gt;0,Table24[[#This Row],[Man_Ausschluss]]&lt;&gt;0),1,0)</f>
        <v>0</v>
      </c>
      <c r="AI185" s="178" cm="1">
        <f t="array" aca="1" ref="AI185" ca="1">IF(Table24[[#This Row],[gültig]]&lt;&gt;0,
IF(V185=MIN(_xlfn._xlws.FILTER($V$2:$V$282,($P$2:$P$282=P185))),1,
IF(V185=MAX(_xlfn._xlws.FILTER($V$2:$V$282,($P$2:$P$282=P185))),1,0)),0)</f>
        <v>0</v>
      </c>
      <c r="AJ185" s="180"/>
      <c r="AK185" s="2" t="s">
        <v>407</v>
      </c>
      <c r="AL185" s="2"/>
    </row>
    <row r="186" spans="1:38" x14ac:dyDescent="0.45">
      <c r="A186" s="199" t="s">
        <v>302</v>
      </c>
      <c r="B186" s="200"/>
      <c r="C186" s="111">
        <v>187</v>
      </c>
      <c r="D186" s="200" t="s">
        <v>300</v>
      </c>
      <c r="E186" s="202" t="s">
        <v>280</v>
      </c>
      <c r="F186" s="202"/>
      <c r="G186" s="203">
        <v>44158</v>
      </c>
      <c r="H186" s="203">
        <v>45984</v>
      </c>
      <c r="I186" s="203" t="s">
        <v>295</v>
      </c>
      <c r="J186" s="280" t="s">
        <v>295</v>
      </c>
      <c r="K186" s="205" t="s">
        <v>109</v>
      </c>
      <c r="L186" s="281" t="s">
        <v>329</v>
      </c>
      <c r="M186" s="201" t="s">
        <v>315</v>
      </c>
      <c r="N186" s="207" t="s">
        <v>322</v>
      </c>
      <c r="O186" s="208" t="s">
        <v>416</v>
      </c>
      <c r="P186" s="96" t="s">
        <v>114</v>
      </c>
      <c r="Q186" s="96">
        <v>508</v>
      </c>
      <c r="R186" s="202" t="s">
        <v>416</v>
      </c>
      <c r="S186" s="202" t="s">
        <v>416</v>
      </c>
      <c r="T186" s="202" t="s">
        <v>416</v>
      </c>
      <c r="U186" s="209" t="s">
        <v>416</v>
      </c>
      <c r="V186" s="123">
        <f>SUM(Table24[[#This Row],[A1toA3_GWP]:[C1toC4_GWP]])</f>
        <v>140.68897637795249</v>
      </c>
      <c r="W186" s="123">
        <f>VLOOKUP(Table24[[#This Row],[Country PRODUCTION]],[1]Sheet1!$B$11:$F$30,4,FALSE)+Table24[[#This Row],[Total_GWP]]</f>
        <v>374.68897637795249</v>
      </c>
      <c r="X186" s="123">
        <f>VLOOKUP(Table24[[#This Row],[Country PRODUCTION]],[1]Sheet1!$B$11:$F$30,5,FALSE)+Table24[[#This Row],[Total_GWP]]</f>
        <v>164.68897637795249</v>
      </c>
      <c r="Y186" s="123">
        <f>Table24[[#This Row],[Total_GWP]]*Table24[[#This Row],[DENSITY]]/1000</f>
        <v>71.469999999999871</v>
      </c>
      <c r="Z186" s="149">
        <f>(-738)/Table24[[#This Row],[DENSITY]]*1000</f>
        <v>-1452.7559055118111</v>
      </c>
      <c r="AA186" s="81">
        <f>(5.43+804+0.04)/Table24[[#This Row],[DENSITY]]*1000</f>
        <v>1593.4448818897636</v>
      </c>
      <c r="AB186" s="87">
        <f>SUM(Table24[[#This Row],[A1toA3_GWP-biogenic]:[C1toC4_GWP-biogenic]])</f>
        <v>-3.9370078740157624</v>
      </c>
      <c r="AC186" s="87">
        <f>Table24[[#This Row],[GWP-biogenic]]*Table24[[#This Row],[DENSITY]]/1000</f>
        <v>-2.0000000000000071</v>
      </c>
      <c r="AD186" s="83">
        <f>(-800)/Table24[[#This Row],[DENSITY]]*1000</f>
        <v>-1574.8031496062993</v>
      </c>
      <c r="AE186" s="81">
        <f>(798)/Table24[[#This Row],[DENSITY]]*1000</f>
        <v>1570.8661417322835</v>
      </c>
      <c r="AF186" s="92">
        <f ca="1">IF(OR($E186="Ecoinvent",$E186="Betonsortenrechner",$E186="KBOB",$V186&lt;=0,Table24[[#This Row],[VALID_TO]]&lt;=TODAY()),0,1)</f>
        <v>0</v>
      </c>
      <c r="AG186" s="92">
        <v>1</v>
      </c>
      <c r="AH186" s="92">
        <f ca="1">IF(AND(Table24[[#This Row],[ValidEPD]]&lt;&gt;0,Table24[[#This Row],[Man_Ausschluss]]&lt;&gt;0),1,0)</f>
        <v>0</v>
      </c>
      <c r="AI186" s="178" cm="1">
        <f t="array" aca="1" ref="AI186" ca="1">IF(Table24[[#This Row],[gültig]]&lt;&gt;0,
IF(V186=MIN(_xlfn._xlws.FILTER($V$2:$V$282,($P$2:$P$282=P186))),1,
IF(V186=MAX(_xlfn._xlws.FILTER($V$2:$V$282,($P$2:$P$282=P186))),1,0)),0)</f>
        <v>0</v>
      </c>
      <c r="AJ186" s="180"/>
      <c r="AK186" s="2" t="s">
        <v>406</v>
      </c>
      <c r="AL186" s="2"/>
    </row>
    <row r="187" spans="1:38" x14ac:dyDescent="0.45">
      <c r="A187" s="199" t="s">
        <v>303</v>
      </c>
      <c r="B187" s="200"/>
      <c r="C187" s="115">
        <v>188</v>
      </c>
      <c r="D187" s="200" t="s">
        <v>301</v>
      </c>
      <c r="E187" s="202" t="s">
        <v>304</v>
      </c>
      <c r="F187" s="202"/>
      <c r="G187" s="203">
        <v>44849</v>
      </c>
      <c r="H187" s="203">
        <v>46674</v>
      </c>
      <c r="I187" s="203" t="s">
        <v>66</v>
      </c>
      <c r="J187" s="280" t="s">
        <v>240</v>
      </c>
      <c r="K187" s="205" t="s">
        <v>109</v>
      </c>
      <c r="L187" s="281" t="s">
        <v>329</v>
      </c>
      <c r="M187" s="201" t="s">
        <v>315</v>
      </c>
      <c r="N187" s="207" t="s">
        <v>322</v>
      </c>
      <c r="O187" s="208" t="s">
        <v>416</v>
      </c>
      <c r="P187" s="96" t="s">
        <v>114</v>
      </c>
      <c r="Q187" s="96">
        <v>480</v>
      </c>
      <c r="R187" s="202" t="s">
        <v>416</v>
      </c>
      <c r="S187" s="202" t="s">
        <v>416</v>
      </c>
      <c r="T187" s="202" t="s">
        <v>416</v>
      </c>
      <c r="U187" s="209" t="s">
        <v>416</v>
      </c>
      <c r="V187" s="123">
        <f>SUM(Table24[[#This Row],[A1toA3_GWP]:[C1toC4_GWP]])</f>
        <v>108.33333333333303</v>
      </c>
      <c r="W187" s="123">
        <f>VLOOKUP(Table24[[#This Row],[Country PRODUCTION]],[1]Sheet1!$B$11:$F$30,4,FALSE)+Table24[[#This Row],[Total_GWP]]</f>
        <v>377.43333333333305</v>
      </c>
      <c r="X187" s="123">
        <f>VLOOKUP(Table24[[#This Row],[Country PRODUCTION]],[1]Sheet1!$B$11:$F$30,5,FALSE)+Table24[[#This Row],[Total_GWP]]</f>
        <v>135.93333333333302</v>
      </c>
      <c r="Y187" s="123">
        <f>Table24[[#This Row],[Total_GWP]]*Table24[[#This Row],[DENSITY]]/1000</f>
        <v>51.999999999999858</v>
      </c>
      <c r="Z187" s="149">
        <f>(-697)/Table24[[#This Row],[DENSITY]]*1000</f>
        <v>-1452.0833333333335</v>
      </c>
      <c r="AA187" s="81">
        <f>(0.42+2.58+746)/Table24[[#This Row],[DENSITY]]*1000</f>
        <v>1560.4166666666665</v>
      </c>
      <c r="AB187" s="87">
        <f>SUM(Table24[[#This Row],[A1toA3_GWP-biogenic]:[C1toC4_GWP-biogenic]])</f>
        <v>7.3312499998792191E-3</v>
      </c>
      <c r="AC187" s="87">
        <f>Table24[[#This Row],[GWP-biogenic]]*Table24[[#This Row],[DENSITY]]/1000</f>
        <v>3.5189999999420251E-3</v>
      </c>
      <c r="AD187" s="83">
        <f>(-746)/Table24[[#This Row],[DENSITY]]*1000</f>
        <v>-1554.1666666666667</v>
      </c>
      <c r="AE187" s="85">
        <f>(2.49*10^-4+3.27*10^-3+7.46*10^2)/Table24[[#This Row],[DENSITY]]*1000</f>
        <v>1554.1739979166666</v>
      </c>
      <c r="AF187" s="92">
        <f ca="1">IF(OR($E187="Ecoinvent",$E187="Betonsortenrechner",$E187="KBOB",$V187&lt;=0,Table24[[#This Row],[VALID_TO]]&lt;=TODAY()),0,1)</f>
        <v>1</v>
      </c>
      <c r="AG187" s="92">
        <v>1</v>
      </c>
      <c r="AH187" s="92">
        <f ca="1">IF(AND(Table24[[#This Row],[ValidEPD]]&lt;&gt;0,Table24[[#This Row],[Man_Ausschluss]]&lt;&gt;0),1,0)</f>
        <v>1</v>
      </c>
      <c r="AI187" s="178" cm="1">
        <f t="array" aca="1" ref="AI187" ca="1">IF(Table24[[#This Row],[gültig]]&lt;&gt;0,
IF(V187=MIN(_xlfn._xlws.FILTER($V$2:$V$282,($P$2:$P$282=P187))),1,
IF(V187=MAX(_xlfn._xlws.FILTER($V$2:$V$282,($P$2:$P$282=P187))),1,0)),0)</f>
        <v>0</v>
      </c>
      <c r="AJ187" s="180"/>
      <c r="AK187" s="2" t="s">
        <v>409</v>
      </c>
      <c r="AL187" s="2"/>
    </row>
    <row r="188" spans="1:38" x14ac:dyDescent="0.45">
      <c r="A188" s="199" t="s">
        <v>307</v>
      </c>
      <c r="B188" s="200"/>
      <c r="C188" s="111">
        <v>189</v>
      </c>
      <c r="D188" s="200" t="s">
        <v>305</v>
      </c>
      <c r="E188" s="202" t="s">
        <v>306</v>
      </c>
      <c r="F188" s="202"/>
      <c r="G188" s="203">
        <v>44406</v>
      </c>
      <c r="H188" s="203">
        <v>46151</v>
      </c>
      <c r="I188" s="203" t="s">
        <v>242</v>
      </c>
      <c r="J188" s="280" t="s">
        <v>266</v>
      </c>
      <c r="K188" s="205" t="s">
        <v>109</v>
      </c>
      <c r="L188" s="281" t="s">
        <v>329</v>
      </c>
      <c r="M188" s="201" t="s">
        <v>315</v>
      </c>
      <c r="N188" s="207" t="s">
        <v>322</v>
      </c>
      <c r="O188" s="208" t="s">
        <v>416</v>
      </c>
      <c r="P188" s="96" t="s">
        <v>114</v>
      </c>
      <c r="Q188" s="96">
        <v>503</v>
      </c>
      <c r="R188" s="202" t="s">
        <v>416</v>
      </c>
      <c r="S188" s="202" t="s">
        <v>416</v>
      </c>
      <c r="T188" s="202" t="s">
        <v>416</v>
      </c>
      <c r="U188" s="209" t="s">
        <v>416</v>
      </c>
      <c r="V188" s="123">
        <f>SUM(Table24[[#This Row],[A1toA3_GWP]:[C1toC4_GWP]])</f>
        <v>221.63021868787291</v>
      </c>
      <c r="W188" s="123">
        <f>VLOOKUP(Table24[[#This Row],[Country PRODUCTION]],[1]Sheet1!$B$11:$F$30,4,FALSE)+Table24[[#This Row],[Total_GWP]]</f>
        <v>297.68021868787292</v>
      </c>
      <c r="X188" s="123">
        <f>VLOOKUP(Table24[[#This Row],[Country PRODUCTION]],[1]Sheet1!$B$11:$F$30,5,FALSE)+Table24[[#This Row],[Total_GWP]]</f>
        <v>229.43021868787292</v>
      </c>
      <c r="Y188" s="123">
        <f>Table24[[#This Row],[Total_GWP]]*Table24[[#This Row],[DENSITY]]/1000</f>
        <v>111.48000000000008</v>
      </c>
      <c r="Z188" s="149">
        <f>(-696)/Table24[[#This Row],[DENSITY]]*1000</f>
        <v>-1383.6978131212722</v>
      </c>
      <c r="AA188" s="81">
        <f>(1.48+806)/Table24[[#This Row],[DENSITY]]*1000</f>
        <v>1605.3280318091452</v>
      </c>
      <c r="AB188" s="87">
        <f>SUM(Table24[[#This Row],[A1toA3_GWP-biogenic]:[C1toC4_GWP-biogenic]])</f>
        <v>7.9474155069583503</v>
      </c>
      <c r="AC188" s="87">
        <f>Table24[[#This Row],[GWP-biogenic]]*Table24[[#This Row],[DENSITY]]/1000</f>
        <v>3.9975500000000501</v>
      </c>
      <c r="AD188" s="83">
        <f>(-798)/Table24[[#This Row],[DENSITY]]*1000</f>
        <v>-1586.4811133200797</v>
      </c>
      <c r="AE188" s="85">
        <f>(-2.45*10^-3+8.02*10^2)/Table24[[#This Row],[DENSITY]]*1000</f>
        <v>1594.428528827038</v>
      </c>
      <c r="AF188" s="92">
        <f ca="1">IF(OR($E188="Ecoinvent",$E188="Betonsortenrechner",$E188="KBOB",$V188&lt;=0,Table24[[#This Row],[VALID_TO]]&lt;=TODAY()),0,1)</f>
        <v>0</v>
      </c>
      <c r="AG188" s="92">
        <v>1</v>
      </c>
      <c r="AH188" s="92">
        <f ca="1">IF(AND(Table24[[#This Row],[ValidEPD]]&lt;&gt;0,Table24[[#This Row],[Man_Ausschluss]]&lt;&gt;0),1,0)</f>
        <v>0</v>
      </c>
      <c r="AI188" s="178" cm="1">
        <f t="array" aca="1" ref="AI188" ca="1">IF(Table24[[#This Row],[gültig]]&lt;&gt;0,
IF(V188=MIN(_xlfn._xlws.FILTER($V$2:$V$282,($P$2:$P$282=P188))),1,
IF(V188=MAX(_xlfn._xlws.FILTER($V$2:$V$282,($P$2:$P$282=P188))),1,0)),0)</f>
        <v>0</v>
      </c>
      <c r="AJ188" s="180"/>
      <c r="AK188" s="2" t="s">
        <v>410</v>
      </c>
      <c r="AL188" s="2"/>
    </row>
    <row r="189" spans="1:38" x14ac:dyDescent="0.45">
      <c r="A189" s="199" t="s">
        <v>309</v>
      </c>
      <c r="B189" s="200"/>
      <c r="C189" s="115">
        <v>190</v>
      </c>
      <c r="D189" s="200" t="s">
        <v>308</v>
      </c>
      <c r="E189" s="202" t="s">
        <v>238</v>
      </c>
      <c r="F189" s="202"/>
      <c r="G189" s="203">
        <v>44237</v>
      </c>
      <c r="H189" s="203">
        <v>46064</v>
      </c>
      <c r="I189" s="203" t="s">
        <v>313</v>
      </c>
      <c r="J189" s="203" t="s">
        <v>613</v>
      </c>
      <c r="K189" s="205" t="s">
        <v>109</v>
      </c>
      <c r="L189" s="281" t="s">
        <v>329</v>
      </c>
      <c r="M189" s="201" t="s">
        <v>315</v>
      </c>
      <c r="N189" s="207" t="s">
        <v>322</v>
      </c>
      <c r="O189" s="208" t="s">
        <v>416</v>
      </c>
      <c r="P189" s="96" t="s">
        <v>114</v>
      </c>
      <c r="Q189" s="96">
        <v>426</v>
      </c>
      <c r="R189" s="202" t="s">
        <v>416</v>
      </c>
      <c r="S189" s="202" t="s">
        <v>416</v>
      </c>
      <c r="T189" s="202" t="s">
        <v>416</v>
      </c>
      <c r="U189" s="209" t="s">
        <v>416</v>
      </c>
      <c r="V189" s="123">
        <f>SUM(Table24[[#This Row],[A1toA3_GWP]:[C1toC4_GWP]])</f>
        <v>136.03289107981232</v>
      </c>
      <c r="W189" s="123">
        <f>VLOOKUP("AT",[1]Sheet1!$B$11:$F$30,4,FALSE)+Table24[[#This Row],[Total_GWP]]</f>
        <v>206.2328910798123</v>
      </c>
      <c r="X189" s="123">
        <f>VLOOKUP("AT",[1]Sheet1!$B$11:$F$30,5,FALSE)+Table24[[#This Row],[Total_GWP]]</f>
        <v>143.2328910798123</v>
      </c>
      <c r="Y189" s="123">
        <f>Table24[[#This Row],[Total_GWP]]*Table24[[#This Row],[DENSITY]]/1000</f>
        <v>57.950011600000046</v>
      </c>
      <c r="Z189" s="149">
        <f>(-698)/Table24[[#This Row],[DENSITY]]*1000</f>
        <v>-1638.4976525821596</v>
      </c>
      <c r="AA189" s="81">
        <f>(1.16*10^-5+1.95+754)/Table24[[#This Row],[DENSITY]]*1000</f>
        <v>1774.5305436619719</v>
      </c>
      <c r="AB189" s="87">
        <f>SUM(Table24[[#This Row],[A1toA3_GWP-biogenic]:[C1toC4_GWP-biogenic]])</f>
        <v>1.5962489201228891E-3</v>
      </c>
      <c r="AC189" s="87">
        <f>Table24[[#This Row],[GWP-biogenic]]*Table24[[#This Row],[DENSITY]]/1000</f>
        <v>6.8000203997235071E-4</v>
      </c>
      <c r="AD189" s="83">
        <f>(-733)/Table24[[#This Row],[DENSITY]]*1000</f>
        <v>-1720.6572769953052</v>
      </c>
      <c r="AE189" s="85">
        <f>(2.04*10^-9+6.8*10^-4+7.33*10^2)/Table24[[#This Row],[DENSITY]]*1000</f>
        <v>1720.6588732442253</v>
      </c>
      <c r="AF189" s="92">
        <f ca="1">IF(OR($E189="Ecoinvent",$E189="Betonsortenrechner",$E189="KBOB",$V189&lt;=0,Table24[[#This Row],[VALID_TO]]&lt;=TODAY()),0,1)</f>
        <v>0</v>
      </c>
      <c r="AG189" s="92">
        <v>1</v>
      </c>
      <c r="AH189" s="92">
        <f ca="1">IF(AND(Table24[[#This Row],[ValidEPD]]&lt;&gt;0,Table24[[#This Row],[Man_Ausschluss]]&lt;&gt;0),1,0)</f>
        <v>0</v>
      </c>
      <c r="AI189" s="178" cm="1">
        <f t="array" aca="1" ref="AI189" ca="1">IF(Table24[[#This Row],[gültig]]&lt;&gt;0,
IF(V189=MIN(_xlfn._xlws.FILTER($V$2:$V$282,($P$2:$P$282=P189))),1,
IF(V189=MAX(_xlfn._xlws.FILTER($V$2:$V$282,($P$2:$P$282=P189))),1,0)),0)</f>
        <v>0</v>
      </c>
      <c r="AJ189" s="180"/>
      <c r="AK189" s="2" t="s">
        <v>411</v>
      </c>
      <c r="AL189" s="2" t="s">
        <v>413</v>
      </c>
    </row>
    <row r="190" spans="1:38" x14ac:dyDescent="0.45">
      <c r="A190" s="199" t="s">
        <v>310</v>
      </c>
      <c r="B190" s="200"/>
      <c r="C190" s="111">
        <v>191</v>
      </c>
      <c r="D190" s="200" t="s">
        <v>311</v>
      </c>
      <c r="E190" s="202" t="s">
        <v>312</v>
      </c>
      <c r="F190" s="202"/>
      <c r="G190" s="203">
        <v>44846</v>
      </c>
      <c r="H190" s="203">
        <v>46659</v>
      </c>
      <c r="I190" s="203" t="s">
        <v>313</v>
      </c>
      <c r="J190" s="280" t="s">
        <v>313</v>
      </c>
      <c r="K190" s="205" t="s">
        <v>109</v>
      </c>
      <c r="L190" s="281" t="s">
        <v>329</v>
      </c>
      <c r="M190" s="201" t="s">
        <v>315</v>
      </c>
      <c r="N190" s="207" t="s">
        <v>322</v>
      </c>
      <c r="O190" s="208" t="s">
        <v>416</v>
      </c>
      <c r="P190" s="96" t="s">
        <v>114</v>
      </c>
      <c r="Q190" s="96">
        <v>523</v>
      </c>
      <c r="R190" s="202" t="s">
        <v>416</v>
      </c>
      <c r="S190" s="202" t="s">
        <v>416</v>
      </c>
      <c r="T190" s="202" t="s">
        <v>416</v>
      </c>
      <c r="U190" s="209" t="s">
        <v>416</v>
      </c>
      <c r="V190" s="123">
        <f>SUM(Table24[[#This Row],[A1toA3_GWP]:[C1toC4_GWP]])</f>
        <v>105.68068833651978</v>
      </c>
      <c r="W190" s="123">
        <f>VLOOKUP(Table24[[#This Row],[Country PRODUCTION]],[1]Sheet1!$B$11:$F$30,4,FALSE)+Table24[[#This Row],[Total_GWP]]</f>
        <v>456.68068833651978</v>
      </c>
      <c r="X190" s="123">
        <f>VLOOKUP(Table24[[#This Row],[Country PRODUCTION]],[1]Sheet1!$B$11:$F$30,5,FALSE)+Table24[[#This Row],[Total_GWP]]</f>
        <v>141.68068833651978</v>
      </c>
      <c r="Y190" s="123">
        <f>Table24[[#This Row],[Total_GWP]]*Table24[[#This Row],[DENSITY]]/1000</f>
        <v>55.270999999999844</v>
      </c>
      <c r="Z190" s="149">
        <f>(-752)/Table24[[#This Row],[DENSITY]]*1000</f>
        <v>-1437.8585086042067</v>
      </c>
      <c r="AA190" s="81">
        <f>(0.341+6.93+800)/Table24[[#This Row],[DENSITY]]*1000</f>
        <v>1543.5391969407265</v>
      </c>
      <c r="AB190" s="87">
        <f>SUM(Table24[[#This Row],[A1toA3_GWP-biogenic]:[C1toC4_GWP-biogenic]])</f>
        <v>1.9601147227533602</v>
      </c>
      <c r="AC190" s="87">
        <f>Table24[[#This Row],[GWP-biogenic]]*Table24[[#This Row],[DENSITY]]/1000</f>
        <v>1.0251400000000073</v>
      </c>
      <c r="AD190" s="83">
        <f>(-786)/Table24[[#This Row],[DENSITY]]*1000</f>
        <v>-1502.8680688336519</v>
      </c>
      <c r="AE190" s="85">
        <f>(1.14*10^-3+2.4*10^-2+7.87*10^2)/Table24[[#This Row],[DENSITY]]*1000</f>
        <v>1504.8281835564053</v>
      </c>
      <c r="AF190" s="92">
        <f ca="1">IF(OR($E190="Ecoinvent",$E190="Betonsortenrechner",$E190="KBOB",$V190&lt;=0,Table24[[#This Row],[VALID_TO]]&lt;=TODAY()),0,1)</f>
        <v>1</v>
      </c>
      <c r="AG190" s="92">
        <v>1</v>
      </c>
      <c r="AH190" s="92">
        <f ca="1">IF(AND(Table24[[#This Row],[ValidEPD]]&lt;&gt;0,Table24[[#This Row],[Man_Ausschluss]]&lt;&gt;0),1,0)</f>
        <v>1</v>
      </c>
      <c r="AI190" s="178" cm="1">
        <f t="array" aca="1" ref="AI190" ca="1">IF(Table24[[#This Row],[gültig]]&lt;&gt;0,
IF(V190=MIN(_xlfn._xlws.FILTER($V$2:$V$282,($P$2:$P$282=P190))),1,
IF(V190=MAX(_xlfn._xlws.FILTER($V$2:$V$282,($P$2:$P$282=P190))),1,0)),0)</f>
        <v>0</v>
      </c>
      <c r="AJ190" s="180"/>
      <c r="AK190" s="2" t="s">
        <v>415</v>
      </c>
      <c r="AL190" s="2" t="s">
        <v>414</v>
      </c>
    </row>
    <row r="191" spans="1:38" x14ac:dyDescent="0.45">
      <c r="A191" s="199" t="s">
        <v>453</v>
      </c>
      <c r="B191" s="200"/>
      <c r="C191" s="115">
        <v>192</v>
      </c>
      <c r="D191" s="200" t="s">
        <v>455</v>
      </c>
      <c r="E191" s="202" t="s">
        <v>456</v>
      </c>
      <c r="F191" s="202"/>
      <c r="G191" s="203">
        <v>44312</v>
      </c>
      <c r="H191" s="203">
        <v>46138</v>
      </c>
      <c r="I191" s="203" t="s">
        <v>240</v>
      </c>
      <c r="J191" s="280" t="s">
        <v>240</v>
      </c>
      <c r="K191" s="205" t="s">
        <v>99</v>
      </c>
      <c r="L191" s="281" t="s">
        <v>328</v>
      </c>
      <c r="M191" s="201" t="s">
        <v>315</v>
      </c>
      <c r="N191" s="207" t="s">
        <v>321</v>
      </c>
      <c r="O191" s="208" t="s">
        <v>416</v>
      </c>
      <c r="P191" s="96" t="s">
        <v>1</v>
      </c>
      <c r="Q191" s="96">
        <v>468</v>
      </c>
      <c r="R191" s="202" t="s">
        <v>416</v>
      </c>
      <c r="S191" s="202" t="s">
        <v>416</v>
      </c>
      <c r="T191" s="202" t="s">
        <v>416</v>
      </c>
      <c r="U191" s="209" t="s">
        <v>416</v>
      </c>
      <c r="V191" s="123">
        <f>SUM(Table24[[#This Row],[A1toA3_GWP]:[C1toC4_GWP]])</f>
        <v>80.555555555555657</v>
      </c>
      <c r="W191" s="123">
        <f>VLOOKUP(Table24[[#This Row],[Country PRODUCTION]],[1]Sheet1!$B$11:$F$30,4,FALSE)+Table24[[#This Row],[Total_GWP]]</f>
        <v>349.65555555555568</v>
      </c>
      <c r="X191" s="123">
        <f>VLOOKUP(Table24[[#This Row],[Country PRODUCTION]],[1]Sheet1!$B$11:$F$30,5,FALSE)+Table24[[#This Row],[Total_GWP]]</f>
        <v>108.15555555555565</v>
      </c>
      <c r="Y191" s="123">
        <f>Table24[[#This Row],[Total_GWP]]*Table24[[#This Row],[DENSITY]]/1000</f>
        <v>37.700000000000045</v>
      </c>
      <c r="Z191" s="149">
        <f>-726/Table24[[#This Row],[DENSITY]]*1000</f>
        <v>-1551.2820512820513</v>
      </c>
      <c r="AA191" s="81">
        <f>(0.8+4.9+758)/Table24[[#This Row],[DENSITY]]*1000</f>
        <v>1631.8376068376069</v>
      </c>
      <c r="AB191" s="87">
        <f>SUM(Table24[[#This Row],[A1toA3_GWP-biogenic]:[C1toC4_GWP-biogenic]])</f>
        <v>0</v>
      </c>
      <c r="AC191" s="87">
        <f>Table24[[#This Row],[GWP-biogenic]]*Table24[[#This Row],[DENSITY]]/1000</f>
        <v>0</v>
      </c>
      <c r="AD191" s="83">
        <f>(-758)/Table24[[#This Row],[DENSITY]]*1000</f>
        <v>-1619.6581196581196</v>
      </c>
      <c r="AE191" s="85">
        <f>(758)/Table24[[#This Row],[DENSITY]]*1000</f>
        <v>1619.6581196581196</v>
      </c>
      <c r="AF191" s="92">
        <f ca="1">IF(OR($E191="Ecoinvent",$E191="Betonsortenrechner",$E191="KBOB",$V191&lt;=0,Table24[[#This Row],[VALID_TO]]&lt;=TODAY()),0,1)</f>
        <v>0</v>
      </c>
      <c r="AG191" s="92">
        <v>1</v>
      </c>
      <c r="AH191" s="92">
        <f ca="1">IF(AND(Table24[[#This Row],[ValidEPD]]&lt;&gt;0,Table24[[#This Row],[Man_Ausschluss]]&lt;&gt;0),1,0)</f>
        <v>0</v>
      </c>
      <c r="AI191" s="178" cm="1">
        <f t="array" aca="1" ref="AI191" ca="1">IF(Table24[[#This Row],[gültig]]&lt;&gt;0,
IF(V191=MIN(_xlfn._xlws.FILTER($V$2:$V$282,($P$2:$P$282=P191))),1,
IF(V191=MAX(_xlfn._xlws.FILTER($V$2:$V$282,($P$2:$P$282=P191))),1,0)),0)</f>
        <v>0</v>
      </c>
      <c r="AJ191" s="180"/>
      <c r="AK191" s="2" t="s">
        <v>454</v>
      </c>
      <c r="AL191" s="2"/>
    </row>
    <row r="192" spans="1:38" x14ac:dyDescent="0.45">
      <c r="A192" s="155" t="s">
        <v>564</v>
      </c>
      <c r="B192" s="200"/>
      <c r="C192" s="117">
        <v>193</v>
      </c>
      <c r="D192" s="210" t="s">
        <v>566</v>
      </c>
      <c r="E192" s="211" t="s">
        <v>567</v>
      </c>
      <c r="F192" s="211"/>
      <c r="G192" s="212">
        <v>45278</v>
      </c>
      <c r="H192" s="212">
        <v>47104</v>
      </c>
      <c r="I192" s="212" t="s">
        <v>266</v>
      </c>
      <c r="J192" s="310" t="s">
        <v>266</v>
      </c>
      <c r="K192" s="213" t="s">
        <v>568</v>
      </c>
      <c r="L192" s="281" t="s">
        <v>614</v>
      </c>
      <c r="M192" s="120" t="s">
        <v>315</v>
      </c>
      <c r="N192" s="207" t="s">
        <v>569</v>
      </c>
      <c r="O192" s="215" t="s">
        <v>416</v>
      </c>
      <c r="P192" s="120" t="s">
        <v>570</v>
      </c>
      <c r="Q192" s="120">
        <v>800</v>
      </c>
      <c r="R192" s="211" t="s">
        <v>416</v>
      </c>
      <c r="S192" s="211" t="s">
        <v>416</v>
      </c>
      <c r="T192" s="211" t="s">
        <v>416</v>
      </c>
      <c r="U192" s="214" t="s">
        <v>416</v>
      </c>
      <c r="V192" s="311">
        <f>SUM(Table24[[#This Row],[A1toA3_GWP]:[C1toC4_GWP]])</f>
        <v>338.66375000000016</v>
      </c>
      <c r="W192" s="311">
        <f>VLOOKUP(Table24[[#This Row],[Country PRODUCTION]],[1]Sheet1!$B$11:$F$30,4,FALSE)+Table24[[#This Row],[Total_GWP]]</f>
        <v>414.71375000000018</v>
      </c>
      <c r="X192" s="311">
        <f>VLOOKUP(Table24[[#This Row],[Country PRODUCTION]],[1]Sheet1!$B$11:$F$30,5,FALSE)+Table24[[#This Row],[Total_GWP]]</f>
        <v>346.46375000000018</v>
      </c>
      <c r="Y192" s="311">
        <f>Table24[[#This Row],[Total_GWP]]*Table24[[#This Row],[DENSITY]]/1000</f>
        <v>270.9310000000001</v>
      </c>
      <c r="Z192" s="293">
        <f>(-1.23*10^3+3*10^1+1.2*10^2)/Table24[[#This Row],[DENSITY]]*1000</f>
        <v>-1350</v>
      </c>
      <c r="AA192" s="119">
        <f>(9.31*10^-1+1.35*10^3)/Table24[[#This Row],[DENSITY]]*1000</f>
        <v>1688.6637500000002</v>
      </c>
      <c r="AB192" s="83">
        <f>SUM(Table24[[#This Row],[A1toA3_GWP-biogenic]:[C1toC4_GWP-biogenic]])</f>
        <v>-11.987499999999955</v>
      </c>
      <c r="AC192" s="83">
        <f>Table24[[#This Row],[GWP-biogenic]]*Table24[[#This Row],[DENSITY]]/1000</f>
        <v>-9.5899999999999643</v>
      </c>
      <c r="AD192" s="83">
        <f>(-1.34*10^3-9.59)/Table24[[#This Row],[DENSITY]]*1000</f>
        <v>-1686.9875</v>
      </c>
      <c r="AE192" s="85">
        <f>(1.34*10^3)/Table24[[#This Row],[DENSITY]]*1000</f>
        <v>1675</v>
      </c>
      <c r="AF192" s="92">
        <f ca="1">IF(OR($E192="Ecoinvent",$E192="Betonsortenrechner",$E192="KBOB",$V192&lt;=0,Table24[[#This Row],[VALID_TO]]&lt;=TODAY()),0,1)</f>
        <v>1</v>
      </c>
      <c r="AG192" s="92">
        <v>1</v>
      </c>
      <c r="AH192" s="92">
        <f ca="1">IF(AND(Table24[[#This Row],[ValidEPD]]&lt;&gt;0,Table24[[#This Row],[Man_Ausschluss]]&lt;&gt;0),1,0)</f>
        <v>1</v>
      </c>
      <c r="AI192" s="178" cm="1">
        <f t="array" aca="1" ref="AI192" ca="1">IF(Table24[[#This Row],[gültig]]&lt;&gt;0,
IF(V192=MIN(_xlfn._xlws.FILTER($V$2:$V$282,($P$2:$P$282=P192))),1,
IF(V192=MAX(_xlfn._xlws.FILTER($V$2:$V$282,($P$2:$P$282=P192))),1,0)),0)</f>
        <v>1</v>
      </c>
      <c r="AJ192" s="180"/>
      <c r="AK192" s="118"/>
      <c r="AL192" s="2"/>
    </row>
    <row r="193" spans="1:38" x14ac:dyDescent="0.45">
      <c r="A193" s="155" t="s">
        <v>565</v>
      </c>
      <c r="B193" s="200" t="s">
        <v>502</v>
      </c>
      <c r="C193" s="117">
        <v>194</v>
      </c>
      <c r="D193" s="210" t="s">
        <v>571</v>
      </c>
      <c r="E193" s="211" t="s">
        <v>573</v>
      </c>
      <c r="F193" s="211"/>
      <c r="G193" s="212">
        <v>44525</v>
      </c>
      <c r="H193" s="212">
        <v>46350</v>
      </c>
      <c r="I193" s="203" t="s">
        <v>266</v>
      </c>
      <c r="J193" s="280" t="s">
        <v>266</v>
      </c>
      <c r="K193" s="205" t="s">
        <v>574</v>
      </c>
      <c r="L193" s="281" t="s">
        <v>614</v>
      </c>
      <c r="M193" s="120" t="s">
        <v>315</v>
      </c>
      <c r="N193" s="207" t="s">
        <v>569</v>
      </c>
      <c r="O193" s="215" t="s">
        <v>416</v>
      </c>
      <c r="P193" s="96" t="s">
        <v>575</v>
      </c>
      <c r="Q193" s="96">
        <f>AVERAGE(350,850)</f>
        <v>600</v>
      </c>
      <c r="R193" s="211" t="s">
        <v>416</v>
      </c>
      <c r="S193" s="211" t="s">
        <v>416</v>
      </c>
      <c r="T193" s="211" t="s">
        <v>416</v>
      </c>
      <c r="U193" s="214" t="s">
        <v>416</v>
      </c>
      <c r="V193" s="311">
        <f>SUM(Table24[[#This Row],[A1toA3_GWP]:[C1toC4_GWP]])</f>
        <v>601.01666666666642</v>
      </c>
      <c r="W193" s="311">
        <f>VLOOKUP(Table24[[#This Row],[Country PRODUCTION]],[1]Sheet1!$B$11:$F$30,4,FALSE)+Table24[[#This Row],[Total_GWP]]</f>
        <v>677.06666666666638</v>
      </c>
      <c r="X193" s="311">
        <f>VLOOKUP(Table24[[#This Row],[Country PRODUCTION]],[1]Sheet1!$B$11:$F$30,5,FALSE)+Table24[[#This Row],[Total_GWP]]</f>
        <v>608.81666666666638</v>
      </c>
      <c r="Y193" s="311">
        <f>Table24[[#This Row],[Total_GWP]]*Table24[[#This Row],[DENSITY]]/1000</f>
        <v>360.6099999999999</v>
      </c>
      <c r="Z193" s="311">
        <f>(-1.14*10^3+2.23*10^1+2.16*10^2)/Table24[[#This Row],[DENSITY]]*1000</f>
        <v>-1502.8333333333335</v>
      </c>
      <c r="AA193" s="119">
        <f>(2.31*10^0+1.26*10^3)/Table24[[#This Row],[DENSITY]]*1000</f>
        <v>2103.85</v>
      </c>
      <c r="AB193" s="83">
        <v>0</v>
      </c>
      <c r="AC193" s="83">
        <f>Table24[[#This Row],[GWP-biogenic]]*Table24[[#This Row],[DENSITY]]/1000</f>
        <v>0</v>
      </c>
      <c r="AD193" s="83" t="s">
        <v>416</v>
      </c>
      <c r="AE193" s="85" t="s">
        <v>416</v>
      </c>
      <c r="AF193" s="92">
        <f ca="1">IF(OR($E193="Ecoinvent",$E193="Betonsortenrechner",$E193="KBOB",$V193&lt;=0,Table24[[#This Row],[VALID_TO]]&lt;=TODAY()),0,1)</f>
        <v>1</v>
      </c>
      <c r="AG193" s="92">
        <v>1</v>
      </c>
      <c r="AH193" s="92">
        <f ca="1">IF(AND(Table24[[#This Row],[ValidEPD]]&lt;&gt;0,Table24[[#This Row],[Man_Ausschluss]]&lt;&gt;0),1,0)</f>
        <v>1</v>
      </c>
      <c r="AI193" s="178" cm="1">
        <f t="array" aca="1" ref="AI193" ca="1">IF(Table24[[#This Row],[gültig]]&lt;&gt;0,
IF(V193=MIN(_xlfn._xlws.FILTER($V$2:$V$282,($P$2:$P$282=P193))),1,
IF(V193=MAX(_xlfn._xlws.FILTER($V$2:$V$282,($P$2:$P$282=P193))),1,0)),0)</f>
        <v>1</v>
      </c>
      <c r="AJ193" s="180"/>
      <c r="AK193" s="118"/>
      <c r="AL193" s="2"/>
    </row>
    <row r="194" spans="1:38" x14ac:dyDescent="0.45">
      <c r="A194" s="155" t="s">
        <v>565</v>
      </c>
      <c r="B194" s="200" t="s">
        <v>518</v>
      </c>
      <c r="C194" s="115">
        <v>195</v>
      </c>
      <c r="D194" s="210" t="s">
        <v>571</v>
      </c>
      <c r="E194" s="211" t="s">
        <v>573</v>
      </c>
      <c r="F194" s="211"/>
      <c r="G194" s="212">
        <v>44525</v>
      </c>
      <c r="H194" s="212">
        <v>46350</v>
      </c>
      <c r="I194" s="203" t="s">
        <v>266</v>
      </c>
      <c r="J194" s="280" t="s">
        <v>266</v>
      </c>
      <c r="K194" s="205" t="s">
        <v>574</v>
      </c>
      <c r="L194" s="281" t="s">
        <v>614</v>
      </c>
      <c r="M194" s="120" t="s">
        <v>315</v>
      </c>
      <c r="N194" s="207" t="s">
        <v>569</v>
      </c>
      <c r="O194" s="215" t="s">
        <v>416</v>
      </c>
      <c r="P194" s="96" t="s">
        <v>570</v>
      </c>
      <c r="Q194" s="96">
        <f>AVERAGE(350,850)</f>
        <v>600</v>
      </c>
      <c r="R194" s="211" t="s">
        <v>416</v>
      </c>
      <c r="S194" s="211" t="s">
        <v>416</v>
      </c>
      <c r="T194" s="211" t="s">
        <v>416</v>
      </c>
      <c r="U194" s="214" t="s">
        <v>416</v>
      </c>
      <c r="V194" s="311">
        <f>SUM(Table24[[#This Row],[A1toA3_GWP]:[C1toC4_GWP]])</f>
        <v>601.01666666666642</v>
      </c>
      <c r="W194" s="311">
        <f>VLOOKUP(Table24[[#This Row],[Country PRODUCTION]],[1]Sheet1!$B$11:$F$30,4,FALSE)+Table24[[#This Row],[Total_GWP]]</f>
        <v>677.06666666666638</v>
      </c>
      <c r="X194" s="311">
        <f>VLOOKUP(Table24[[#This Row],[Country PRODUCTION]],[1]Sheet1!$B$11:$F$30,5,FALSE)+Table24[[#This Row],[Total_GWP]]</f>
        <v>608.81666666666638</v>
      </c>
      <c r="Y194" s="311">
        <f>Table24[[#This Row],[Total_GWP]]*Table24[[#This Row],[DENSITY]]/1000</f>
        <v>360.6099999999999</v>
      </c>
      <c r="Z194" s="311">
        <f>(-1.14*10^3+2.23*10^1+2.16*10^2)/Table24[[#This Row],[DENSITY]]*1000</f>
        <v>-1502.8333333333335</v>
      </c>
      <c r="AA194" s="119">
        <f>(2.31*10^0+1.26*10^3)/Table24[[#This Row],[DENSITY]]*1000</f>
        <v>2103.85</v>
      </c>
      <c r="AB194" s="83">
        <v>0</v>
      </c>
      <c r="AC194" s="83">
        <f>Table24[[#This Row],[GWP-biogenic]]*Table24[[#This Row],[DENSITY]]/1000</f>
        <v>0</v>
      </c>
      <c r="AD194" s="83" t="s">
        <v>416</v>
      </c>
      <c r="AE194" s="85" t="s">
        <v>416</v>
      </c>
      <c r="AF194" s="92">
        <f ca="1">IF(OR($E194="Ecoinvent",$E194="Betonsortenrechner",$E194="KBOB",$V194&lt;=0,Table24[[#This Row],[VALID_TO]]&lt;=TODAY()),0,1)</f>
        <v>1</v>
      </c>
      <c r="AG194" s="92">
        <v>1</v>
      </c>
      <c r="AH194" s="92">
        <f ca="1">IF(AND(Table24[[#This Row],[ValidEPD]]&lt;&gt;0,Table24[[#This Row],[Man_Ausschluss]]&lt;&gt;0),1,0)</f>
        <v>1</v>
      </c>
      <c r="AI194" s="178" cm="1">
        <f t="array" aca="1" ref="AI194" ca="1">IF(Table24[[#This Row],[gültig]]&lt;&gt;0,
IF(V194=MIN(_xlfn._xlws.FILTER($V$2:$V$282,($P$2:$P$282=P194))),1,
IF(V194=MAX(_xlfn._xlws.FILTER($V$2:$V$282,($P$2:$P$282=P194))),1,0)),0)</f>
        <v>1</v>
      </c>
      <c r="AJ194" s="180"/>
      <c r="AK194" s="118"/>
      <c r="AL194" s="2"/>
    </row>
    <row r="195" spans="1:38" x14ac:dyDescent="0.45">
      <c r="A195" s="155" t="s">
        <v>572</v>
      </c>
      <c r="B195" s="200"/>
      <c r="C195" s="117">
        <v>196</v>
      </c>
      <c r="D195" s="210" t="s">
        <v>623</v>
      </c>
      <c r="E195" s="211" t="s">
        <v>624</v>
      </c>
      <c r="F195" s="211"/>
      <c r="G195" s="212">
        <v>44582</v>
      </c>
      <c r="H195" s="212">
        <v>46408</v>
      </c>
      <c r="I195" s="212" t="s">
        <v>313</v>
      </c>
      <c r="J195" s="280" t="s">
        <v>313</v>
      </c>
      <c r="K195" s="213" t="s">
        <v>625</v>
      </c>
      <c r="L195" s="281" t="s">
        <v>614</v>
      </c>
      <c r="M195" s="120" t="s">
        <v>315</v>
      </c>
      <c r="N195" s="207" t="s">
        <v>569</v>
      </c>
      <c r="O195" s="215" t="s">
        <v>416</v>
      </c>
      <c r="P195" s="120"/>
      <c r="Q195" s="120"/>
      <c r="R195" s="211"/>
      <c r="S195" s="211"/>
      <c r="T195" s="211"/>
      <c r="U195" s="214"/>
      <c r="V195" s="311"/>
      <c r="W195" s="317">
        <f>VLOOKUP(Table24[[#This Row],[Country PRODUCTION]],[1]Sheet1!$B$11:$F$30,4,FALSE)+Table24[[#This Row],[Total_GWP]]</f>
        <v>351</v>
      </c>
      <c r="X195" s="317">
        <f>VLOOKUP(Table24[[#This Row],[Country PRODUCTION]],[1]Sheet1!$B$11:$F$30,5,FALSE)+Table24[[#This Row],[Total_GWP]]</f>
        <v>36</v>
      </c>
      <c r="Y195" s="83"/>
      <c r="Z195" s="293">
        <f>119+10.9+238</f>
        <v>367.9</v>
      </c>
      <c r="AA195" s="119">
        <f>51.1+26+2.64+12.6</f>
        <v>92.339999999999989</v>
      </c>
      <c r="AB195" s="83"/>
      <c r="AC195" s="83"/>
      <c r="AD195" s="83" t="e">
        <f>(-696)/Table24[[#This Row],[DENSITY]]*1000</f>
        <v>#DIV/0!</v>
      </c>
      <c r="AE195" s="85" t="e">
        <f>(1.42+759)/Table24[[#This Row],[DENSITY]]*1000</f>
        <v>#DIV/0!</v>
      </c>
      <c r="AF195" s="92">
        <f ca="1">IF(OR($E195="Ecoinvent",$E195="Betonsortenrechner",$E195="KBOB",$V195&lt;=0,Table24[[#This Row],[VALID_TO]]&lt;=TODAY()),0,1)</f>
        <v>0</v>
      </c>
      <c r="AG195" s="92">
        <v>1</v>
      </c>
      <c r="AH195" s="92">
        <f ca="1">IF(AND(Table24[[#This Row],[ValidEPD]]&lt;&gt;0,Table24[[#This Row],[Man_Ausschluss]]&lt;&gt;0),1,0)</f>
        <v>0</v>
      </c>
      <c r="AI195" s="178" cm="1">
        <f t="array" aca="1" ref="AI195" ca="1">IF(Table24[[#This Row],[gültig]]&lt;&gt;0,
IF(V195=MIN(_xlfn._xlws.FILTER($V$2:$V$282,($P$2:$P$282=P195))),1,
IF(V195=MAX(_xlfn._xlws.FILTER($V$2:$V$282,($P$2:$P$282=P195))),1,0)),0)</f>
        <v>0</v>
      </c>
      <c r="AJ195" s="180"/>
      <c r="AK195" s="118"/>
      <c r="AL195" s="2"/>
    </row>
    <row r="196" spans="1:38" x14ac:dyDescent="0.45">
      <c r="A196" s="155" t="s">
        <v>577</v>
      </c>
      <c r="B196" s="200" t="s">
        <v>502</v>
      </c>
      <c r="C196" s="117">
        <v>197</v>
      </c>
      <c r="D196" s="312" t="s">
        <v>576</v>
      </c>
      <c r="E196" s="211" t="s">
        <v>105</v>
      </c>
      <c r="F196" s="211"/>
      <c r="G196" s="212">
        <v>45104</v>
      </c>
      <c r="H196" s="212">
        <v>46930</v>
      </c>
      <c r="I196" s="203" t="s">
        <v>294</v>
      </c>
      <c r="J196" s="280" t="s">
        <v>242</v>
      </c>
      <c r="K196" s="213" t="s">
        <v>579</v>
      </c>
      <c r="L196" s="313" t="s">
        <v>580</v>
      </c>
      <c r="M196" s="314" t="s">
        <v>315</v>
      </c>
      <c r="N196" s="315" t="s">
        <v>581</v>
      </c>
      <c r="O196" s="316" t="s">
        <v>416</v>
      </c>
      <c r="P196" s="120" t="s">
        <v>395</v>
      </c>
      <c r="Q196" s="120">
        <f>AVERAGE(350,520)</f>
        <v>435</v>
      </c>
      <c r="R196" s="211" t="s">
        <v>416</v>
      </c>
      <c r="S196" s="211" t="s">
        <v>416</v>
      </c>
      <c r="T196" s="211" t="s">
        <v>416</v>
      </c>
      <c r="U196" s="214" t="s">
        <v>416</v>
      </c>
      <c r="V196" s="317">
        <f>SUM(Table24[[#This Row],[A1toA3_GWP]:[C1toC4_GWP]])</f>
        <v>83.793103448276042</v>
      </c>
      <c r="W196" s="317">
        <f>VLOOKUP(Table24[[#This Row],[Country PRODUCTION]],[1]Sheet1!$B$11:$F$30,4,FALSE)+Table24[[#This Row],[Total_GWP]]</f>
        <v>153.99310344827603</v>
      </c>
      <c r="X196" s="317">
        <f>VLOOKUP(Table24[[#This Row],[Country PRODUCTION]],[1]Sheet1!$B$11:$F$30,5,FALSE)+Table24[[#This Row],[Total_GWP]]</f>
        <v>90.993103448276045</v>
      </c>
      <c r="Y196" s="317">
        <f>Table24[[#This Row],[Total_GWP]]*Table24[[#This Row],[DENSITY]]/1000</f>
        <v>36.450000000000081</v>
      </c>
      <c r="Z196" s="318">
        <f>(-7.27*10^2)/Table24[[#This Row],[DENSITY]]*1000</f>
        <v>-1671.2643678160919</v>
      </c>
      <c r="AA196" s="119">
        <f>(1.45*10^0+7.62*10^2)/Table24[[#This Row],[DENSITY]]*1000</f>
        <v>1755.0574712643679</v>
      </c>
      <c r="AB196" s="83">
        <f>SUM(Table24[[#This Row],[A1toA3_GWP-biogenic]:[C1toC4_GWP-biogenic]])</f>
        <v>4.7360919540230952</v>
      </c>
      <c r="AC196" s="83">
        <f>Table24[[#This Row],[GWP-biogenic]]*Table24[[#This Row],[DENSITY]]/1000</f>
        <v>2.0602000000000462</v>
      </c>
      <c r="AD196" s="83">
        <f>(-756)/Table24[[#This Row],[DENSITY]]*1000</f>
        <v>-1737.9310344827586</v>
      </c>
      <c r="AE196" s="85">
        <f>(6.02*10^-2+758)/Table24[[#This Row],[DENSITY]]*1000</f>
        <v>1742.6671264367817</v>
      </c>
      <c r="AF196" s="92">
        <f ca="1">IF(OR($E196="Ecoinvent",$E196="Betonsortenrechner",$E196="KBOB",$V196&lt;=0,Table24[[#This Row],[VALID_TO]]&lt;=TODAY()),0,1)</f>
        <v>1</v>
      </c>
      <c r="AG196" s="92">
        <v>1</v>
      </c>
      <c r="AH196" s="92">
        <f ca="1">IF(AND(Table24[[#This Row],[ValidEPD]]&lt;&gt;0,Table24[[#This Row],[Man_Ausschluss]]&lt;&gt;0),1,0)</f>
        <v>1</v>
      </c>
      <c r="AI196" s="178" cm="1">
        <f t="array" aca="1" ref="AI196" ca="1">IF(Table24[[#This Row],[gültig]]&lt;&gt;0,
IF(V196=MIN(_xlfn._xlws.FILTER($V$2:$V$282,($P$2:$P$282=P196))),1,
IF(V196=MAX(_xlfn._xlws.FILTER($V$2:$V$282,($P$2:$P$282=P196))),1,0)),0)</f>
        <v>1</v>
      </c>
      <c r="AJ196" s="180"/>
      <c r="AK196" s="118"/>
      <c r="AL196" s="2"/>
    </row>
    <row r="197" spans="1:38" x14ac:dyDescent="0.45">
      <c r="A197" s="155" t="s">
        <v>577</v>
      </c>
      <c r="B197" s="200" t="s">
        <v>518</v>
      </c>
      <c r="C197" s="115">
        <v>198</v>
      </c>
      <c r="D197" s="210" t="s">
        <v>576</v>
      </c>
      <c r="E197" s="211" t="s">
        <v>105</v>
      </c>
      <c r="F197" s="211"/>
      <c r="G197" s="212">
        <v>45104</v>
      </c>
      <c r="H197" s="212">
        <v>46930</v>
      </c>
      <c r="I197" s="203" t="s">
        <v>294</v>
      </c>
      <c r="J197" s="280" t="s">
        <v>242</v>
      </c>
      <c r="K197" s="213" t="s">
        <v>579</v>
      </c>
      <c r="L197" s="313" t="s">
        <v>580</v>
      </c>
      <c r="M197" s="314" t="s">
        <v>315</v>
      </c>
      <c r="N197" s="315" t="s">
        <v>581</v>
      </c>
      <c r="O197" s="316" t="s">
        <v>416</v>
      </c>
      <c r="P197" s="96" t="s">
        <v>537</v>
      </c>
      <c r="Q197" s="120">
        <f>AVERAGE(350,520)</f>
        <v>435</v>
      </c>
      <c r="R197" s="211" t="s">
        <v>416</v>
      </c>
      <c r="S197" s="211" t="s">
        <v>416</v>
      </c>
      <c r="T197" s="211" t="s">
        <v>416</v>
      </c>
      <c r="U197" s="214" t="s">
        <v>416</v>
      </c>
      <c r="V197" s="317">
        <f>SUM(Table24[[#This Row],[A1toA3_GWP]:[C1toC4_GWP]])</f>
        <v>83.793103448276042</v>
      </c>
      <c r="W197" s="317">
        <f>VLOOKUP(Table24[[#This Row],[Country PRODUCTION]],[1]Sheet1!$B$11:$F$30,4,FALSE)+Table24[[#This Row],[Total_GWP]]</f>
        <v>153.99310344827603</v>
      </c>
      <c r="X197" s="317">
        <f>VLOOKUP(Table24[[#This Row],[Country PRODUCTION]],[1]Sheet1!$B$11:$F$30,5,FALSE)+Table24[[#This Row],[Total_GWP]]</f>
        <v>90.993103448276045</v>
      </c>
      <c r="Y197" s="317">
        <f>Table24[[#This Row],[Total_GWP]]*Table24[[#This Row],[DENSITY]]/1000</f>
        <v>36.450000000000081</v>
      </c>
      <c r="Z197" s="318">
        <f>(-7.27*10^2)/Table24[[#This Row],[DENSITY]]*1000</f>
        <v>-1671.2643678160919</v>
      </c>
      <c r="AA197" s="119">
        <f>(1.45*10^0+7.62*10^2)/Table24[[#This Row],[DENSITY]]*1000</f>
        <v>1755.0574712643679</v>
      </c>
      <c r="AB197" s="83">
        <f>SUM(Table24[[#This Row],[A1toA3_GWP-biogenic]:[C1toC4_GWP-biogenic]])</f>
        <v>4.7360919540230952</v>
      </c>
      <c r="AC197" s="83">
        <f>Table24[[#This Row],[GWP-biogenic]]*Table24[[#This Row],[DENSITY]]/1000</f>
        <v>2.0602000000000462</v>
      </c>
      <c r="AD197" s="83">
        <f>(-756)/Table24[[#This Row],[DENSITY]]*1000</f>
        <v>-1737.9310344827586</v>
      </c>
      <c r="AE197" s="85">
        <f>(6.02*10^-2+758)/Table24[[#This Row],[DENSITY]]*1000</f>
        <v>1742.6671264367817</v>
      </c>
      <c r="AF197" s="92">
        <f ca="1">IF(OR($E197="Ecoinvent",$E197="Betonsortenrechner",$E197="KBOB",$V197&lt;=0,Table24[[#This Row],[VALID_TO]]&lt;=TODAY()),0,1)</f>
        <v>1</v>
      </c>
      <c r="AG197" s="92">
        <v>1</v>
      </c>
      <c r="AH197" s="92">
        <f ca="1">IF(AND(Table24[[#This Row],[ValidEPD]]&lt;&gt;0,Table24[[#This Row],[Man_Ausschluss]]&lt;&gt;0),1,0)</f>
        <v>1</v>
      </c>
      <c r="AI197" s="178" cm="1">
        <f t="array" aca="1" ref="AI197" ca="1">IF(Table24[[#This Row],[gültig]]&lt;&gt;0,
IF(V197=MIN(_xlfn._xlws.FILTER($V$2:$V$282,($P$2:$P$282=P197))),1,
IF(V197=MAX(_xlfn._xlws.FILTER($V$2:$V$282,($P$2:$P$282=P197))),1,0)),0)</f>
        <v>1</v>
      </c>
      <c r="AJ197" s="180"/>
      <c r="AK197" s="118"/>
      <c r="AL197" s="2"/>
    </row>
    <row r="198" spans="1:38" x14ac:dyDescent="0.45">
      <c r="A198" s="199" t="s">
        <v>578</v>
      </c>
      <c r="B198" s="200"/>
      <c r="C198" s="117">
        <v>199</v>
      </c>
      <c r="D198" s="210" t="s">
        <v>582</v>
      </c>
      <c r="E198" s="211" t="s">
        <v>105</v>
      </c>
      <c r="F198" s="211"/>
      <c r="G198" s="212">
        <v>45104</v>
      </c>
      <c r="H198" s="212">
        <v>46930</v>
      </c>
      <c r="I198" s="203" t="s">
        <v>294</v>
      </c>
      <c r="J198" s="280" t="s">
        <v>294</v>
      </c>
      <c r="K198" s="205" t="s">
        <v>113</v>
      </c>
      <c r="L198" s="281" t="s">
        <v>491</v>
      </c>
      <c r="M198" s="319" t="s">
        <v>315</v>
      </c>
      <c r="N198" s="207" t="s">
        <v>494</v>
      </c>
      <c r="O198" s="316" t="s">
        <v>416</v>
      </c>
      <c r="P198" s="96" t="s">
        <v>532</v>
      </c>
      <c r="Q198" s="120">
        <v>420</v>
      </c>
      <c r="R198" s="211" t="s">
        <v>416</v>
      </c>
      <c r="S198" s="211" t="s">
        <v>416</v>
      </c>
      <c r="T198" s="211" t="s">
        <v>416</v>
      </c>
      <c r="U198" s="214" t="s">
        <v>416</v>
      </c>
      <c r="V198" s="317">
        <f>SUM(Table24[[#This Row],[A1toA3_GWP]:[C1toC4_GWP]])</f>
        <v>332.04761904761904</v>
      </c>
      <c r="W198" s="317">
        <f>VLOOKUP(Table24[[#This Row],[Country PRODUCTION]],[1]Sheet1!$B$11:$F$30,4,FALSE)+Table24[[#This Row],[Total_GWP]]</f>
        <v>425.64761904761906</v>
      </c>
      <c r="X198" s="317">
        <f>VLOOKUP(Table24[[#This Row],[Country PRODUCTION]],[1]Sheet1!$B$11:$F$30,5,FALSE)+Table24[[#This Row],[Total_GWP]]</f>
        <v>341.64761904761906</v>
      </c>
      <c r="Y198" s="317">
        <f>Table24[[#This Row],[Total_GWP]]*Table24[[#This Row],[DENSITY]]/1000</f>
        <v>139.46</v>
      </c>
      <c r="Z198" s="318">
        <f>(-6.24*10^2)/Table24[[#This Row],[DENSITY]]*1000</f>
        <v>-1485.7142857142858</v>
      </c>
      <c r="AA198" s="119">
        <f>(1.46*10^0+7.62*10^2)/Table24[[#This Row],[DENSITY]]*1000</f>
        <v>1817.7619047619048</v>
      </c>
      <c r="AB198" s="83">
        <f>SUM(Table24[[#This Row],[A1toA3_GWP-biogenic]:[C1toC4_GWP-biogenic]])</f>
        <v>7.286904761904907</v>
      </c>
      <c r="AC198" s="83">
        <f>Table24[[#This Row],[GWP-biogenic]]*Table24[[#This Row],[DENSITY]]/1000</f>
        <v>3.0605000000000611</v>
      </c>
      <c r="AD198" s="83">
        <f>(-756)/Table24[[#This Row],[DENSITY]]*1000</f>
        <v>-1800</v>
      </c>
      <c r="AE198" s="85">
        <f>(6.05*10^-2+759)/Table24[[#This Row],[DENSITY]]*1000</f>
        <v>1807.2869047619049</v>
      </c>
      <c r="AF198" s="92">
        <f ca="1">IF(OR($E198="Ecoinvent",$E198="Betonsortenrechner",$E198="KBOB",$V198&lt;=0,Table24[[#This Row],[VALID_TO]]&lt;=TODAY()),0,1)</f>
        <v>1</v>
      </c>
      <c r="AG198" s="92">
        <v>1</v>
      </c>
      <c r="AH198" s="92">
        <f ca="1">IF(AND(Table24[[#This Row],[ValidEPD]]&lt;&gt;0,Table24[[#This Row],[Man_Ausschluss]]&lt;&gt;0),1,0)</f>
        <v>1</v>
      </c>
      <c r="AI198" s="178" cm="1">
        <f t="array" aca="1" ref="AI198" ca="1">IF(Table24[[#This Row],[gültig]]&lt;&gt;0,
IF(V198=MIN(_xlfn._xlws.FILTER($V$2:$V$282,($P$2:$P$282=P198))),1,
IF(V198=MAX(_xlfn._xlws.FILTER($V$2:$V$282,($P$2:$P$282=P198))),1,0)),0)</f>
        <v>1</v>
      </c>
      <c r="AJ198" s="180"/>
      <c r="AK198" s="118"/>
      <c r="AL198" s="2"/>
    </row>
    <row r="199" spans="1:38" x14ac:dyDescent="0.45">
      <c r="A199" s="199" t="s">
        <v>583</v>
      </c>
      <c r="B199" s="200"/>
      <c r="C199" s="117">
        <v>200</v>
      </c>
      <c r="D199" s="210" t="s">
        <v>584</v>
      </c>
      <c r="E199" s="211" t="s">
        <v>105</v>
      </c>
      <c r="F199" s="211"/>
      <c r="G199" s="212">
        <v>45104</v>
      </c>
      <c r="H199" s="212">
        <v>46930</v>
      </c>
      <c r="I199" s="203" t="s">
        <v>294</v>
      </c>
      <c r="J199" s="280" t="s">
        <v>294</v>
      </c>
      <c r="K199" s="205" t="s">
        <v>109</v>
      </c>
      <c r="L199" s="281" t="s">
        <v>329</v>
      </c>
      <c r="M199" s="319" t="s">
        <v>315</v>
      </c>
      <c r="N199" s="207" t="s">
        <v>322</v>
      </c>
      <c r="O199" s="316" t="s">
        <v>416</v>
      </c>
      <c r="P199" s="96" t="s">
        <v>114</v>
      </c>
      <c r="Q199" s="120">
        <v>420</v>
      </c>
      <c r="R199" s="211" t="s">
        <v>416</v>
      </c>
      <c r="S199" s="211" t="s">
        <v>416</v>
      </c>
      <c r="T199" s="211" t="s">
        <v>416</v>
      </c>
      <c r="U199" s="214" t="s">
        <v>416</v>
      </c>
      <c r="V199" s="317">
        <f>SUM(Table24[[#This Row],[A1toA3_GWP]:[C1toC4_GWP]])</f>
        <v>186.83333333333348</v>
      </c>
      <c r="W199" s="317">
        <f>VLOOKUP(Table24[[#This Row],[Country PRODUCTION]],[1]Sheet1!$B$11:$F$30,4,FALSE)+Table24[[#This Row],[Total_GWP]]</f>
        <v>280.43333333333351</v>
      </c>
      <c r="X199" s="317">
        <f>VLOOKUP(Table24[[#This Row],[Country PRODUCTION]],[1]Sheet1!$B$11:$F$30,5,FALSE)+Table24[[#This Row],[Total_GWP]]</f>
        <v>196.43333333333348</v>
      </c>
      <c r="Y199" s="317">
        <f>Table24[[#This Row],[Total_GWP]]*Table24[[#This Row],[DENSITY]]/1000</f>
        <v>78.470000000000056</v>
      </c>
      <c r="Z199" s="318">
        <f>(-7.07*10^2)/Table24[[#This Row],[DENSITY]]*1000</f>
        <v>-1683.3333333333333</v>
      </c>
      <c r="AA199" s="119">
        <f>(1.47*10^0+7.84*10^2)/Table24[[#This Row],[DENSITY]]*1000</f>
        <v>1870.1666666666667</v>
      </c>
      <c r="AB199" s="83">
        <f>SUM(Table24[[#This Row],[A1toA3_GWP-biogenic]:[C1toC4_GWP-biogenic]])</f>
        <v>12.049999999999727</v>
      </c>
      <c r="AC199" s="83">
        <f>Table24[[#This Row],[GWP-biogenic]]*Table24[[#This Row],[DENSITY]]/1000</f>
        <v>5.0609999999998854</v>
      </c>
      <c r="AD199" s="83">
        <f>(-775)/Table24[[#This Row],[DENSITY]]*1000</f>
        <v>-1845.2380952380954</v>
      </c>
      <c r="AE199" s="85">
        <f>(6.1*10^-2+780)/Table24[[#This Row],[DENSITY]]*1000</f>
        <v>1857.2880952380951</v>
      </c>
      <c r="AF199" s="92">
        <f ca="1">IF(OR($E199="Ecoinvent",$E199="Betonsortenrechner",$E199="KBOB",$V199&lt;=0,Table24[[#This Row],[VALID_TO]]&lt;=TODAY()),0,1)</f>
        <v>1</v>
      </c>
      <c r="AG199" s="92">
        <v>1</v>
      </c>
      <c r="AH199" s="92">
        <f ca="1">IF(AND(Table24[[#This Row],[ValidEPD]]&lt;&gt;0,Table24[[#This Row],[Man_Ausschluss]]&lt;&gt;0),1,0)</f>
        <v>1</v>
      </c>
      <c r="AI199" s="178" cm="1">
        <f t="array" aca="1" ref="AI199" ca="1">IF(Table24[[#This Row],[gültig]]&lt;&gt;0,
IF(V199=MIN(_xlfn._xlws.FILTER($V$2:$V$282,($P$2:$P$282=P199))),1,
IF(V199=MAX(_xlfn._xlws.FILTER($V$2:$V$282,($P$2:$P$282=P199))),1,0)),0)</f>
        <v>0</v>
      </c>
      <c r="AJ199" s="180"/>
      <c r="AK199" s="118"/>
      <c r="AL199" s="2"/>
    </row>
    <row r="200" spans="1:38" x14ac:dyDescent="0.45">
      <c r="A200" s="199" t="s">
        <v>586</v>
      </c>
      <c r="B200" s="200" t="s">
        <v>502</v>
      </c>
      <c r="C200" s="115">
        <v>201</v>
      </c>
      <c r="D200" s="201" t="s">
        <v>585</v>
      </c>
      <c r="E200" s="202" t="s">
        <v>587</v>
      </c>
      <c r="F200" s="202"/>
      <c r="G200" s="203">
        <v>45861</v>
      </c>
      <c r="H200" s="203">
        <v>47686</v>
      </c>
      <c r="I200" s="203" t="s">
        <v>242</v>
      </c>
      <c r="J200" s="280" t="s">
        <v>242</v>
      </c>
      <c r="K200" s="205" t="s">
        <v>99</v>
      </c>
      <c r="L200" s="281" t="s">
        <v>328</v>
      </c>
      <c r="M200" s="319" t="s">
        <v>315</v>
      </c>
      <c r="N200" s="207" t="s">
        <v>321</v>
      </c>
      <c r="O200" s="316" t="s">
        <v>416</v>
      </c>
      <c r="P200" s="96" t="s">
        <v>1</v>
      </c>
      <c r="Q200" s="96">
        <v>450</v>
      </c>
      <c r="R200" s="211" t="s">
        <v>416</v>
      </c>
      <c r="S200" s="211" t="s">
        <v>416</v>
      </c>
      <c r="T200" s="211" t="s">
        <v>416</v>
      </c>
      <c r="U200" s="214" t="s">
        <v>416</v>
      </c>
      <c r="V200" s="83">
        <f>SUM(Table24[[#This Row],[A1toA3_GWP]:[C1toC4_GWP]])</f>
        <v>246.08888888888896</v>
      </c>
      <c r="W200" s="83">
        <f>VLOOKUP(Table24[[#This Row],[Country PRODUCTION]],[1]Sheet1!$B$11:$F$30,4,FALSE)+Table24[[#This Row],[Total_GWP]]</f>
        <v>316.28888888888895</v>
      </c>
      <c r="X200" s="83">
        <f>VLOOKUP(Table24[[#This Row],[Country PRODUCTION]],[1]Sheet1!$B$11:$F$30,5,FALSE)+Table24[[#This Row],[Total_GWP]]</f>
        <v>253.28888888888895</v>
      </c>
      <c r="Y200" s="83">
        <f>Table24[[#This Row],[Total_GWP]]*Table24[[#This Row],[DENSITY]]/1000</f>
        <v>110.74000000000002</v>
      </c>
      <c r="Z200" s="123">
        <f>(-6.26*10^2)/Table24[[#This Row],[DENSITY]]*1000</f>
        <v>-1391.1111111111111</v>
      </c>
      <c r="AA200" s="81">
        <f>(1.74*10^0+7.35*10^2)/Table24[[#This Row],[DENSITY]]*1000</f>
        <v>1637.2</v>
      </c>
      <c r="AB200" s="83">
        <f>SUM(Table24[[#This Row],[A1toA3_GWP-biogenic]:[C1toC4_GWP-biogenic]])</f>
        <v>6.6757111111112408</v>
      </c>
      <c r="AC200" s="83">
        <f>Table24[[#This Row],[GWP-biogenic]]*Table24[[#This Row],[DENSITY]]/1000</f>
        <v>3.0040700000000582</v>
      </c>
      <c r="AD200" s="83">
        <f>(-730)/Table24[[#This Row],[DENSITY]]*1000</f>
        <v>-1622.2222222222222</v>
      </c>
      <c r="AE200" s="85">
        <f>(4.07*10^-3+733)/Table24[[#This Row],[DENSITY]]*1000</f>
        <v>1628.8979333333334</v>
      </c>
      <c r="AF200" s="92">
        <f ca="1">IF(OR($E200="Ecoinvent",$E200="Betonsortenrechner",$E200="KBOB",$V200&lt;=0,Table24[[#This Row],[VALID_TO]]&lt;=TODAY()),0,1)</f>
        <v>1</v>
      </c>
      <c r="AG200" s="92">
        <v>1</v>
      </c>
      <c r="AH200" s="92">
        <f ca="1">IF(AND(Table24[[#This Row],[ValidEPD]]&lt;&gt;0,Table24[[#This Row],[Man_Ausschluss]]&lt;&gt;0),1,0)</f>
        <v>1</v>
      </c>
      <c r="AI200" s="178" cm="1">
        <f t="array" aca="1" ref="AI200" ca="1">IF(Table24[[#This Row],[gültig]]&lt;&gt;0,
IF(V200=MIN(_xlfn._xlws.FILTER($V$2:$V$282,($P$2:$P$282=P200))),1,
IF(V200=MAX(_xlfn._xlws.FILTER($V$2:$V$282,($P$2:$P$282=P200))),1,0)),0)</f>
        <v>0</v>
      </c>
      <c r="AJ200" s="180"/>
      <c r="AK200" s="2"/>
      <c r="AL200" s="2"/>
    </row>
    <row r="201" spans="1:38" x14ac:dyDescent="0.45">
      <c r="A201" s="199" t="s">
        <v>586</v>
      </c>
      <c r="B201" s="200" t="s">
        <v>518</v>
      </c>
      <c r="C201" s="117">
        <v>202</v>
      </c>
      <c r="D201" s="201" t="s">
        <v>585</v>
      </c>
      <c r="E201" s="202" t="s">
        <v>587</v>
      </c>
      <c r="F201" s="202"/>
      <c r="G201" s="203">
        <v>45861</v>
      </c>
      <c r="H201" s="203">
        <v>47686</v>
      </c>
      <c r="I201" s="203" t="s">
        <v>242</v>
      </c>
      <c r="J201" s="280" t="s">
        <v>242</v>
      </c>
      <c r="K201" s="205" t="s">
        <v>99</v>
      </c>
      <c r="L201" s="281" t="s">
        <v>328</v>
      </c>
      <c r="M201" s="319" t="s">
        <v>315</v>
      </c>
      <c r="N201" s="207" t="s">
        <v>321</v>
      </c>
      <c r="O201" s="316" t="s">
        <v>416</v>
      </c>
      <c r="P201" s="96" t="s">
        <v>538</v>
      </c>
      <c r="Q201" s="96">
        <v>450</v>
      </c>
      <c r="R201" s="211" t="s">
        <v>416</v>
      </c>
      <c r="S201" s="211" t="s">
        <v>416</v>
      </c>
      <c r="T201" s="211" t="s">
        <v>416</v>
      </c>
      <c r="U201" s="214" t="s">
        <v>416</v>
      </c>
      <c r="V201" s="83">
        <f>SUM(Table24[[#This Row],[A1toA3_GWP]:[C1toC4_GWP]])</f>
        <v>246.08888888888896</v>
      </c>
      <c r="W201" s="83">
        <f>VLOOKUP(Table24[[#This Row],[Country PRODUCTION]],[1]Sheet1!$B$11:$F$30,4,FALSE)+Table24[[#This Row],[Total_GWP]]</f>
        <v>316.28888888888895</v>
      </c>
      <c r="X201" s="83">
        <f>VLOOKUP(Table24[[#This Row],[Country PRODUCTION]],[1]Sheet1!$B$11:$F$30,5,FALSE)+Table24[[#This Row],[Total_GWP]]</f>
        <v>253.28888888888895</v>
      </c>
      <c r="Y201" s="83">
        <f>Table24[[#This Row],[Total_GWP]]*Table24[[#This Row],[DENSITY]]/1000</f>
        <v>110.74000000000002</v>
      </c>
      <c r="Z201" s="123">
        <f>(-6.26*10^2)/Table24[[#This Row],[DENSITY]]*1000</f>
        <v>-1391.1111111111111</v>
      </c>
      <c r="AA201" s="81">
        <f>(1.74*10^0+7.35*10^2)/Table24[[#This Row],[DENSITY]]*1000</f>
        <v>1637.2</v>
      </c>
      <c r="AB201" s="83">
        <f>SUM(Table24[[#This Row],[A1toA3_GWP-biogenic]:[C1toC4_GWP-biogenic]])</f>
        <v>6.6757111111112408</v>
      </c>
      <c r="AC201" s="83">
        <f>Table24[[#This Row],[GWP-biogenic]]*Table24[[#This Row],[DENSITY]]/1000</f>
        <v>3.0040700000000582</v>
      </c>
      <c r="AD201" s="83">
        <f>(-730)/Table24[[#This Row],[DENSITY]]*1000</f>
        <v>-1622.2222222222222</v>
      </c>
      <c r="AE201" s="85">
        <f>(4.07*10^-3+733)/Table24[[#This Row],[DENSITY]]*1000</f>
        <v>1628.8979333333334</v>
      </c>
      <c r="AF201" s="92">
        <f ca="1">IF(OR($E201="Ecoinvent",$E201="Betonsortenrechner",$E201="KBOB",$V201&lt;=0,Table24[[#This Row],[VALID_TO]]&lt;=TODAY()),0,1)</f>
        <v>1</v>
      </c>
      <c r="AG201" s="92">
        <v>1</v>
      </c>
      <c r="AH201" s="92">
        <f ca="1">IF(AND(Table24[[#This Row],[ValidEPD]]&lt;&gt;0,Table24[[#This Row],[Man_Ausschluss]]&lt;&gt;0),1,0)</f>
        <v>1</v>
      </c>
      <c r="AI201" s="178" cm="1">
        <f t="array" aca="1" ref="AI201" ca="1">IF(Table24[[#This Row],[gültig]]&lt;&gt;0,
IF(V201=MIN(_xlfn._xlws.FILTER($V$2:$V$282,($P$2:$P$282=P201))),1,
IF(V201=MAX(_xlfn._xlws.FILTER($V$2:$V$282,($P$2:$P$282=P201))),1,0)),0)</f>
        <v>1</v>
      </c>
      <c r="AJ201" s="180"/>
      <c r="AK201" s="2"/>
      <c r="AL201" s="2"/>
    </row>
    <row r="202" spans="1:38" x14ac:dyDescent="0.45">
      <c r="A202" s="199" t="s">
        <v>586</v>
      </c>
      <c r="B202" s="200" t="s">
        <v>519</v>
      </c>
      <c r="C202" s="117">
        <v>203</v>
      </c>
      <c r="D202" s="201" t="s">
        <v>585</v>
      </c>
      <c r="E202" s="202" t="s">
        <v>587</v>
      </c>
      <c r="F202" s="202"/>
      <c r="G202" s="203">
        <v>45861</v>
      </c>
      <c r="H202" s="203">
        <v>47686</v>
      </c>
      <c r="I202" s="203" t="s">
        <v>242</v>
      </c>
      <c r="J202" s="280" t="s">
        <v>242</v>
      </c>
      <c r="K202" s="205" t="s">
        <v>99</v>
      </c>
      <c r="L202" s="281" t="s">
        <v>328</v>
      </c>
      <c r="M202" s="319" t="s">
        <v>315</v>
      </c>
      <c r="N202" s="207" t="s">
        <v>321</v>
      </c>
      <c r="O202" s="316" t="s">
        <v>416</v>
      </c>
      <c r="P202" s="96" t="s">
        <v>522</v>
      </c>
      <c r="Q202" s="96">
        <v>450</v>
      </c>
      <c r="R202" s="211" t="s">
        <v>416</v>
      </c>
      <c r="S202" s="211" t="s">
        <v>416</v>
      </c>
      <c r="T202" s="211" t="s">
        <v>416</v>
      </c>
      <c r="U202" s="214" t="s">
        <v>416</v>
      </c>
      <c r="V202" s="83">
        <f>SUM(Table24[[#This Row],[A1toA3_GWP]:[C1toC4_GWP]])</f>
        <v>246.08888888888896</v>
      </c>
      <c r="W202" s="83">
        <f>VLOOKUP(Table24[[#This Row],[Country PRODUCTION]],[1]Sheet1!$B$11:$F$30,4,FALSE)+Table24[[#This Row],[Total_GWP]]</f>
        <v>316.28888888888895</v>
      </c>
      <c r="X202" s="83">
        <f>VLOOKUP(Table24[[#This Row],[Country PRODUCTION]],[1]Sheet1!$B$11:$F$30,5,FALSE)+Table24[[#This Row],[Total_GWP]]</f>
        <v>253.28888888888895</v>
      </c>
      <c r="Y202" s="83">
        <f>Table24[[#This Row],[Total_GWP]]*Table24[[#This Row],[DENSITY]]/1000</f>
        <v>110.74000000000002</v>
      </c>
      <c r="Z202" s="149">
        <f>(-6.26*10^2)/Table24[[#This Row],[DENSITY]]*1000</f>
        <v>-1391.1111111111111</v>
      </c>
      <c r="AA202" s="81">
        <f>(1.74*10^0+7.35*10^2)/Table24[[#This Row],[DENSITY]]*1000</f>
        <v>1637.2</v>
      </c>
      <c r="AB202" s="83">
        <f>SUM(Table24[[#This Row],[A1toA3_GWP-biogenic]:[C1toC4_GWP-biogenic]])</f>
        <v>6.6757111111112408</v>
      </c>
      <c r="AC202" s="83">
        <f>Table24[[#This Row],[GWP-biogenic]]*Table24[[#This Row],[DENSITY]]/1000</f>
        <v>3.0040700000000582</v>
      </c>
      <c r="AD202" s="83">
        <f>(-730)/Table24[[#This Row],[DENSITY]]*1000</f>
        <v>-1622.2222222222222</v>
      </c>
      <c r="AE202" s="85">
        <f>(4.07*10^-3+733)/Table24[[#This Row],[DENSITY]]*1000</f>
        <v>1628.8979333333334</v>
      </c>
      <c r="AF202" s="92">
        <f ca="1">IF(OR($E202="Ecoinvent",$E202="Betonsortenrechner",$E202="KBOB",$V202&lt;=0,Table24[[#This Row],[VALID_TO]]&lt;=TODAY()),0,1)</f>
        <v>1</v>
      </c>
      <c r="AG202" s="92">
        <v>1</v>
      </c>
      <c r="AH202" s="92">
        <f ca="1">IF(AND(Table24[[#This Row],[ValidEPD]]&lt;&gt;0,Table24[[#This Row],[Man_Ausschluss]]&lt;&gt;0),1,0)</f>
        <v>1</v>
      </c>
      <c r="AI202" s="178" cm="1">
        <f t="array" aca="1" ref="AI202" ca="1">IF(Table24[[#This Row],[gültig]]&lt;&gt;0,
IF(V202=MIN(_xlfn._xlws.FILTER($V$2:$V$282,($P$2:$P$282=P202))),1,
IF(V202=MAX(_xlfn._xlws.FILTER($V$2:$V$282,($P$2:$P$282=P202))),1,0)),0)</f>
        <v>1</v>
      </c>
      <c r="AJ202" s="180"/>
      <c r="AK202" s="2"/>
      <c r="AL202" s="2"/>
    </row>
    <row r="203" spans="1:38" x14ac:dyDescent="0.45">
      <c r="A203" s="199" t="s">
        <v>586</v>
      </c>
      <c r="B203" s="200" t="s">
        <v>520</v>
      </c>
      <c r="C203" s="117">
        <v>204</v>
      </c>
      <c r="D203" s="201" t="s">
        <v>585</v>
      </c>
      <c r="E203" s="202" t="s">
        <v>587</v>
      </c>
      <c r="F203" s="202"/>
      <c r="G203" s="203">
        <v>45861</v>
      </c>
      <c r="H203" s="203">
        <v>47686</v>
      </c>
      <c r="I203" s="203" t="s">
        <v>242</v>
      </c>
      <c r="J203" s="280" t="s">
        <v>242</v>
      </c>
      <c r="K203" s="205" t="s">
        <v>99</v>
      </c>
      <c r="L203" s="281" t="s">
        <v>328</v>
      </c>
      <c r="M203" s="319" t="s">
        <v>315</v>
      </c>
      <c r="N203" s="207" t="s">
        <v>321</v>
      </c>
      <c r="O203" s="316" t="s">
        <v>416</v>
      </c>
      <c r="P203" s="96" t="s">
        <v>588</v>
      </c>
      <c r="Q203" s="96">
        <v>450</v>
      </c>
      <c r="R203" s="211" t="s">
        <v>416</v>
      </c>
      <c r="S203" s="211" t="s">
        <v>416</v>
      </c>
      <c r="T203" s="211" t="s">
        <v>416</v>
      </c>
      <c r="U203" s="214" t="s">
        <v>416</v>
      </c>
      <c r="V203" s="83">
        <f>SUM(Table24[[#This Row],[A1toA3_GWP]:[C1toC4_GWP]])</f>
        <v>246.08888888888896</v>
      </c>
      <c r="W203" s="83">
        <f>VLOOKUP(Table24[[#This Row],[Country PRODUCTION]],[1]Sheet1!$B$11:$F$30,4,FALSE)+Table24[[#This Row],[Total_GWP]]</f>
        <v>316.28888888888895</v>
      </c>
      <c r="X203" s="83">
        <f>VLOOKUP(Table24[[#This Row],[Country PRODUCTION]],[1]Sheet1!$B$11:$F$30,5,FALSE)+Table24[[#This Row],[Total_GWP]]</f>
        <v>253.28888888888895</v>
      </c>
      <c r="Y203" s="83">
        <f>Table24[[#This Row],[Total_GWP]]*Table24[[#This Row],[DENSITY]]/1000</f>
        <v>110.74000000000002</v>
      </c>
      <c r="Z203" s="149">
        <f>(-6.26*10^2)/Table24[[#This Row],[DENSITY]]*1000</f>
        <v>-1391.1111111111111</v>
      </c>
      <c r="AA203" s="81">
        <f>(1.74*10^0+7.35*10^2)/Table24[[#This Row],[DENSITY]]*1000</f>
        <v>1637.2</v>
      </c>
      <c r="AB203" s="83">
        <f>SUM(Table24[[#This Row],[A1toA3_GWP-biogenic]:[C1toC4_GWP-biogenic]])</f>
        <v>6.6757111111112408</v>
      </c>
      <c r="AC203" s="83">
        <f>Table24[[#This Row],[GWP-biogenic]]*Table24[[#This Row],[DENSITY]]/1000</f>
        <v>3.0040700000000582</v>
      </c>
      <c r="AD203" s="83">
        <f>(-730)/Table24[[#This Row],[DENSITY]]*1000</f>
        <v>-1622.2222222222222</v>
      </c>
      <c r="AE203" s="85">
        <f>(4.07*10^-3+733)/Table24[[#This Row],[DENSITY]]*1000</f>
        <v>1628.8979333333334</v>
      </c>
      <c r="AF203" s="92">
        <f ca="1">IF(OR($E203="Ecoinvent",$E203="Betonsortenrechner",$E203="KBOB",$V203&lt;=0,Table24[[#This Row],[VALID_TO]]&lt;=TODAY()),0,1)</f>
        <v>1</v>
      </c>
      <c r="AG203" s="92">
        <v>1</v>
      </c>
      <c r="AH203" s="92">
        <f ca="1">IF(AND(Table24[[#This Row],[ValidEPD]]&lt;&gt;0,Table24[[#This Row],[Man_Ausschluss]]&lt;&gt;0),1,0)</f>
        <v>1</v>
      </c>
      <c r="AI203" s="178" cm="1">
        <f t="array" aca="1" ref="AI203" ca="1">IF(Table24[[#This Row],[gültig]]&lt;&gt;0,
IF(V203=MIN(_xlfn._xlws.FILTER($V$2:$V$282,($P$2:$P$282=P203))),1,
IF(V203=MAX(_xlfn._xlws.FILTER($V$2:$V$282,($P$2:$P$282=P203))),1,0)),0)</f>
        <v>1</v>
      </c>
      <c r="AJ203" s="180"/>
      <c r="AK203" s="2"/>
      <c r="AL203" s="2"/>
    </row>
    <row r="204" spans="1:38" x14ac:dyDescent="0.45">
      <c r="A204" s="199" t="s">
        <v>589</v>
      </c>
      <c r="B204" s="200"/>
      <c r="C204" s="115">
        <v>205</v>
      </c>
      <c r="D204" s="201" t="s">
        <v>590</v>
      </c>
      <c r="E204" s="202" t="s">
        <v>591</v>
      </c>
      <c r="F204" s="202"/>
      <c r="G204" s="203">
        <v>45391</v>
      </c>
      <c r="H204" s="203">
        <v>47216</v>
      </c>
      <c r="I204" s="203" t="s">
        <v>242</v>
      </c>
      <c r="J204" s="280" t="s">
        <v>242</v>
      </c>
      <c r="K204" s="205" t="s">
        <v>113</v>
      </c>
      <c r="L204" s="281" t="s">
        <v>491</v>
      </c>
      <c r="M204" s="319" t="s">
        <v>315</v>
      </c>
      <c r="N204" s="207" t="s">
        <v>494</v>
      </c>
      <c r="O204" s="316" t="s">
        <v>416</v>
      </c>
      <c r="P204" s="96" t="s">
        <v>114</v>
      </c>
      <c r="Q204" s="96">
        <v>420</v>
      </c>
      <c r="R204" s="211" t="s">
        <v>416</v>
      </c>
      <c r="S204" s="211" t="s">
        <v>416</v>
      </c>
      <c r="T204" s="211" t="s">
        <v>416</v>
      </c>
      <c r="U204" s="214" t="s">
        <v>416</v>
      </c>
      <c r="V204" s="83">
        <f>SUM(Table24[[#This Row],[A1toA3_GWP]:[C1toC4_GWP]])</f>
        <v>299.54761904761904</v>
      </c>
      <c r="W204" s="83">
        <f>VLOOKUP(Table24[[#This Row],[Country PRODUCTION]],[1]Sheet1!$B$11:$F$30,4,FALSE)+Table24[[#This Row],[Total_GWP]]</f>
        <v>369.74761904761903</v>
      </c>
      <c r="X204" s="83">
        <f>VLOOKUP(Table24[[#This Row],[Country PRODUCTION]],[1]Sheet1!$B$11:$F$30,5,FALSE)+Table24[[#This Row],[Total_GWP]]</f>
        <v>306.74761904761903</v>
      </c>
      <c r="Y204" s="83">
        <f>Table24[[#This Row],[Total_GWP]]*Table24[[#This Row],[DENSITY]]/1000</f>
        <v>125.81</v>
      </c>
      <c r="Z204" s="149">
        <f>(-6.42*10^2)/Table24[[#This Row],[DENSITY]]*1000</f>
        <v>-1528.5714285714284</v>
      </c>
      <c r="AA204" s="81">
        <f>(1.81*10^0+7.66*10^2)/Table24[[#This Row],[DENSITY]]*1000</f>
        <v>1828.1190476190475</v>
      </c>
      <c r="AB204" s="83">
        <f>SUM(Table24[[#This Row],[A1toA3_GWP-biogenic]:[C1toC4_GWP-biogenic]])</f>
        <v>7.3095238095238528</v>
      </c>
      <c r="AC204" s="83">
        <f>Table24[[#This Row],[GWP-biogenic]]*Table24[[#This Row],[DENSITY]]/1000</f>
        <v>3.070000000000018</v>
      </c>
      <c r="AD204" s="83">
        <f>(-760)/Table24[[#This Row],[DENSITY]]*1000</f>
        <v>-1809.5238095238096</v>
      </c>
      <c r="AE204" s="85">
        <f>(7*10^-2+763)/Table24[[#This Row],[DENSITY]]*1000</f>
        <v>1816.8333333333335</v>
      </c>
      <c r="AF204" s="92">
        <f ca="1">IF(OR($E204="Ecoinvent",$E204="Betonsortenrechner",$E204="KBOB",$V204&lt;=0,Table24[[#This Row],[VALID_TO]]&lt;=TODAY()),0,1)</f>
        <v>1</v>
      </c>
      <c r="AG204" s="92">
        <v>1</v>
      </c>
      <c r="AH204" s="92">
        <f ca="1">IF(AND(Table24[[#This Row],[ValidEPD]]&lt;&gt;0,Table24[[#This Row],[Man_Ausschluss]]&lt;&gt;0),1,0)</f>
        <v>1</v>
      </c>
      <c r="AI204" s="178" cm="1">
        <f t="array" aca="1" ref="AI204" ca="1">IF(Table24[[#This Row],[gültig]]&lt;&gt;0,
IF(V204=MIN(_xlfn._xlws.FILTER($V$2:$V$282,($P$2:$P$282=P204))),1,
IF(V204=MAX(_xlfn._xlws.FILTER($V$2:$V$282,($P$2:$P$282=P204))),1,0)),0)</f>
        <v>0</v>
      </c>
      <c r="AJ204" s="180"/>
      <c r="AK204" s="2"/>
      <c r="AL204" s="2"/>
    </row>
    <row r="205" spans="1:38" x14ac:dyDescent="0.45">
      <c r="A205" s="199" t="s">
        <v>592</v>
      </c>
      <c r="B205" s="200" t="s">
        <v>502</v>
      </c>
      <c r="C205" s="117">
        <v>206</v>
      </c>
      <c r="D205" s="210" t="s">
        <v>593</v>
      </c>
      <c r="E205" s="211" t="s">
        <v>594</v>
      </c>
      <c r="F205" s="211"/>
      <c r="G205" s="212">
        <v>45849</v>
      </c>
      <c r="H205" s="212">
        <v>47674</v>
      </c>
      <c r="I205" s="203" t="s">
        <v>242</v>
      </c>
      <c r="J205" s="280" t="s">
        <v>242</v>
      </c>
      <c r="K205" s="205" t="s">
        <v>595</v>
      </c>
      <c r="L205" s="281" t="s">
        <v>491</v>
      </c>
      <c r="M205" s="319" t="s">
        <v>315</v>
      </c>
      <c r="N205" s="207" t="s">
        <v>494</v>
      </c>
      <c r="O205" s="316" t="s">
        <v>416</v>
      </c>
      <c r="P205" s="96" t="s">
        <v>395</v>
      </c>
      <c r="Q205" s="120">
        <v>493.3</v>
      </c>
      <c r="R205" s="211" t="s">
        <v>416</v>
      </c>
      <c r="S205" s="211" t="s">
        <v>416</v>
      </c>
      <c r="T205" s="211" t="s">
        <v>416</v>
      </c>
      <c r="U205" s="214" t="s">
        <v>416</v>
      </c>
      <c r="V205" s="317">
        <f>SUM(Table24[[#This Row],[A1toA3_GWP]:[C1toC4_GWP]])</f>
        <v>218.60936549766916</v>
      </c>
      <c r="W205" s="317">
        <f>VLOOKUP(Table24[[#This Row],[Country PRODUCTION]],[1]Sheet1!$B$11:$F$30,4,FALSE)+Table24[[#This Row],[Total_GWP]]</f>
        <v>288.80936549766915</v>
      </c>
      <c r="X205" s="317">
        <f>VLOOKUP(Table24[[#This Row],[Country PRODUCTION]],[1]Sheet1!$B$11:$F$30,5,FALSE)+Table24[[#This Row],[Total_GWP]]</f>
        <v>225.80936549766915</v>
      </c>
      <c r="Y205" s="317">
        <f>Table24[[#This Row],[Total_GWP]]*Table24[[#This Row],[DENSITY]]/1000</f>
        <v>107.8400000000002</v>
      </c>
      <c r="Z205" s="318">
        <f>(-7.19*10^2)/Table24[[#This Row],[DENSITY]]*1000</f>
        <v>-1457.530914250963</v>
      </c>
      <c r="AA205" s="119">
        <f>(3.2*10^-1+5.52*10^0+8.21*10^2)/Table24[[#This Row],[DENSITY]]*1000</f>
        <v>1676.1402797486321</v>
      </c>
      <c r="AB205" s="83">
        <f>SUM(Table24[[#This Row],[A1toA3_GWP-biogenic]:[C1toC4_GWP-biogenic]])</f>
        <v>0</v>
      </c>
      <c r="AC205" s="83">
        <f>Table24[[#This Row],[GWP-biogenic]]*Table24[[#This Row],[DENSITY]]/1000</f>
        <v>0</v>
      </c>
      <c r="AD205" s="83">
        <f>(-807)/Table24[[#This Row],[DENSITY]]*1000</f>
        <v>-1635.9213460368944</v>
      </c>
      <c r="AE205" s="85">
        <f>(807)/Table24[[#This Row],[DENSITY]]*1000</f>
        <v>1635.9213460368944</v>
      </c>
      <c r="AF205" s="92">
        <f ca="1">IF(OR($E205="Ecoinvent",$E205="Betonsortenrechner",$E205="KBOB",$V205&lt;=0,Table24[[#This Row],[VALID_TO]]&lt;=TODAY()),0,1)</f>
        <v>1</v>
      </c>
      <c r="AG205" s="92">
        <v>1</v>
      </c>
      <c r="AH205" s="92">
        <f ca="1">IF(AND(Table24[[#This Row],[ValidEPD]]&lt;&gt;0,Table24[[#This Row],[Man_Ausschluss]]&lt;&gt;0),1,0)</f>
        <v>1</v>
      </c>
      <c r="AI205" s="178" cm="1">
        <f t="array" aca="1" ref="AI205" ca="1">IF(Table24[[#This Row],[gültig]]&lt;&gt;0,
IF(V205=MIN(_xlfn._xlws.FILTER($V$2:$V$282,($P$2:$P$282=P205))),1,
IF(V205=MAX(_xlfn._xlws.FILTER($V$2:$V$282,($P$2:$P$282=P205))),1,0)),0)</f>
        <v>1</v>
      </c>
      <c r="AJ205" s="180"/>
      <c r="AK205" s="118"/>
      <c r="AL205" s="2"/>
    </row>
    <row r="206" spans="1:38" x14ac:dyDescent="0.45">
      <c r="A206" s="199" t="s">
        <v>592</v>
      </c>
      <c r="B206" s="200" t="s">
        <v>518</v>
      </c>
      <c r="C206" s="117">
        <v>207</v>
      </c>
      <c r="D206" s="201" t="s">
        <v>593</v>
      </c>
      <c r="E206" s="202" t="s">
        <v>594</v>
      </c>
      <c r="F206" s="202"/>
      <c r="G206" s="203">
        <v>45849</v>
      </c>
      <c r="H206" s="203">
        <v>47674</v>
      </c>
      <c r="I206" s="203" t="s">
        <v>242</v>
      </c>
      <c r="J206" s="280" t="s">
        <v>242</v>
      </c>
      <c r="K206" s="205" t="s">
        <v>595</v>
      </c>
      <c r="L206" s="281" t="s">
        <v>491</v>
      </c>
      <c r="M206" s="319" t="s">
        <v>315</v>
      </c>
      <c r="N206" s="207" t="s">
        <v>494</v>
      </c>
      <c r="O206" s="316" t="s">
        <v>416</v>
      </c>
      <c r="P206" s="96" t="s">
        <v>114</v>
      </c>
      <c r="Q206" s="96">
        <v>493.3</v>
      </c>
      <c r="R206" s="211" t="s">
        <v>416</v>
      </c>
      <c r="S206" s="211" t="s">
        <v>416</v>
      </c>
      <c r="T206" s="211" t="s">
        <v>416</v>
      </c>
      <c r="U206" s="214" t="s">
        <v>416</v>
      </c>
      <c r="V206" s="83">
        <f>SUM(Table24[[#This Row],[A1toA3_GWP]:[C1toC4_GWP]])</f>
        <v>218.60936549766916</v>
      </c>
      <c r="W206" s="83">
        <f>VLOOKUP(Table24[[#This Row],[Country PRODUCTION]],[1]Sheet1!$B$11:$F$30,4,FALSE)+Table24[[#This Row],[Total_GWP]]</f>
        <v>288.80936549766915</v>
      </c>
      <c r="X206" s="83">
        <f>VLOOKUP(Table24[[#This Row],[Country PRODUCTION]],[1]Sheet1!$B$11:$F$30,5,FALSE)+Table24[[#This Row],[Total_GWP]]</f>
        <v>225.80936549766915</v>
      </c>
      <c r="Y206" s="83">
        <f>Table24[[#This Row],[Total_GWP]]*Table24[[#This Row],[DENSITY]]/1000</f>
        <v>107.8400000000002</v>
      </c>
      <c r="Z206" s="149">
        <f>(-7.19*10^2)/Table24[[#This Row],[DENSITY]]*1000</f>
        <v>-1457.530914250963</v>
      </c>
      <c r="AA206" s="81">
        <f>(3.2*10^-1+5.52*10^0+8.21*10^2)/Table24[[#This Row],[DENSITY]]*1000</f>
        <v>1676.1402797486321</v>
      </c>
      <c r="AB206" s="83">
        <f>SUM(Table24[[#This Row],[A1toA3_GWP-biogenic]:[C1toC4_GWP-biogenic]])</f>
        <v>0</v>
      </c>
      <c r="AC206" s="83">
        <f>Table24[[#This Row],[GWP-biogenic]]*Table24[[#This Row],[DENSITY]]/1000</f>
        <v>0</v>
      </c>
      <c r="AD206" s="83">
        <f>(-807)/Table24[[#This Row],[DENSITY]]*1000</f>
        <v>-1635.9213460368944</v>
      </c>
      <c r="AE206" s="85">
        <f>(807)/Table24[[#This Row],[DENSITY]]*1000</f>
        <v>1635.9213460368944</v>
      </c>
      <c r="AF206" s="92">
        <f ca="1">IF(OR($E206="Ecoinvent",$E206="Betonsortenrechner",$E206="KBOB",$V206&lt;=0,Table24[[#This Row],[VALID_TO]]&lt;=TODAY()),0,1)</f>
        <v>1</v>
      </c>
      <c r="AG206" s="92">
        <v>1</v>
      </c>
      <c r="AH206" s="92">
        <f ca="1">IF(AND(Table24[[#This Row],[ValidEPD]]&lt;&gt;0,Table24[[#This Row],[Man_Ausschluss]]&lt;&gt;0),1,0)</f>
        <v>1</v>
      </c>
      <c r="AI206" s="178" cm="1">
        <f t="array" aca="1" ref="AI206" ca="1">IF(Table24[[#This Row],[gültig]]&lt;&gt;0,
IF(V206=MIN(_xlfn._xlws.FILTER($V$2:$V$282,($P$2:$P$282=P206))),1,
IF(V206=MAX(_xlfn._xlws.FILTER($V$2:$V$282,($P$2:$P$282=P206))),1,0)),0)</f>
        <v>0</v>
      </c>
      <c r="AJ206" s="180"/>
      <c r="AK206" s="2"/>
      <c r="AL206" s="2"/>
    </row>
    <row r="207" spans="1:38" s="165" customFormat="1" x14ac:dyDescent="0.45">
      <c r="A207" s="199" t="s">
        <v>596</v>
      </c>
      <c r="B207" s="200"/>
      <c r="C207" s="115">
        <v>208</v>
      </c>
      <c r="D207" s="201" t="s">
        <v>597</v>
      </c>
      <c r="E207" s="211" t="s">
        <v>105</v>
      </c>
      <c r="F207" s="202"/>
      <c r="G207" s="203">
        <v>45105</v>
      </c>
      <c r="H207" s="203">
        <v>46931</v>
      </c>
      <c r="I207" s="203" t="s">
        <v>294</v>
      </c>
      <c r="J207" s="280" t="s">
        <v>610</v>
      </c>
      <c r="K207" s="205" t="s">
        <v>113</v>
      </c>
      <c r="L207" s="281" t="s">
        <v>491</v>
      </c>
      <c r="M207" s="319" t="s">
        <v>315</v>
      </c>
      <c r="N207" s="207" t="s">
        <v>494</v>
      </c>
      <c r="O207" s="316" t="s">
        <v>416</v>
      </c>
      <c r="P207" s="96" t="s">
        <v>114</v>
      </c>
      <c r="Q207" s="96">
        <v>493</v>
      </c>
      <c r="R207" s="211" t="s">
        <v>416</v>
      </c>
      <c r="S207" s="211" t="s">
        <v>416</v>
      </c>
      <c r="T207" s="211" t="s">
        <v>416</v>
      </c>
      <c r="U207" s="214" t="s">
        <v>416</v>
      </c>
      <c r="V207" s="83">
        <f>SUM(Table24[[#This Row],[A1toA3_GWP]:[C1toC4_GWP]])</f>
        <v>303.36713995943228</v>
      </c>
      <c r="W207" s="123">
        <f>VLOOKUP("AT",[1]Sheet1!$B$11:$F$30,4,FALSE)+Table24[[#This Row],[Total_GWP]]</f>
        <v>373.56713995943227</v>
      </c>
      <c r="X207" s="123">
        <f>VLOOKUP("AT",[1]Sheet1!$B$11:$F$30,5,FALSE)+Table24[[#This Row],[Total_GWP]]</f>
        <v>310.56713995943227</v>
      </c>
      <c r="Y207" s="83">
        <f>Table24[[#This Row],[Total_GWP]]*Table24[[#This Row],[DENSITY]]/1000</f>
        <v>149.56000000000012</v>
      </c>
      <c r="Z207" s="149">
        <f>(-6.65*10^2)/Table24[[#This Row],[DENSITY]]*1000</f>
        <v>-1348.8843813387423</v>
      </c>
      <c r="AA207" s="81">
        <f>(1.56*10^0+8.13*10^2)/Table24[[#This Row],[DENSITY]]*1000</f>
        <v>1652.2515212981746</v>
      </c>
      <c r="AB207" s="83">
        <f>SUM(Table24[[#This Row],[A1toA3_GWP-biogenic]:[C1toC4_GWP-biogenic]])</f>
        <v>6.2164300202841787</v>
      </c>
      <c r="AC207" s="83">
        <f>Table24[[#This Row],[GWP-biogenic]]*Table24[[#This Row],[DENSITY]]/1000</f>
        <v>3.0647000000000997</v>
      </c>
      <c r="AD207" s="83">
        <f>(-806)/Table24[[#This Row],[DENSITY]]*1000</f>
        <v>-1634.8884381338742</v>
      </c>
      <c r="AE207" s="85">
        <f>(6.47*10^-2+8.09*10^2)/Table24[[#This Row],[DENSITY]]*1000</f>
        <v>1641.1048681541583</v>
      </c>
      <c r="AF207" s="92">
        <f ca="1">IF(OR($E207="Ecoinvent",$E207="Betonsortenrechner",$E207="KBOB",$V207&lt;=0,Table24[[#This Row],[VALID_TO]]&lt;=TODAY()),0,1)</f>
        <v>1</v>
      </c>
      <c r="AG207" s="92">
        <v>1</v>
      </c>
      <c r="AH207" s="92">
        <f ca="1">IF(AND(Table24[[#This Row],[ValidEPD]]&lt;&gt;0,Table24[[#This Row],[Man_Ausschluss]]&lt;&gt;0),1,0)</f>
        <v>1</v>
      </c>
      <c r="AI207" s="178" cm="1">
        <f t="array" aca="1" ref="AI207" ca="1">IF(Table24[[#This Row],[gültig]]&lt;&gt;0,
IF(V207=MIN(_xlfn._xlws.FILTER($V$2:$V$282,($P$2:$P$282=P207))),1,
IF(V207=MAX(_xlfn._xlws.FILTER($V$2:$V$282,($P$2:$P$282=P207))),1,0)),0)</f>
        <v>0</v>
      </c>
      <c r="AJ207" s="180"/>
      <c r="AK207" s="2"/>
      <c r="AL207" s="2"/>
    </row>
    <row r="208" spans="1:38" s="165" customFormat="1" x14ac:dyDescent="0.45">
      <c r="A208" s="155" t="s">
        <v>774</v>
      </c>
      <c r="B208" s="200"/>
      <c r="C208" s="117">
        <v>209</v>
      </c>
      <c r="D208" s="210" t="s">
        <v>773</v>
      </c>
      <c r="E208" s="211" t="s">
        <v>284</v>
      </c>
      <c r="F208" s="211"/>
      <c r="G208" s="212">
        <v>45792</v>
      </c>
      <c r="H208" s="212">
        <v>47617</v>
      </c>
      <c r="I208" s="212" t="s">
        <v>266</v>
      </c>
      <c r="J208" s="280" t="s">
        <v>266</v>
      </c>
      <c r="K208" s="213" t="s">
        <v>116</v>
      </c>
      <c r="L208" s="281" t="s">
        <v>330</v>
      </c>
      <c r="M208" s="201" t="s">
        <v>315</v>
      </c>
      <c r="N208" s="207" t="s">
        <v>323</v>
      </c>
      <c r="O208" s="208" t="s">
        <v>416</v>
      </c>
      <c r="P208" s="120" t="s">
        <v>114</v>
      </c>
      <c r="Q208" s="120">
        <f>AVERAGE(420,460)</f>
        <v>440</v>
      </c>
      <c r="R208" s="211" t="s">
        <v>416</v>
      </c>
      <c r="S208" s="211" t="s">
        <v>416</v>
      </c>
      <c r="T208" s="211" t="s">
        <v>416</v>
      </c>
      <c r="U208" s="214" t="s">
        <v>416</v>
      </c>
      <c r="V208" s="311">
        <f>SUM(Table24[[#This Row],[A1toA3_GWP]:[C1toC4_GWP]])</f>
        <v>462.72727272727298</v>
      </c>
      <c r="W208" s="317">
        <f>VLOOKUP(Table24[[#This Row],[Country PRODUCTION]],[1]Sheet1!$B$11:$F$30,4,FALSE)+Table24[[#This Row],[Total_GWP]]</f>
        <v>538.77727272727293</v>
      </c>
      <c r="X208" s="317">
        <f>VLOOKUP(Table24[[#This Row],[Country PRODUCTION]],[1]Sheet1!$B$11:$F$30,5,FALSE)+Table24[[#This Row],[Total_GWP]]</f>
        <v>470.52727272727299</v>
      </c>
      <c r="Y208" s="83">
        <f>Table24[[#This Row],[Total_GWP]]*Table24[[#This Row],[DENSITY]]/1000</f>
        <v>203.60000000000011</v>
      </c>
      <c r="Z208" s="311">
        <f>(-665+21.2+34)/Table24[[#This Row],[DENSITY]]*1000</f>
        <v>-1385.9090909090908</v>
      </c>
      <c r="AA208" s="119">
        <f>(7.04*10-1+7.44*10^2)/Table24[[#This Row],[DENSITY]]*1000</f>
        <v>1848.6363636363637</v>
      </c>
      <c r="AB208" s="83">
        <f>SUM(Table24[[#This Row],[A1toA3_GWP-biogenic]:[C1toC4_GWP-biogenic]])</f>
        <v>-0.60245454545474786</v>
      </c>
      <c r="AC208" s="83">
        <f>Table24[[#This Row],[GWP-biogenic]]*Table24[[#This Row],[DENSITY]]/1000</f>
        <v>-0.26508000000008908</v>
      </c>
      <c r="AD208" s="83">
        <f>(-7.34*10^2+6.67*10^-2+2.66*10^-1)/Table24[[#This Row],[DENSITY]]*1000</f>
        <v>-1667.4256818181821</v>
      </c>
      <c r="AE208" s="85">
        <f>(2.22*10^-3+7.334*10^2)/Table24[[#This Row],[DENSITY]]*1000</f>
        <v>1666.8232272727273</v>
      </c>
      <c r="AF208" s="92">
        <f ca="1">IF(OR($E208="Ecoinvent",$E208="Betonsortenrechner",$E208="KBOB",$V208&lt;=0,Table24[[#This Row],[VALID_TO]]&lt;=TODAY()),0,1)</f>
        <v>1</v>
      </c>
      <c r="AG208" s="92">
        <v>1</v>
      </c>
      <c r="AH208" s="92">
        <f ca="1">IF(AND(Table24[[#This Row],[ValidEPD]]&lt;&gt;0,Table24[[#This Row],[Man_Ausschluss]]&lt;&gt;0),1,0)</f>
        <v>1</v>
      </c>
      <c r="AI208" s="178" cm="1">
        <f t="array" aca="1" ref="AI208" ca="1">IF(Table24[[#This Row],[gültig]]&lt;&gt;0,
IF(V208=MIN(_xlfn._xlws.FILTER($V$2:$V$282,($P$2:$P$282=P208))),1,
IF(V208=MAX(_xlfn._xlws.FILTER($V$2:$V$282,($P$2:$P$282=P208))),1,0)),0)</f>
        <v>0</v>
      </c>
      <c r="AJ208" s="180"/>
      <c r="AK208" s="118"/>
      <c r="AL208" s="2"/>
    </row>
    <row r="209" spans="1:38" s="165" customFormat="1" x14ac:dyDescent="0.45">
      <c r="A209" s="155" t="s">
        <v>775</v>
      </c>
      <c r="B209" s="200" t="s">
        <v>502</v>
      </c>
      <c r="C209" s="117">
        <v>210</v>
      </c>
      <c r="D209" s="210" t="s">
        <v>776</v>
      </c>
      <c r="E209" s="202" t="s">
        <v>284</v>
      </c>
      <c r="F209" s="211"/>
      <c r="G209" s="212">
        <v>45805</v>
      </c>
      <c r="H209" s="212">
        <v>47630</v>
      </c>
      <c r="I209" s="203" t="s">
        <v>266</v>
      </c>
      <c r="J209" s="280" t="s">
        <v>266</v>
      </c>
      <c r="K209" s="205" t="s">
        <v>99</v>
      </c>
      <c r="L209" s="281" t="s">
        <v>328</v>
      </c>
      <c r="M209" s="319" t="s">
        <v>315</v>
      </c>
      <c r="N209" s="207" t="s">
        <v>321</v>
      </c>
      <c r="O209" s="316" t="s">
        <v>416</v>
      </c>
      <c r="P209" s="96" t="s">
        <v>538</v>
      </c>
      <c r="Q209" s="120">
        <f>AVERAGE(400,440)</f>
        <v>420</v>
      </c>
      <c r="R209" s="211" t="s">
        <v>416</v>
      </c>
      <c r="S209" s="211" t="s">
        <v>416</v>
      </c>
      <c r="T209" s="211" t="s">
        <v>416</v>
      </c>
      <c r="U209" s="214" t="s">
        <v>416</v>
      </c>
      <c r="V209" s="311">
        <f>SUM(Table24[[#This Row],[A1toA3_GWP]:[C1toC4_GWP]])</f>
        <v>354.64285714285688</v>
      </c>
      <c r="W209" s="317">
        <f>VLOOKUP(Table24[[#This Row],[Country PRODUCTION]],[1]Sheet1!$B$11:$F$30,4,FALSE)+Table24[[#This Row],[Total_GWP]]</f>
        <v>430.69285714285689</v>
      </c>
      <c r="X209" s="317">
        <f>VLOOKUP(Table24[[#This Row],[Country PRODUCTION]],[1]Sheet1!$B$11:$F$30,5,FALSE)+Table24[[#This Row],[Total_GWP]]</f>
        <v>362.44285714285689</v>
      </c>
      <c r="Y209" s="83">
        <f>Table24[[#This Row],[Total_GWP]]*Table24[[#This Row],[DENSITY]]/1000</f>
        <v>148.94999999999987</v>
      </c>
      <c r="Z209" s="311">
        <f>(-7.25*10^2+2.15*10^1+8.35*1^1)/Table24[[#This Row],[DENSITY]]*1000</f>
        <v>-1655.1190476190477</v>
      </c>
      <c r="AA209" s="119">
        <f>(7.01*10-1+7.75*10^2)/Table24[[#This Row],[DENSITY]]*1000</f>
        <v>2009.7619047619046</v>
      </c>
      <c r="AB209" s="83">
        <f>SUM(Table24[[#This Row],[A1toA3_GWP-biogenic]:[C1toC4_GWP-biogenic]])</f>
        <v>0</v>
      </c>
      <c r="AC209" s="83">
        <f>Table24[[#This Row],[GWP-biogenic]]*Table24[[#This Row],[DENSITY]]/1000</f>
        <v>0</v>
      </c>
      <c r="AD209" s="83">
        <f>(-765)/Table24[[#This Row],[DENSITY]]*1000</f>
        <v>-1821.4285714285713</v>
      </c>
      <c r="AE209" s="85">
        <f>(765)/Table24[[#This Row],[DENSITY]]*1000</f>
        <v>1821.4285714285713</v>
      </c>
      <c r="AF209" s="92">
        <f ca="1">IF(OR($E209="Ecoinvent",$E209="Betonsortenrechner",$E209="KBOB",$V209&lt;=0,Table24[[#This Row],[VALID_TO]]&lt;=TODAY()),0,1)</f>
        <v>1</v>
      </c>
      <c r="AG209" s="92">
        <v>1</v>
      </c>
      <c r="AH209" s="92">
        <f ca="1">IF(AND(Table24[[#This Row],[ValidEPD]]&lt;&gt;0,Table24[[#This Row],[Man_Ausschluss]]&lt;&gt;0),1,0)</f>
        <v>1</v>
      </c>
      <c r="AI209" s="178" cm="1">
        <f t="array" aca="1" ref="AI209" ca="1">IF(Table24[[#This Row],[gültig]]&lt;&gt;0,
IF(V209=MIN(_xlfn._xlws.FILTER($V$2:$V$282,($P$2:$P$282=P209))),1,
IF(V209=MAX(_xlfn._xlws.FILTER($V$2:$V$282,($P$2:$P$282=P209))),1,0)),0)</f>
        <v>1</v>
      </c>
      <c r="AJ209" s="180"/>
      <c r="AK209" s="118"/>
      <c r="AL209" s="2"/>
    </row>
    <row r="210" spans="1:38" s="165" customFormat="1" x14ac:dyDescent="0.45">
      <c r="A210" s="155" t="s">
        <v>775</v>
      </c>
      <c r="B210" s="200" t="s">
        <v>518</v>
      </c>
      <c r="C210" s="117">
        <v>211</v>
      </c>
      <c r="D210" s="210" t="s">
        <v>776</v>
      </c>
      <c r="E210" s="202" t="s">
        <v>284</v>
      </c>
      <c r="F210" s="211"/>
      <c r="G210" s="212">
        <v>45805</v>
      </c>
      <c r="H210" s="212">
        <v>47630</v>
      </c>
      <c r="I210" s="203" t="s">
        <v>266</v>
      </c>
      <c r="J210" s="280" t="s">
        <v>266</v>
      </c>
      <c r="K210" s="205" t="s">
        <v>99</v>
      </c>
      <c r="L210" s="281" t="s">
        <v>328</v>
      </c>
      <c r="M210" s="319" t="s">
        <v>315</v>
      </c>
      <c r="N210" s="207" t="s">
        <v>321</v>
      </c>
      <c r="O210" s="316" t="s">
        <v>416</v>
      </c>
      <c r="P210" s="96" t="s">
        <v>522</v>
      </c>
      <c r="Q210" s="120">
        <f>AVERAGE(400,440)</f>
        <v>420</v>
      </c>
      <c r="R210" s="211" t="s">
        <v>416</v>
      </c>
      <c r="S210" s="211" t="s">
        <v>416</v>
      </c>
      <c r="T210" s="211" t="s">
        <v>416</v>
      </c>
      <c r="U210" s="214" t="s">
        <v>416</v>
      </c>
      <c r="V210" s="311">
        <f>SUM(Table24[[#This Row],[A1toA3_GWP]:[C1toC4_GWP]])</f>
        <v>354.64285714285688</v>
      </c>
      <c r="W210" s="317">
        <f>VLOOKUP(Table24[[#This Row],[Country PRODUCTION]],[1]Sheet1!$B$11:$F$30,4,FALSE)+Table24[[#This Row],[Total_GWP]]</f>
        <v>430.69285714285689</v>
      </c>
      <c r="X210" s="317">
        <f>VLOOKUP(Table24[[#This Row],[Country PRODUCTION]],[1]Sheet1!$B$11:$F$30,5,FALSE)+Table24[[#This Row],[Total_GWP]]</f>
        <v>362.44285714285689</v>
      </c>
      <c r="Y210" s="83">
        <f>Table24[[#This Row],[Total_GWP]]*Table24[[#This Row],[DENSITY]]/1000</f>
        <v>148.94999999999987</v>
      </c>
      <c r="Z210" s="311">
        <f>(-7.25*10^2+2.15*10^1+8.35*1^1)/Table24[[#This Row],[DENSITY]]*1000</f>
        <v>-1655.1190476190477</v>
      </c>
      <c r="AA210" s="119">
        <f>(7.01*10-1+7.75*10^2)/Table24[[#This Row],[DENSITY]]*1000</f>
        <v>2009.7619047619046</v>
      </c>
      <c r="AB210" s="83">
        <f>SUM(Table24[[#This Row],[A1toA3_GWP-biogenic]:[C1toC4_GWP-biogenic]])</f>
        <v>0</v>
      </c>
      <c r="AC210" s="83">
        <f>Table24[[#This Row],[GWP-biogenic]]*Table24[[#This Row],[DENSITY]]/1000</f>
        <v>0</v>
      </c>
      <c r="AD210" s="83">
        <f>(-765)/Table24[[#This Row],[DENSITY]]*1000</f>
        <v>-1821.4285714285713</v>
      </c>
      <c r="AE210" s="85">
        <f>(765)/Table24[[#This Row],[DENSITY]]*1000</f>
        <v>1821.4285714285713</v>
      </c>
      <c r="AF210" s="92">
        <f ca="1">IF(OR($E210="Ecoinvent",$E210="Betonsortenrechner",$E210="KBOB",$V210&lt;=0,Table24[[#This Row],[VALID_TO]]&lt;=TODAY()),0,1)</f>
        <v>1</v>
      </c>
      <c r="AG210" s="92">
        <v>1</v>
      </c>
      <c r="AH210" s="92">
        <f ca="1">IF(AND(Table24[[#This Row],[ValidEPD]]&lt;&gt;0,Table24[[#This Row],[Man_Ausschluss]]&lt;&gt;0),1,0)</f>
        <v>1</v>
      </c>
      <c r="AI210" s="178" cm="1">
        <f t="array" aca="1" ref="AI210" ca="1">IF(Table24[[#This Row],[gültig]]&lt;&gt;0,
IF(V210=MIN(_xlfn._xlws.FILTER($V$2:$V$282,($P$2:$P$282=P210))),1,
IF(V210=MAX(_xlfn._xlws.FILTER($V$2:$V$282,($P$2:$P$282=P210))),1,0)),0)</f>
        <v>1</v>
      </c>
      <c r="AJ210" s="180"/>
      <c r="AK210" s="118"/>
      <c r="AL210" s="2"/>
    </row>
    <row r="211" spans="1:38" s="145" customFormat="1" ht="14.65" thickBot="1" x14ac:dyDescent="0.5">
      <c r="A211" s="129" t="s">
        <v>775</v>
      </c>
      <c r="B211" s="130" t="s">
        <v>519</v>
      </c>
      <c r="C211" s="121">
        <v>212</v>
      </c>
      <c r="D211" s="131" t="s">
        <v>776</v>
      </c>
      <c r="E211" s="295" t="s">
        <v>284</v>
      </c>
      <c r="F211" s="132"/>
      <c r="G211" s="133">
        <v>45805</v>
      </c>
      <c r="H211" s="133">
        <v>47630</v>
      </c>
      <c r="I211" s="134" t="s">
        <v>266</v>
      </c>
      <c r="J211" s="152" t="s">
        <v>266</v>
      </c>
      <c r="K211" s="299" t="s">
        <v>99</v>
      </c>
      <c r="L211" s="294" t="s">
        <v>328</v>
      </c>
      <c r="M211" s="320" t="s">
        <v>315</v>
      </c>
      <c r="N211" s="138" t="s">
        <v>321</v>
      </c>
      <c r="O211" s="139" t="s">
        <v>416</v>
      </c>
      <c r="P211" s="297" t="s">
        <v>539</v>
      </c>
      <c r="Q211" s="122">
        <f>AVERAGE(400,440)</f>
        <v>420</v>
      </c>
      <c r="R211" s="132" t="s">
        <v>416</v>
      </c>
      <c r="S211" s="132" t="s">
        <v>416</v>
      </c>
      <c r="T211" s="132" t="s">
        <v>416</v>
      </c>
      <c r="U211" s="140" t="s">
        <v>416</v>
      </c>
      <c r="V211" s="321">
        <f>SUM(Table24[[#This Row],[A1toA3_GWP]:[C1toC4_GWP]])</f>
        <v>354.64285714285688</v>
      </c>
      <c r="W211" s="141">
        <f>VLOOKUP(Table24[[#This Row],[Country PRODUCTION]],[1]Sheet1!$B$11:$F$30,4,FALSE)+Table24[[#This Row],[Total_GWP]]</f>
        <v>430.69285714285689</v>
      </c>
      <c r="X211" s="141">
        <f>VLOOKUP(Table24[[#This Row],[Country PRODUCTION]],[1]Sheet1!$B$11:$F$30,5,FALSE)+Table24[[#This Row],[Total_GWP]]</f>
        <v>362.44285714285689</v>
      </c>
      <c r="Y211" s="126">
        <f>Table24[[#This Row],[Total_GWP]]*Table24[[#This Row],[DENSITY]]/1000</f>
        <v>148.94999999999987</v>
      </c>
      <c r="Z211" s="321">
        <f>(-7.25*10^2+2.15*10^1+8.35*1^1)/Table24[[#This Row],[DENSITY]]*1000</f>
        <v>-1655.1190476190477</v>
      </c>
      <c r="AA211" s="125">
        <f>(7.01*10-1+7.75*10^2)/Table24[[#This Row],[DENSITY]]*1000</f>
        <v>2009.7619047619046</v>
      </c>
      <c r="AB211" s="126">
        <f>SUM(Table24[[#This Row],[A1toA3_GWP-biogenic]:[C1toC4_GWP-biogenic]])</f>
        <v>0</v>
      </c>
      <c r="AC211" s="126">
        <f>Table24[[#This Row],[GWP-biogenic]]*Table24[[#This Row],[DENSITY]]/1000</f>
        <v>0</v>
      </c>
      <c r="AD211" s="126">
        <f>(-765)/Table24[[#This Row],[DENSITY]]*1000</f>
        <v>-1821.4285714285713</v>
      </c>
      <c r="AE211" s="127">
        <f>(765)/Table24[[#This Row],[DENSITY]]*1000</f>
        <v>1821.4285714285713</v>
      </c>
      <c r="AF211" s="124">
        <f ca="1">IF(OR($E211="Ecoinvent",$E211="Betonsortenrechner",$E211="KBOB",$V211&lt;=0,Table24[[#This Row],[VALID_TO]]&lt;=TODAY()),0,1)</f>
        <v>1</v>
      </c>
      <c r="AG211" s="124">
        <v>1</v>
      </c>
      <c r="AH211" s="124">
        <f ca="1">IF(AND(Table24[[#This Row],[ValidEPD]]&lt;&gt;0,Table24[[#This Row],[Man_Ausschluss]]&lt;&gt;0),1,0)</f>
        <v>1</v>
      </c>
      <c r="AI211" s="178" cm="1">
        <f t="array" aca="1" ref="AI211" ca="1">IF(Table24[[#This Row],[gültig]]&lt;&gt;0,
IF(V211=MIN(_xlfn._xlws.FILTER($V$2:$V$282,($P$2:$P$282=P211))),1,
IF(V211=MAX(_xlfn._xlws.FILTER($V$2:$V$282,($P$2:$P$282=P211))),1,0)),0)</f>
        <v>1</v>
      </c>
      <c r="AJ211" s="180"/>
      <c r="AK211" s="166"/>
      <c r="AL211" s="3"/>
    </row>
    <row r="212" spans="1:38" x14ac:dyDescent="0.45">
      <c r="A212" s="237" t="s">
        <v>362</v>
      </c>
      <c r="B212" s="238"/>
      <c r="C212" s="112">
        <v>213</v>
      </c>
      <c r="D212" s="239" t="s">
        <v>416</v>
      </c>
      <c r="E212" s="251" t="s">
        <v>833</v>
      </c>
      <c r="F212" s="351">
        <v>6.0119999999999996</v>
      </c>
      <c r="G212" s="241"/>
      <c r="H212" s="241"/>
      <c r="I212" s="242" t="s">
        <v>52</v>
      </c>
      <c r="J212" s="253"/>
      <c r="K212" s="344" t="s">
        <v>784</v>
      </c>
      <c r="L212" s="322" t="s">
        <v>326</v>
      </c>
      <c r="M212" s="240" t="s">
        <v>318</v>
      </c>
      <c r="N212" s="323" t="s">
        <v>320</v>
      </c>
      <c r="O212" s="246" t="s">
        <v>416</v>
      </c>
      <c r="P212" s="242" t="s">
        <v>416</v>
      </c>
      <c r="Q212" s="342">
        <v>7850</v>
      </c>
      <c r="R212" s="240" t="s">
        <v>416</v>
      </c>
      <c r="S212" s="240" t="s">
        <v>416</v>
      </c>
      <c r="T212" s="240" t="s">
        <v>416</v>
      </c>
      <c r="U212" s="247" t="s">
        <v>416</v>
      </c>
      <c r="V212" s="249">
        <f>SUM(Table24[[#This Row],[A1toA3_GWP]:[C1toC4_GWP]])</f>
        <v>736.93</v>
      </c>
      <c r="W212" s="249"/>
      <c r="X212" s="249"/>
      <c r="Y212" s="249">
        <f>Table24[[#This Row],[Total_GWP]]*Table24[[#This Row],[DENSITY]]/1000</f>
        <v>5784.9004999999997</v>
      </c>
      <c r="Z212" s="337">
        <v>730</v>
      </c>
      <c r="AA212" s="338">
        <v>6.93</v>
      </c>
      <c r="AB212" s="160"/>
      <c r="AC212" s="160"/>
      <c r="AD212" s="160"/>
      <c r="AE212" s="250"/>
      <c r="AF212" s="92">
        <f ca="1">IF(OR($E212="Ecoinvent",$E212="Betonsortenrechner",$E212="KBOB",$V212&lt;=0,Table24[[#This Row],[VALID_TO]]&lt;=TODAY()),0,1)</f>
        <v>0</v>
      </c>
      <c r="AG212" s="92">
        <v>1</v>
      </c>
      <c r="AH212" s="92">
        <f ca="1">IF(AND(Table24[[#This Row],[ValidEPD]]&lt;&gt;0,Table24[[#This Row],[Man_Ausschluss]]&lt;&gt;0),1,0)</f>
        <v>0</v>
      </c>
      <c r="AI212" s="178" cm="1">
        <f t="array" aca="1" ref="AI212" ca="1">IF(Table24[[#This Row],[gültig]]&lt;&gt;0,
IF(V212=MIN(_xlfn._xlws.FILTER($V$2:$V$282,($P$2:$P$282=P212))),1,
IF(V212=MAX(_xlfn._xlws.FILTER($V$2:$V$282,($P$2:$P$282=P212))),1,0)),0)</f>
        <v>0</v>
      </c>
      <c r="AJ212" s="180"/>
      <c r="AK212" s="59"/>
      <c r="AL212" s="59"/>
    </row>
    <row r="213" spans="1:38" x14ac:dyDescent="0.45">
      <c r="A213" s="199" t="s">
        <v>363</v>
      </c>
      <c r="B213" s="200" t="s">
        <v>502</v>
      </c>
      <c r="C213" s="115">
        <v>214</v>
      </c>
      <c r="D213" s="201" t="s">
        <v>125</v>
      </c>
      <c r="E213" s="202" t="s">
        <v>126</v>
      </c>
      <c r="F213" s="202"/>
      <c r="G213" s="203">
        <v>43398</v>
      </c>
      <c r="H213" s="203">
        <v>45223</v>
      </c>
      <c r="I213" s="96" t="s">
        <v>266</v>
      </c>
      <c r="J213" s="204" t="s">
        <v>615</v>
      </c>
      <c r="K213" s="205" t="s">
        <v>129</v>
      </c>
      <c r="L213" s="324" t="s">
        <v>326</v>
      </c>
      <c r="M213" s="202" t="s">
        <v>318</v>
      </c>
      <c r="N213" s="325" t="s">
        <v>320</v>
      </c>
      <c r="O213" s="216" t="s">
        <v>416</v>
      </c>
      <c r="P213" s="96" t="s">
        <v>540</v>
      </c>
      <c r="Q213" s="96">
        <v>7850</v>
      </c>
      <c r="R213" s="202" t="s">
        <v>416</v>
      </c>
      <c r="S213" s="202" t="s">
        <v>416</v>
      </c>
      <c r="T213" s="202" t="s">
        <v>416</v>
      </c>
      <c r="U213" s="209" t="s">
        <v>416</v>
      </c>
      <c r="V213" s="149">
        <f>SUM(Table24[[#This Row],[A1toA3_GWP]:[C1toC4_GWP]])</f>
        <v>1131.8399999999999</v>
      </c>
      <c r="W213" s="123">
        <f>VLOOKUP("FR",[1]Sheet1!$B$11:$F$30,4,FALSE)+Table24[[#This Row],[Total_GWP]]</f>
        <v>1202.04</v>
      </c>
      <c r="X213" s="123">
        <f>VLOOKUP("FR",[1]Sheet1!$B$11:$F$30,5,FALSE)+Table24[[#This Row],[Total_GWP]]</f>
        <v>1139.04</v>
      </c>
      <c r="Y213" s="149">
        <f>Table24[[#This Row],[Total_GWP]]*Table24[[#This Row],[DENSITY]]/1000</f>
        <v>8884.9439999999995</v>
      </c>
      <c r="Z213" s="284">
        <v>1130</v>
      </c>
      <c r="AA213" s="81">
        <v>1.84</v>
      </c>
      <c r="AB213" s="83"/>
      <c r="AC213" s="83"/>
      <c r="AD213" s="83"/>
      <c r="AE213" s="85"/>
      <c r="AF213" s="92">
        <f ca="1">IF(OR($E213="Ecoinvent",$E213="Betonsortenrechner",$E213="KBOB",$V213&lt;=0,Table24[[#This Row],[VALID_TO]]&lt;=TODAY()),0,1)</f>
        <v>0</v>
      </c>
      <c r="AG213" s="92">
        <v>1</v>
      </c>
      <c r="AH213" s="92">
        <f ca="1">IF(AND(Table24[[#This Row],[ValidEPD]]&lt;&gt;0,Table24[[#This Row],[Man_Ausschluss]]&lt;&gt;0),1,0)</f>
        <v>0</v>
      </c>
      <c r="AI213" s="178" cm="1">
        <f t="array" aca="1" ref="AI213" ca="1">IF(Table24[[#This Row],[gültig]]&lt;&gt;0,
IF(V213=MIN(_xlfn._xlws.FILTER($V$2:$V$282,($P$2:$P$282=P213))),1,
IF(V213=MAX(_xlfn._xlws.FILTER($V$2:$V$282,($P$2:$P$282=P213))),1,0)),0)</f>
        <v>0</v>
      </c>
      <c r="AJ213" s="180"/>
      <c r="AK213" s="60"/>
      <c r="AL213" s="60"/>
    </row>
    <row r="214" spans="1:38" x14ac:dyDescent="0.45">
      <c r="A214" s="199" t="s">
        <v>363</v>
      </c>
      <c r="B214" s="200" t="s">
        <v>518</v>
      </c>
      <c r="C214" s="111">
        <v>215</v>
      </c>
      <c r="D214" s="201" t="s">
        <v>125</v>
      </c>
      <c r="E214" s="202" t="s">
        <v>126</v>
      </c>
      <c r="F214" s="202"/>
      <c r="G214" s="203">
        <v>43398</v>
      </c>
      <c r="H214" s="203">
        <v>45223</v>
      </c>
      <c r="I214" s="96" t="s">
        <v>266</v>
      </c>
      <c r="J214" s="204" t="s">
        <v>615</v>
      </c>
      <c r="K214" s="205" t="s">
        <v>129</v>
      </c>
      <c r="L214" s="281" t="s">
        <v>326</v>
      </c>
      <c r="M214" s="202" t="s">
        <v>318</v>
      </c>
      <c r="N214" s="207" t="s">
        <v>320</v>
      </c>
      <c r="O214" s="216" t="s">
        <v>416</v>
      </c>
      <c r="P214" s="96" t="s">
        <v>541</v>
      </c>
      <c r="Q214" s="96">
        <v>7850</v>
      </c>
      <c r="R214" s="202" t="s">
        <v>416</v>
      </c>
      <c r="S214" s="202" t="s">
        <v>416</v>
      </c>
      <c r="T214" s="202" t="s">
        <v>416</v>
      </c>
      <c r="U214" s="209" t="s">
        <v>416</v>
      </c>
      <c r="V214" s="149">
        <f>SUM(Table24[[#This Row],[A1toA3_GWP]:[C1toC4_GWP]])</f>
        <v>1131.8399999999999</v>
      </c>
      <c r="W214" s="123">
        <f>VLOOKUP("FR",[1]Sheet1!$B$11:$F$30,4,FALSE)+Table24[[#This Row],[Total_GWP]]</f>
        <v>1202.04</v>
      </c>
      <c r="X214" s="123">
        <f>VLOOKUP("FR",[1]Sheet1!$B$11:$F$30,5,FALSE)+Table24[[#This Row],[Total_GWP]]</f>
        <v>1139.04</v>
      </c>
      <c r="Y214" s="149">
        <f>Table24[[#This Row],[Total_GWP]]*Table24[[#This Row],[DENSITY]]/1000</f>
        <v>8884.9439999999995</v>
      </c>
      <c r="Z214" s="284">
        <v>1130</v>
      </c>
      <c r="AA214" s="81">
        <v>1.84</v>
      </c>
      <c r="AB214" s="83"/>
      <c r="AC214" s="83"/>
      <c r="AD214" s="83"/>
      <c r="AE214" s="85"/>
      <c r="AF214" s="92">
        <f ca="1">IF(OR($E214="Ecoinvent",$E214="Betonsortenrechner",$E214="KBOB",$V214&lt;=0,Table24[[#This Row],[VALID_TO]]&lt;=TODAY()),0,1)</f>
        <v>0</v>
      </c>
      <c r="AG214" s="92">
        <v>1</v>
      </c>
      <c r="AH214" s="92">
        <f ca="1">IF(AND(Table24[[#This Row],[ValidEPD]]&lt;&gt;0,Table24[[#This Row],[Man_Ausschluss]]&lt;&gt;0),1,0)</f>
        <v>0</v>
      </c>
      <c r="AI214" s="178" cm="1">
        <f t="array" aca="1" ref="AI214" ca="1">IF(Table24[[#This Row],[gültig]]&lt;&gt;0,
IF(V214=MIN(_xlfn._xlws.FILTER($V$2:$V$282,($P$2:$P$282=P214))),1,
IF(V214=MAX(_xlfn._xlws.FILTER($V$2:$V$282,($P$2:$P$282=P214))),1,0)),0)</f>
        <v>0</v>
      </c>
      <c r="AJ214" s="180"/>
      <c r="AK214" s="60"/>
      <c r="AL214" s="60"/>
    </row>
    <row r="215" spans="1:38" x14ac:dyDescent="0.45">
      <c r="A215" s="199" t="s">
        <v>363</v>
      </c>
      <c r="B215" s="200" t="s">
        <v>519</v>
      </c>
      <c r="C215" s="115">
        <v>216</v>
      </c>
      <c r="D215" s="201" t="s">
        <v>125</v>
      </c>
      <c r="E215" s="202" t="s">
        <v>126</v>
      </c>
      <c r="F215" s="202"/>
      <c r="G215" s="203">
        <v>43398</v>
      </c>
      <c r="H215" s="203">
        <v>45223</v>
      </c>
      <c r="I215" s="96" t="s">
        <v>266</v>
      </c>
      <c r="J215" s="204" t="s">
        <v>615</v>
      </c>
      <c r="K215" s="205" t="s">
        <v>129</v>
      </c>
      <c r="L215" s="324" t="s">
        <v>326</v>
      </c>
      <c r="M215" s="202" t="s">
        <v>318</v>
      </c>
      <c r="N215" s="207" t="s">
        <v>320</v>
      </c>
      <c r="O215" s="216" t="s">
        <v>416</v>
      </c>
      <c r="P215" s="96" t="s">
        <v>542</v>
      </c>
      <c r="Q215" s="96">
        <v>7850</v>
      </c>
      <c r="R215" s="202" t="s">
        <v>416</v>
      </c>
      <c r="S215" s="202" t="s">
        <v>416</v>
      </c>
      <c r="T215" s="202" t="s">
        <v>416</v>
      </c>
      <c r="U215" s="209" t="s">
        <v>416</v>
      </c>
      <c r="V215" s="149">
        <f>SUM(Table24[[#This Row],[A1toA3_GWP]:[C1toC4_GWP]])</f>
        <v>1131.8399999999999</v>
      </c>
      <c r="W215" s="123">
        <f>VLOOKUP("FR",[1]Sheet1!$B$11:$F$30,4,FALSE)+Table24[[#This Row],[Total_GWP]]</f>
        <v>1202.04</v>
      </c>
      <c r="X215" s="123">
        <f>VLOOKUP("FR",[1]Sheet1!$B$11:$F$30,5,FALSE)+Table24[[#This Row],[Total_GWP]]</f>
        <v>1139.04</v>
      </c>
      <c r="Y215" s="149">
        <f>Table24[[#This Row],[Total_GWP]]*Table24[[#This Row],[DENSITY]]/1000</f>
        <v>8884.9439999999995</v>
      </c>
      <c r="Z215" s="284">
        <v>1130</v>
      </c>
      <c r="AA215" s="81">
        <v>1.84</v>
      </c>
      <c r="AB215" s="83"/>
      <c r="AC215" s="83"/>
      <c r="AD215" s="83"/>
      <c r="AE215" s="85"/>
      <c r="AF215" s="92">
        <f ca="1">IF(OR($E215="Ecoinvent",$E215="Betonsortenrechner",$E215="KBOB",$V215&lt;=0,Table24[[#This Row],[VALID_TO]]&lt;=TODAY()),0,1)</f>
        <v>0</v>
      </c>
      <c r="AG215" s="92">
        <v>1</v>
      </c>
      <c r="AH215" s="92">
        <f ca="1">IF(AND(Table24[[#This Row],[ValidEPD]]&lt;&gt;0,Table24[[#This Row],[Man_Ausschluss]]&lt;&gt;0),1,0)</f>
        <v>0</v>
      </c>
      <c r="AI215" s="178" cm="1">
        <f t="array" aca="1" ref="AI215" ca="1">IF(Table24[[#This Row],[gültig]]&lt;&gt;0,
IF(V215=MIN(_xlfn._xlws.FILTER($V$2:$V$282,($P$2:$P$282=P215))),1,
IF(V215=MAX(_xlfn._xlws.FILTER($V$2:$V$282,($P$2:$P$282=P215))),1,0)),0)</f>
        <v>0</v>
      </c>
      <c r="AJ215" s="180"/>
      <c r="AK215" s="60"/>
      <c r="AL215" s="60"/>
    </row>
    <row r="216" spans="1:38" x14ac:dyDescent="0.45">
      <c r="A216" s="199" t="s">
        <v>363</v>
      </c>
      <c r="B216" s="200" t="s">
        <v>520</v>
      </c>
      <c r="C216" s="111">
        <v>217</v>
      </c>
      <c r="D216" s="201" t="s">
        <v>125</v>
      </c>
      <c r="E216" s="202" t="s">
        <v>126</v>
      </c>
      <c r="F216" s="202"/>
      <c r="G216" s="203">
        <v>43398</v>
      </c>
      <c r="H216" s="203">
        <v>45223</v>
      </c>
      <c r="I216" s="96" t="s">
        <v>266</v>
      </c>
      <c r="J216" s="204" t="s">
        <v>615</v>
      </c>
      <c r="K216" s="205" t="s">
        <v>129</v>
      </c>
      <c r="L216" s="281" t="s">
        <v>326</v>
      </c>
      <c r="M216" s="202" t="s">
        <v>318</v>
      </c>
      <c r="N216" s="207" t="s">
        <v>320</v>
      </c>
      <c r="O216" s="216" t="s">
        <v>416</v>
      </c>
      <c r="P216" s="96" t="s">
        <v>543</v>
      </c>
      <c r="Q216" s="96">
        <v>7850</v>
      </c>
      <c r="R216" s="202" t="s">
        <v>416</v>
      </c>
      <c r="S216" s="202" t="s">
        <v>416</v>
      </c>
      <c r="T216" s="202" t="s">
        <v>416</v>
      </c>
      <c r="U216" s="209" t="s">
        <v>416</v>
      </c>
      <c r="V216" s="149">
        <f>SUM(Table24[[#This Row],[A1toA3_GWP]:[C1toC4_GWP]])</f>
        <v>1131.8399999999999</v>
      </c>
      <c r="W216" s="123">
        <f>VLOOKUP("FR",[1]Sheet1!$B$11:$F$30,4,FALSE)+Table24[[#This Row],[Total_GWP]]</f>
        <v>1202.04</v>
      </c>
      <c r="X216" s="123">
        <f>VLOOKUP("FR",[1]Sheet1!$B$11:$F$30,5,FALSE)+Table24[[#This Row],[Total_GWP]]</f>
        <v>1139.04</v>
      </c>
      <c r="Y216" s="149">
        <f>Table24[[#This Row],[Total_GWP]]*Table24[[#This Row],[DENSITY]]/1000</f>
        <v>8884.9439999999995</v>
      </c>
      <c r="Z216" s="284">
        <v>1130</v>
      </c>
      <c r="AA216" s="81">
        <v>1.84</v>
      </c>
      <c r="AB216" s="83"/>
      <c r="AC216" s="83"/>
      <c r="AD216" s="83"/>
      <c r="AE216" s="85"/>
      <c r="AF216" s="92">
        <f ca="1">IF(OR($E216="Ecoinvent",$E216="Betonsortenrechner",$E216="KBOB",$V216&lt;=0,Table24[[#This Row],[VALID_TO]]&lt;=TODAY()),0,1)</f>
        <v>0</v>
      </c>
      <c r="AG216" s="92">
        <v>1</v>
      </c>
      <c r="AH216" s="92">
        <f ca="1">IF(AND(Table24[[#This Row],[ValidEPD]]&lt;&gt;0,Table24[[#This Row],[Man_Ausschluss]]&lt;&gt;0),1,0)</f>
        <v>0</v>
      </c>
      <c r="AI216" s="178" cm="1">
        <f t="array" aca="1" ref="AI216" ca="1">IF(Table24[[#This Row],[gültig]]&lt;&gt;0,
IF(V216=MIN(_xlfn._xlws.FILTER($V$2:$V$282,($P$2:$P$282=P216))),1,
IF(V216=MAX(_xlfn._xlws.FILTER($V$2:$V$282,($P$2:$P$282=P216))),1,0)),0)</f>
        <v>0</v>
      </c>
      <c r="AJ216" s="180"/>
      <c r="AK216" s="60"/>
      <c r="AL216" s="60"/>
    </row>
    <row r="217" spans="1:38" x14ac:dyDescent="0.45">
      <c r="A217" s="199" t="s">
        <v>364</v>
      </c>
      <c r="B217" s="200"/>
      <c r="C217" s="115">
        <v>218</v>
      </c>
      <c r="D217" s="201" t="s">
        <v>127</v>
      </c>
      <c r="E217" s="202" t="s">
        <v>128</v>
      </c>
      <c r="F217" s="202"/>
      <c r="G217" s="203">
        <v>41803</v>
      </c>
      <c r="H217" s="203">
        <v>43628</v>
      </c>
      <c r="I217" s="96" t="s">
        <v>52</v>
      </c>
      <c r="J217" s="204" t="s">
        <v>52</v>
      </c>
      <c r="K217" s="205" t="s">
        <v>129</v>
      </c>
      <c r="L217" s="281" t="s">
        <v>326</v>
      </c>
      <c r="M217" s="202" t="s">
        <v>318</v>
      </c>
      <c r="N217" s="207" t="s">
        <v>320</v>
      </c>
      <c r="O217" s="216" t="s">
        <v>416</v>
      </c>
      <c r="P217" s="96" t="s">
        <v>416</v>
      </c>
      <c r="Q217" s="96">
        <v>7850</v>
      </c>
      <c r="R217" s="202" t="s">
        <v>416</v>
      </c>
      <c r="S217" s="202" t="s">
        <v>416</v>
      </c>
      <c r="T217" s="202" t="s">
        <v>416</v>
      </c>
      <c r="U217" s="209" t="s">
        <v>416</v>
      </c>
      <c r="V217" s="149">
        <f>SUM(Table24[[#This Row],[A1toA3_GWP]:[C1toC4_GWP]])</f>
        <v>728</v>
      </c>
      <c r="W217" s="149">
        <f>VLOOKUP(Table24[[#This Row],[Country PRODUCTION]],[1]Sheet1!$B$11:$F$30,4,FALSE)+Table24[[#This Row],[Total_GWP]]</f>
        <v>732.68</v>
      </c>
      <c r="X217" s="149">
        <f>VLOOKUP(Table24[[#This Row],[Country PRODUCTION]],[1]Sheet1!$B$11:$F$30,5,FALSE)+Table24[[#This Row],[Total_GWP]]</f>
        <v>728.48</v>
      </c>
      <c r="Y217" s="149">
        <f>Table24[[#This Row],[Total_GWP]]*Table24[[#This Row],[DENSITY]]/1000</f>
        <v>5714.8</v>
      </c>
      <c r="Z217" s="284">
        <f>0.728*1000</f>
        <v>728</v>
      </c>
      <c r="AA217" s="81">
        <v>0</v>
      </c>
      <c r="AB217" s="83"/>
      <c r="AC217" s="83"/>
      <c r="AD217" s="83"/>
      <c r="AE217" s="85"/>
      <c r="AF217" s="92">
        <f ca="1">IF(OR($E217="Ecoinvent",$E217="Betonsortenrechner",$E217="KBOB",$V217&lt;=0,Table24[[#This Row],[VALID_TO]]&lt;=TODAY()),0,1)</f>
        <v>0</v>
      </c>
      <c r="AG217" s="92">
        <v>1</v>
      </c>
      <c r="AH217" s="92">
        <f ca="1">IF(AND(Table24[[#This Row],[ValidEPD]]&lt;&gt;0,Table24[[#This Row],[Man_Ausschluss]]&lt;&gt;0),1,0)</f>
        <v>0</v>
      </c>
      <c r="AI217" s="178" cm="1">
        <f t="array" aca="1" ref="AI217" ca="1">IF(Table24[[#This Row],[gültig]]&lt;&gt;0,
IF(V217=MIN(_xlfn._xlws.FILTER($V$2:$V$282,($P$2:$P$282=P217))),1,
IF(V217=MAX(_xlfn._xlws.FILTER($V$2:$V$282,($P$2:$P$282=P217))),1,0)),0)</f>
        <v>0</v>
      </c>
      <c r="AJ217" s="180"/>
      <c r="AK217" s="60"/>
      <c r="AL217" s="60"/>
    </row>
    <row r="218" spans="1:38" x14ac:dyDescent="0.45">
      <c r="A218" s="199" t="s">
        <v>365</v>
      </c>
      <c r="B218" s="200" t="s">
        <v>502</v>
      </c>
      <c r="C218" s="111">
        <v>219</v>
      </c>
      <c r="D218" s="201" t="s">
        <v>130</v>
      </c>
      <c r="E218" s="202" t="s">
        <v>131</v>
      </c>
      <c r="F218" s="202"/>
      <c r="G218" s="203">
        <v>45362</v>
      </c>
      <c r="H218" s="203">
        <v>47190</v>
      </c>
      <c r="I218" s="96" t="s">
        <v>266</v>
      </c>
      <c r="J218" s="204" t="s">
        <v>616</v>
      </c>
      <c r="K218" s="205" t="s">
        <v>135</v>
      </c>
      <c r="L218" s="281" t="s">
        <v>326</v>
      </c>
      <c r="M218" s="202" t="s">
        <v>318</v>
      </c>
      <c r="N218" s="207" t="s">
        <v>320</v>
      </c>
      <c r="O218" s="216" t="s">
        <v>416</v>
      </c>
      <c r="P218" s="96" t="s">
        <v>540</v>
      </c>
      <c r="Q218" s="96">
        <v>7850</v>
      </c>
      <c r="R218" s="202" t="s">
        <v>416</v>
      </c>
      <c r="S218" s="202" t="s">
        <v>416</v>
      </c>
      <c r="T218" s="202" t="s">
        <v>416</v>
      </c>
      <c r="U218" s="209" t="s">
        <v>416</v>
      </c>
      <c r="V218" s="149">
        <f>SUM(Table24[[#This Row],[A1toA3_GWP]:[C1toC4_GWP]])</f>
        <v>352.01</v>
      </c>
      <c r="W218" s="123">
        <f>VLOOKUP("AT",[1]Sheet1!$B$11:$F$30,4,FALSE)+Table24[[#This Row],[Total_GWP]]</f>
        <v>422.21</v>
      </c>
      <c r="X218" s="123">
        <f>VLOOKUP("AT",[1]Sheet1!$B$11:$F$30,5,FALSE)+Table24[[#This Row],[Total_GWP]]</f>
        <v>359.21</v>
      </c>
      <c r="Y218" s="149">
        <f>Table24[[#This Row],[Total_GWP]]*Table24[[#This Row],[DENSITY]]/1000</f>
        <v>2763.2784999999999</v>
      </c>
      <c r="Z218" s="284">
        <v>335</v>
      </c>
      <c r="AA218" s="81">
        <f>2.51+14.5</f>
        <v>17.009999999999998</v>
      </c>
      <c r="AB218" s="83"/>
      <c r="AC218" s="83"/>
      <c r="AD218" s="83"/>
      <c r="AE218" s="85"/>
      <c r="AF218" s="92">
        <f ca="1">IF(OR($E218="Ecoinvent",$E218="Betonsortenrechner",$E218="KBOB",$V218&lt;=0,Table24[[#This Row],[VALID_TO]]&lt;=TODAY()),0,1)</f>
        <v>1</v>
      </c>
      <c r="AG218" s="92">
        <v>1</v>
      </c>
      <c r="AH218" s="92">
        <f ca="1">IF(AND(Table24[[#This Row],[ValidEPD]]&lt;&gt;0,Table24[[#This Row],[Man_Ausschluss]]&lt;&gt;0),1,0)</f>
        <v>1</v>
      </c>
      <c r="AI218" s="178" cm="1">
        <f t="array" aca="1" ref="AI218" ca="1">IF(Table24[[#This Row],[gültig]]&lt;&gt;0,
IF(V218=MIN(_xlfn._xlws.FILTER($V$2:$V$282,($P$2:$P$282=P218))),1,
IF(V218=MAX(_xlfn._xlws.FILTER($V$2:$V$282,($P$2:$P$282=P218))),1,0)),0)</f>
        <v>0</v>
      </c>
      <c r="AJ218" s="180"/>
      <c r="AK218" s="60"/>
      <c r="AL218" s="60"/>
    </row>
    <row r="219" spans="1:38" x14ac:dyDescent="0.45">
      <c r="A219" s="199" t="s">
        <v>365</v>
      </c>
      <c r="B219" s="200" t="s">
        <v>518</v>
      </c>
      <c r="C219" s="115">
        <v>220</v>
      </c>
      <c r="D219" s="201" t="s">
        <v>130</v>
      </c>
      <c r="E219" s="202" t="s">
        <v>131</v>
      </c>
      <c r="F219" s="202"/>
      <c r="G219" s="203">
        <v>45362</v>
      </c>
      <c r="H219" s="203">
        <v>47190</v>
      </c>
      <c r="I219" s="96" t="s">
        <v>266</v>
      </c>
      <c r="J219" s="204" t="s">
        <v>616</v>
      </c>
      <c r="K219" s="205" t="s">
        <v>135</v>
      </c>
      <c r="L219" s="281" t="s">
        <v>326</v>
      </c>
      <c r="M219" s="202" t="s">
        <v>318</v>
      </c>
      <c r="N219" s="207" t="s">
        <v>320</v>
      </c>
      <c r="O219" s="216" t="s">
        <v>416</v>
      </c>
      <c r="P219" s="96" t="s">
        <v>541</v>
      </c>
      <c r="Q219" s="96">
        <v>7850</v>
      </c>
      <c r="R219" s="202" t="s">
        <v>416</v>
      </c>
      <c r="S219" s="202" t="s">
        <v>416</v>
      </c>
      <c r="T219" s="202" t="s">
        <v>416</v>
      </c>
      <c r="U219" s="209" t="s">
        <v>416</v>
      </c>
      <c r="V219" s="149">
        <f>SUM(Table24[[#This Row],[A1toA3_GWP]:[C1toC4_GWP]])</f>
        <v>352.01</v>
      </c>
      <c r="W219" s="123">
        <f>VLOOKUP("AT",[1]Sheet1!$B$11:$F$30,4,FALSE)+Table24[[#This Row],[Total_GWP]]</f>
        <v>422.21</v>
      </c>
      <c r="X219" s="123">
        <f>VLOOKUP("AT",[1]Sheet1!$B$11:$F$30,5,FALSE)+Table24[[#This Row],[Total_GWP]]</f>
        <v>359.21</v>
      </c>
      <c r="Y219" s="149">
        <f>Table24[[#This Row],[Total_GWP]]*Table24[[#This Row],[DENSITY]]/1000</f>
        <v>2763.2784999999999</v>
      </c>
      <c r="Z219" s="284">
        <v>335</v>
      </c>
      <c r="AA219" s="81">
        <f>2.51+14.5</f>
        <v>17.009999999999998</v>
      </c>
      <c r="AB219" s="83"/>
      <c r="AC219" s="83"/>
      <c r="AD219" s="83"/>
      <c r="AE219" s="85"/>
      <c r="AF219" s="92">
        <f ca="1">IF(OR($E219="Ecoinvent",$E219="Betonsortenrechner",$E219="KBOB",$V219&lt;=0,Table24[[#This Row],[VALID_TO]]&lt;=TODAY()),0,1)</f>
        <v>1</v>
      </c>
      <c r="AG219" s="92">
        <v>1</v>
      </c>
      <c r="AH219" s="92">
        <f ca="1">IF(AND(Table24[[#This Row],[ValidEPD]]&lt;&gt;0,Table24[[#This Row],[Man_Ausschluss]]&lt;&gt;0),1,0)</f>
        <v>1</v>
      </c>
      <c r="AI219" s="178" cm="1">
        <f t="array" aca="1" ref="AI219" ca="1">IF(Table24[[#This Row],[gültig]]&lt;&gt;0,
IF(V219=MIN(_xlfn._xlws.FILTER($V$2:$V$282,($P$2:$P$282=P219))),1,
IF(V219=MAX(_xlfn._xlws.FILTER($V$2:$V$282,($P$2:$P$282=P219))),1,0)),0)</f>
        <v>1</v>
      </c>
      <c r="AJ219" s="180"/>
      <c r="AK219" s="60"/>
      <c r="AL219" s="60"/>
    </row>
    <row r="220" spans="1:38" x14ac:dyDescent="0.45">
      <c r="A220" s="199" t="s">
        <v>365</v>
      </c>
      <c r="B220" s="200" t="s">
        <v>519</v>
      </c>
      <c r="C220" s="111">
        <v>221</v>
      </c>
      <c r="D220" s="201" t="s">
        <v>130</v>
      </c>
      <c r="E220" s="202" t="s">
        <v>131</v>
      </c>
      <c r="F220" s="202"/>
      <c r="G220" s="203">
        <v>45362</v>
      </c>
      <c r="H220" s="203">
        <v>47190</v>
      </c>
      <c r="I220" s="96" t="s">
        <v>266</v>
      </c>
      <c r="J220" s="204" t="s">
        <v>616</v>
      </c>
      <c r="K220" s="205" t="s">
        <v>135</v>
      </c>
      <c r="L220" s="281" t="s">
        <v>326</v>
      </c>
      <c r="M220" s="202" t="s">
        <v>318</v>
      </c>
      <c r="N220" s="207" t="s">
        <v>320</v>
      </c>
      <c r="O220" s="216" t="s">
        <v>416</v>
      </c>
      <c r="P220" s="96" t="s">
        <v>542</v>
      </c>
      <c r="Q220" s="96">
        <v>7850</v>
      </c>
      <c r="R220" s="202" t="s">
        <v>416</v>
      </c>
      <c r="S220" s="202" t="s">
        <v>416</v>
      </c>
      <c r="T220" s="202" t="s">
        <v>416</v>
      </c>
      <c r="U220" s="209" t="s">
        <v>416</v>
      </c>
      <c r="V220" s="149">
        <f>SUM(Table24[[#This Row],[A1toA3_GWP]:[C1toC4_GWP]])</f>
        <v>352.01</v>
      </c>
      <c r="W220" s="123">
        <f>VLOOKUP("AT",[1]Sheet1!$B$11:$F$30,4,FALSE)+Table24[[#This Row],[Total_GWP]]</f>
        <v>422.21</v>
      </c>
      <c r="X220" s="123">
        <f>VLOOKUP("AT",[1]Sheet1!$B$11:$F$30,5,FALSE)+Table24[[#This Row],[Total_GWP]]</f>
        <v>359.21</v>
      </c>
      <c r="Y220" s="149">
        <f>Table24[[#This Row],[Total_GWP]]*Table24[[#This Row],[DENSITY]]/1000</f>
        <v>2763.2784999999999</v>
      </c>
      <c r="Z220" s="284">
        <v>335</v>
      </c>
      <c r="AA220" s="81">
        <f>2.51+14.5</f>
        <v>17.009999999999998</v>
      </c>
      <c r="AB220" s="83"/>
      <c r="AC220" s="83"/>
      <c r="AD220" s="83"/>
      <c r="AE220" s="85"/>
      <c r="AF220" s="92">
        <f ca="1">IF(OR($E220="Ecoinvent",$E220="Betonsortenrechner",$E220="KBOB",$V220&lt;=0,Table24[[#This Row],[VALID_TO]]&lt;=TODAY()),0,1)</f>
        <v>1</v>
      </c>
      <c r="AG220" s="92">
        <v>1</v>
      </c>
      <c r="AH220" s="92">
        <f ca="1">IF(AND(Table24[[#This Row],[ValidEPD]]&lt;&gt;0,Table24[[#This Row],[Man_Ausschluss]]&lt;&gt;0),1,0)</f>
        <v>1</v>
      </c>
      <c r="AI220" s="178" cm="1">
        <f t="array" aca="1" ref="AI220" ca="1">IF(Table24[[#This Row],[gültig]]&lt;&gt;0,
IF(V220=MIN(_xlfn._xlws.FILTER($V$2:$V$282,($P$2:$P$282=P220))),1,
IF(V220=MAX(_xlfn._xlws.FILTER($V$2:$V$282,($P$2:$P$282=P220))),1,0)),0)</f>
        <v>1</v>
      </c>
      <c r="AJ220" s="180"/>
      <c r="AK220" s="60"/>
      <c r="AL220" s="60"/>
    </row>
    <row r="221" spans="1:38" x14ac:dyDescent="0.45">
      <c r="A221" s="199" t="s">
        <v>366</v>
      </c>
      <c r="B221" s="200"/>
      <c r="C221" s="115">
        <v>222</v>
      </c>
      <c r="D221" s="201" t="s">
        <v>132</v>
      </c>
      <c r="E221" s="202" t="s">
        <v>133</v>
      </c>
      <c r="F221" s="202"/>
      <c r="G221" s="279">
        <v>44396</v>
      </c>
      <c r="H221" s="203">
        <v>46221</v>
      </c>
      <c r="I221" s="96" t="s">
        <v>598</v>
      </c>
      <c r="J221" s="204" t="s">
        <v>617</v>
      </c>
      <c r="K221" s="205" t="s">
        <v>134</v>
      </c>
      <c r="L221" s="281" t="s">
        <v>326</v>
      </c>
      <c r="M221" s="202" t="s">
        <v>318</v>
      </c>
      <c r="N221" s="207" t="s">
        <v>320</v>
      </c>
      <c r="O221" s="216" t="s">
        <v>416</v>
      </c>
      <c r="P221" s="96" t="s">
        <v>416</v>
      </c>
      <c r="Q221" s="96">
        <v>7850</v>
      </c>
      <c r="R221" s="202" t="s">
        <v>416</v>
      </c>
      <c r="S221" s="202" t="s">
        <v>416</v>
      </c>
      <c r="T221" s="202" t="s">
        <v>416</v>
      </c>
      <c r="U221" s="209" t="s">
        <v>416</v>
      </c>
      <c r="V221" s="149">
        <f>SUM(Table24[[#This Row],[A1toA3_GWP]:[C1toC4_GWP]])</f>
        <v>348.9</v>
      </c>
      <c r="W221" s="123">
        <f>VLOOKUP("LU",[1]Sheet1!$B$11:$F$30,4,FALSE)+Table24[[#This Row],[Total_GWP]]</f>
        <v>407.4</v>
      </c>
      <c r="X221" s="123">
        <f>VLOOKUP("LU",[1]Sheet1!$B$11:$F$30,5,FALSE)+Table24[[#This Row],[Total_GWP]]</f>
        <v>354.9</v>
      </c>
      <c r="Y221" s="149">
        <f>Table24[[#This Row],[Total_GWP]]*Table24[[#This Row],[DENSITY]]/1000</f>
        <v>2738.8649999999998</v>
      </c>
      <c r="Z221" s="284">
        <v>333</v>
      </c>
      <c r="AA221" s="81">
        <f>1.6+14.3</f>
        <v>15.9</v>
      </c>
      <c r="AB221" s="83"/>
      <c r="AC221" s="83"/>
      <c r="AD221" s="83"/>
      <c r="AE221" s="85"/>
      <c r="AF221" s="92">
        <f ca="1">IF(OR($E221="Ecoinvent",$E221="Betonsortenrechner",$E221="KBOB",$V221&lt;=0,Table24[[#This Row],[VALID_TO]]&lt;=TODAY()),0,1)</f>
        <v>1</v>
      </c>
      <c r="AG221" s="92">
        <v>1</v>
      </c>
      <c r="AH221" s="92">
        <f ca="1">IF(AND(Table24[[#This Row],[ValidEPD]]&lt;&gt;0,Table24[[#This Row],[Man_Ausschluss]]&lt;&gt;0),1,0)</f>
        <v>1</v>
      </c>
      <c r="AI221" s="178" cm="1">
        <f t="array" aca="1" ref="AI221" ca="1">IF(Table24[[#This Row],[gültig]]&lt;&gt;0,
IF(V221=MIN(_xlfn._xlws.FILTER($V$2:$V$282,($P$2:$P$282=P221))),1,
IF(V221=MAX(_xlfn._xlws.FILTER($V$2:$V$282,($P$2:$P$282=P221))),1,0)),0)</f>
        <v>0</v>
      </c>
      <c r="AJ221" s="180"/>
      <c r="AK221" s="60"/>
      <c r="AL221" s="60"/>
    </row>
    <row r="222" spans="1:38" x14ac:dyDescent="0.45">
      <c r="A222" s="199" t="s">
        <v>367</v>
      </c>
      <c r="B222" s="200" t="s">
        <v>502</v>
      </c>
      <c r="C222" s="111">
        <v>223</v>
      </c>
      <c r="D222" s="201" t="s">
        <v>136</v>
      </c>
      <c r="E222" s="202" t="s">
        <v>137</v>
      </c>
      <c r="F222" s="202"/>
      <c r="G222" s="203">
        <v>45205</v>
      </c>
      <c r="H222" s="203">
        <v>47031</v>
      </c>
      <c r="I222" s="96" t="s">
        <v>266</v>
      </c>
      <c r="J222" s="204" t="s">
        <v>618</v>
      </c>
      <c r="K222" s="205" t="s">
        <v>129</v>
      </c>
      <c r="L222" s="281" t="s">
        <v>326</v>
      </c>
      <c r="M222" s="202" t="s">
        <v>318</v>
      </c>
      <c r="N222" s="207" t="s">
        <v>320</v>
      </c>
      <c r="O222" s="216" t="s">
        <v>416</v>
      </c>
      <c r="P222" s="96" t="s">
        <v>540</v>
      </c>
      <c r="Q222" s="96">
        <v>7850</v>
      </c>
      <c r="R222" s="202" t="s">
        <v>416</v>
      </c>
      <c r="S222" s="202" t="s">
        <v>416</v>
      </c>
      <c r="T222" s="202" t="s">
        <v>416</v>
      </c>
      <c r="U222" s="209" t="s">
        <v>416</v>
      </c>
      <c r="V222" s="149">
        <f>SUM(Table24[[#This Row],[A1toA3_GWP]:[C1toC4_GWP]])</f>
        <v>564.70000000000005</v>
      </c>
      <c r="W222" s="123">
        <f>VLOOKUP("DE",[1]Sheet1!$B$11:$F$30,4,FALSE)+Table24[[#This Row],[Total_GWP]]</f>
        <v>640.75</v>
      </c>
      <c r="X222" s="123">
        <f>VLOOKUP("DE",[1]Sheet1!$B$11:$F$30,5,FALSE)+Table24[[#This Row],[Total_GWP]]</f>
        <v>572.5</v>
      </c>
      <c r="Y222" s="149">
        <f>Table24[[#This Row],[Total_GWP]]*Table24[[#This Row],[DENSITY]]/1000</f>
        <v>4432.8950000000004</v>
      </c>
      <c r="Z222" s="284">
        <v>560</v>
      </c>
      <c r="AA222" s="81">
        <f>2.19+2.51</f>
        <v>4.6999999999999993</v>
      </c>
      <c r="AB222" s="83"/>
      <c r="AC222" s="83"/>
      <c r="AD222" s="83"/>
      <c r="AE222" s="85"/>
      <c r="AF222" s="92">
        <f ca="1">IF(OR($E222="Ecoinvent",$E222="Betonsortenrechner",$E222="KBOB",$V222&lt;=0,Table24[[#This Row],[VALID_TO]]&lt;=TODAY()),0,1)</f>
        <v>1</v>
      </c>
      <c r="AG222" s="92">
        <v>1</v>
      </c>
      <c r="AH222" s="92">
        <f ca="1">IF(AND(Table24[[#This Row],[ValidEPD]]&lt;&gt;0,Table24[[#This Row],[Man_Ausschluss]]&lt;&gt;0),1,0)</f>
        <v>1</v>
      </c>
      <c r="AI222" s="178" cm="1">
        <f t="array" aca="1" ref="AI222" ca="1">IF(Table24[[#This Row],[gültig]]&lt;&gt;0,
IF(V222=MIN(_xlfn._xlws.FILTER($V$2:$V$282,($P$2:$P$282=P222))),1,
IF(V222=MAX(_xlfn._xlws.FILTER($V$2:$V$282,($P$2:$P$282=P222))),1,0)),0)</f>
        <v>0</v>
      </c>
      <c r="AJ222" s="180"/>
      <c r="AK222" s="60"/>
      <c r="AL222" s="60"/>
    </row>
    <row r="223" spans="1:38" x14ac:dyDescent="0.45">
      <c r="A223" s="199" t="s">
        <v>367</v>
      </c>
      <c r="B223" s="200" t="s">
        <v>518</v>
      </c>
      <c r="C223" s="115">
        <v>224</v>
      </c>
      <c r="D223" s="201" t="s">
        <v>136</v>
      </c>
      <c r="E223" s="202" t="s">
        <v>137</v>
      </c>
      <c r="F223" s="202"/>
      <c r="G223" s="203">
        <v>45205</v>
      </c>
      <c r="H223" s="203">
        <v>47031</v>
      </c>
      <c r="I223" s="96" t="s">
        <v>266</v>
      </c>
      <c r="J223" s="204" t="s">
        <v>618</v>
      </c>
      <c r="K223" s="205" t="s">
        <v>129</v>
      </c>
      <c r="L223" s="324" t="s">
        <v>326</v>
      </c>
      <c r="M223" s="202" t="s">
        <v>318</v>
      </c>
      <c r="N223" s="325" t="s">
        <v>320</v>
      </c>
      <c r="O223" s="216" t="s">
        <v>416</v>
      </c>
      <c r="P223" s="96" t="s">
        <v>541</v>
      </c>
      <c r="Q223" s="96">
        <v>7850</v>
      </c>
      <c r="R223" s="202" t="s">
        <v>416</v>
      </c>
      <c r="S223" s="202" t="s">
        <v>416</v>
      </c>
      <c r="T223" s="202" t="s">
        <v>416</v>
      </c>
      <c r="U223" s="209" t="s">
        <v>416</v>
      </c>
      <c r="V223" s="149">
        <f>SUM(Table24[[#This Row],[A1toA3_GWP]:[C1toC4_GWP]])</f>
        <v>564.70000000000005</v>
      </c>
      <c r="W223" s="123">
        <f>VLOOKUP("DE",[1]Sheet1!$B$11:$F$30,4,FALSE)+Table24[[#This Row],[Total_GWP]]</f>
        <v>640.75</v>
      </c>
      <c r="X223" s="123">
        <f>VLOOKUP("DE",[1]Sheet1!$B$11:$F$30,5,FALSE)+Table24[[#This Row],[Total_GWP]]</f>
        <v>572.5</v>
      </c>
      <c r="Y223" s="149">
        <f>Table24[[#This Row],[Total_GWP]]*Table24[[#This Row],[DENSITY]]/1000</f>
        <v>4432.8950000000004</v>
      </c>
      <c r="Z223" s="284">
        <v>560</v>
      </c>
      <c r="AA223" s="81">
        <f>2.19+2.51</f>
        <v>4.6999999999999993</v>
      </c>
      <c r="AB223" s="83"/>
      <c r="AC223" s="83"/>
      <c r="AD223" s="83"/>
      <c r="AE223" s="85"/>
      <c r="AF223" s="92">
        <f ca="1">IF(OR($E223="Ecoinvent",$E223="Betonsortenrechner",$E223="KBOB",$V223&lt;=0,Table24[[#This Row],[VALID_TO]]&lt;=TODAY()),0,1)</f>
        <v>1</v>
      </c>
      <c r="AG223" s="92">
        <v>1</v>
      </c>
      <c r="AH223" s="92">
        <f ca="1">IF(AND(Table24[[#This Row],[ValidEPD]]&lt;&gt;0,Table24[[#This Row],[Man_Ausschluss]]&lt;&gt;0),1,0)</f>
        <v>1</v>
      </c>
      <c r="AI223" s="178" cm="1">
        <f t="array" aca="1" ref="AI223" ca="1">IF(Table24[[#This Row],[gültig]]&lt;&gt;0,
IF(V223=MIN(_xlfn._xlws.FILTER($V$2:$V$282,($P$2:$P$282=P223))),1,
IF(V223=MAX(_xlfn._xlws.FILTER($V$2:$V$282,($P$2:$P$282=P223))),1,0)),0)</f>
        <v>0</v>
      </c>
      <c r="AJ223" s="180"/>
      <c r="AK223" s="60"/>
      <c r="AL223" s="60"/>
    </row>
    <row r="224" spans="1:38" x14ac:dyDescent="0.45">
      <c r="A224" s="199" t="s">
        <v>367</v>
      </c>
      <c r="B224" s="200" t="s">
        <v>519</v>
      </c>
      <c r="C224" s="111">
        <v>225</v>
      </c>
      <c r="D224" s="201" t="s">
        <v>136</v>
      </c>
      <c r="E224" s="202" t="s">
        <v>137</v>
      </c>
      <c r="F224" s="202"/>
      <c r="G224" s="203">
        <v>45205</v>
      </c>
      <c r="H224" s="203">
        <v>47031</v>
      </c>
      <c r="I224" s="96" t="s">
        <v>266</v>
      </c>
      <c r="J224" s="204" t="s">
        <v>618</v>
      </c>
      <c r="K224" s="205" t="s">
        <v>129</v>
      </c>
      <c r="L224" s="324" t="s">
        <v>326</v>
      </c>
      <c r="M224" s="202" t="s">
        <v>318</v>
      </c>
      <c r="N224" s="325" t="s">
        <v>320</v>
      </c>
      <c r="O224" s="216" t="s">
        <v>416</v>
      </c>
      <c r="P224" s="96" t="s">
        <v>542</v>
      </c>
      <c r="Q224" s="96">
        <v>7850</v>
      </c>
      <c r="R224" s="202" t="s">
        <v>416</v>
      </c>
      <c r="S224" s="202" t="s">
        <v>416</v>
      </c>
      <c r="T224" s="202" t="s">
        <v>416</v>
      </c>
      <c r="U224" s="209" t="s">
        <v>416</v>
      </c>
      <c r="V224" s="149">
        <f>SUM(Table24[[#This Row],[A1toA3_GWP]:[C1toC4_GWP]])</f>
        <v>564.70000000000005</v>
      </c>
      <c r="W224" s="123">
        <f>VLOOKUP("DE",[1]Sheet1!$B$11:$F$30,4,FALSE)+Table24[[#This Row],[Total_GWP]]</f>
        <v>640.75</v>
      </c>
      <c r="X224" s="123">
        <f>VLOOKUP("DE",[1]Sheet1!$B$11:$F$30,5,FALSE)+Table24[[#This Row],[Total_GWP]]</f>
        <v>572.5</v>
      </c>
      <c r="Y224" s="149">
        <f>Table24[[#This Row],[Total_GWP]]*Table24[[#This Row],[DENSITY]]/1000</f>
        <v>4432.8950000000004</v>
      </c>
      <c r="Z224" s="284">
        <v>560</v>
      </c>
      <c r="AA224" s="81">
        <f>2.19+2.51</f>
        <v>4.6999999999999993</v>
      </c>
      <c r="AB224" s="83"/>
      <c r="AC224" s="83"/>
      <c r="AD224" s="83"/>
      <c r="AE224" s="85"/>
      <c r="AF224" s="92">
        <f ca="1">IF(OR($E224="Ecoinvent",$E224="Betonsortenrechner",$E224="KBOB",$V224&lt;=0,Table24[[#This Row],[VALID_TO]]&lt;=TODAY()),0,1)</f>
        <v>1</v>
      </c>
      <c r="AG224" s="92">
        <v>1</v>
      </c>
      <c r="AH224" s="92">
        <f ca="1">IF(AND(Table24[[#This Row],[ValidEPD]]&lt;&gt;0,Table24[[#This Row],[Man_Ausschluss]]&lt;&gt;0),1,0)</f>
        <v>1</v>
      </c>
      <c r="AI224" s="178" cm="1">
        <f t="array" aca="1" ref="AI224" ca="1">IF(Table24[[#This Row],[gültig]]&lt;&gt;0,
IF(V224=MIN(_xlfn._xlws.FILTER($V$2:$V$282,($P$2:$P$282=P224))),1,
IF(V224=MAX(_xlfn._xlws.FILTER($V$2:$V$282,($P$2:$P$282=P224))),1,0)),0)</f>
        <v>0</v>
      </c>
      <c r="AJ224" s="180"/>
      <c r="AK224" s="60"/>
      <c r="AL224" s="60"/>
    </row>
    <row r="225" spans="1:38" x14ac:dyDescent="0.45">
      <c r="A225" s="199" t="s">
        <v>367</v>
      </c>
      <c r="B225" s="200" t="s">
        <v>520</v>
      </c>
      <c r="C225" s="115">
        <v>226</v>
      </c>
      <c r="D225" s="201" t="s">
        <v>136</v>
      </c>
      <c r="E225" s="202" t="s">
        <v>137</v>
      </c>
      <c r="F225" s="202"/>
      <c r="G225" s="203">
        <v>45205</v>
      </c>
      <c r="H225" s="203">
        <v>47031</v>
      </c>
      <c r="I225" s="96" t="s">
        <v>266</v>
      </c>
      <c r="J225" s="204" t="s">
        <v>618</v>
      </c>
      <c r="K225" s="205" t="s">
        <v>129</v>
      </c>
      <c r="L225" s="324" t="s">
        <v>326</v>
      </c>
      <c r="M225" s="202" t="s">
        <v>318</v>
      </c>
      <c r="N225" s="325" t="s">
        <v>320</v>
      </c>
      <c r="O225" s="216" t="s">
        <v>416</v>
      </c>
      <c r="P225" s="96" t="s">
        <v>544</v>
      </c>
      <c r="Q225" s="96">
        <v>7850</v>
      </c>
      <c r="R225" s="202" t="s">
        <v>416</v>
      </c>
      <c r="S225" s="202" t="s">
        <v>416</v>
      </c>
      <c r="T225" s="202" t="s">
        <v>416</v>
      </c>
      <c r="U225" s="209" t="s">
        <v>416</v>
      </c>
      <c r="V225" s="149">
        <f>SUM(Table24[[#This Row],[A1toA3_GWP]:[C1toC4_GWP]])</f>
        <v>564.70000000000005</v>
      </c>
      <c r="W225" s="123">
        <f>VLOOKUP("DE",[1]Sheet1!$B$11:$F$30,4,FALSE)+Table24[[#This Row],[Total_GWP]]</f>
        <v>640.75</v>
      </c>
      <c r="X225" s="123">
        <f>VLOOKUP("DE",[1]Sheet1!$B$11:$F$30,5,FALSE)+Table24[[#This Row],[Total_GWP]]</f>
        <v>572.5</v>
      </c>
      <c r="Y225" s="149">
        <f>Table24[[#This Row],[Total_GWP]]*Table24[[#This Row],[DENSITY]]/1000</f>
        <v>4432.8950000000004</v>
      </c>
      <c r="Z225" s="284">
        <v>560</v>
      </c>
      <c r="AA225" s="81">
        <f>2.19+2.51</f>
        <v>4.6999999999999993</v>
      </c>
      <c r="AB225" s="83"/>
      <c r="AC225" s="83"/>
      <c r="AD225" s="83"/>
      <c r="AE225" s="85"/>
      <c r="AF225" s="92">
        <f ca="1">IF(OR($E225="Ecoinvent",$E225="Betonsortenrechner",$E225="KBOB",$V225&lt;=0,Table24[[#This Row],[VALID_TO]]&lt;=TODAY()),0,1)</f>
        <v>1</v>
      </c>
      <c r="AG225" s="92">
        <v>1</v>
      </c>
      <c r="AH225" s="92">
        <f ca="1">IF(AND(Table24[[#This Row],[ValidEPD]]&lt;&gt;0,Table24[[#This Row],[Man_Ausschluss]]&lt;&gt;0),1,0)</f>
        <v>1</v>
      </c>
      <c r="AI225" s="178" cm="1">
        <f t="array" aca="1" ref="AI225" ca="1">IF(Table24[[#This Row],[gültig]]&lt;&gt;0,
IF(V225=MIN(_xlfn._xlws.FILTER($V$2:$V$282,($P$2:$P$282=P225))),1,
IF(V225=MAX(_xlfn._xlws.FILTER($V$2:$V$282,($P$2:$P$282=P225))),1,0)),0)</f>
        <v>1</v>
      </c>
      <c r="AJ225" s="180"/>
      <c r="AK225" s="60"/>
      <c r="AL225" s="60"/>
    </row>
    <row r="226" spans="1:38" x14ac:dyDescent="0.45">
      <c r="A226" s="199" t="s">
        <v>368</v>
      </c>
      <c r="B226" s="200" t="s">
        <v>502</v>
      </c>
      <c r="C226" s="111">
        <v>227</v>
      </c>
      <c r="D226" s="201" t="s">
        <v>139</v>
      </c>
      <c r="E226" s="202" t="s">
        <v>138</v>
      </c>
      <c r="F226" s="202"/>
      <c r="G226" s="203">
        <v>43455</v>
      </c>
      <c r="H226" s="203">
        <v>45280</v>
      </c>
      <c r="I226" s="96" t="s">
        <v>266</v>
      </c>
      <c r="J226" s="204" t="s">
        <v>615</v>
      </c>
      <c r="K226" s="205" t="s">
        <v>140</v>
      </c>
      <c r="L226" s="324" t="s">
        <v>326</v>
      </c>
      <c r="M226" s="202" t="s">
        <v>318</v>
      </c>
      <c r="N226" s="325" t="s">
        <v>320</v>
      </c>
      <c r="O226" s="216" t="s">
        <v>416</v>
      </c>
      <c r="P226" s="96" t="s">
        <v>540</v>
      </c>
      <c r="Q226" s="96">
        <v>7850</v>
      </c>
      <c r="R226" s="202" t="s">
        <v>416</v>
      </c>
      <c r="S226" s="202" t="s">
        <v>416</v>
      </c>
      <c r="T226" s="202" t="s">
        <v>416</v>
      </c>
      <c r="U226" s="209" t="s">
        <v>416</v>
      </c>
      <c r="V226" s="149">
        <f>SUM(Table24[[#This Row],[A1toA3_GWP]:[C1toC4_GWP]])</f>
        <v>1322.21</v>
      </c>
      <c r="W226" s="123">
        <f>VLOOKUP("FR",[1]Sheet1!$B$11:$F$30,4,FALSE)+Table24[[#This Row],[Total_GWP]]</f>
        <v>1392.41</v>
      </c>
      <c r="X226" s="123">
        <f>VLOOKUP("FR",[1]Sheet1!$B$11:$F$30,5,FALSE)+Table24[[#This Row],[Total_GWP]]</f>
        <v>1329.41</v>
      </c>
      <c r="Y226" s="149">
        <f>Table24[[#This Row],[Total_GWP]]*Table24[[#This Row],[DENSITY]]/1000</f>
        <v>10379.3485</v>
      </c>
      <c r="Z226" s="284">
        <v>1320</v>
      </c>
      <c r="AA226" s="81">
        <v>2.21</v>
      </c>
      <c r="AB226" s="83"/>
      <c r="AC226" s="83"/>
      <c r="AD226" s="83"/>
      <c r="AE226" s="85"/>
      <c r="AF226" s="92">
        <f ca="1">IF(OR($E226="Ecoinvent",$E226="Betonsortenrechner",$E226="KBOB",$V226&lt;=0,Table24[[#This Row],[VALID_TO]]&lt;=TODAY()),0,1)</f>
        <v>0</v>
      </c>
      <c r="AG226" s="92">
        <v>1</v>
      </c>
      <c r="AH226" s="92">
        <f ca="1">IF(AND(Table24[[#This Row],[ValidEPD]]&lt;&gt;0,Table24[[#This Row],[Man_Ausschluss]]&lt;&gt;0),1,0)</f>
        <v>0</v>
      </c>
      <c r="AI226" s="178" cm="1">
        <f t="array" aca="1" ref="AI226" ca="1">IF(Table24[[#This Row],[gültig]]&lt;&gt;0,
IF(V226=MIN(_xlfn._xlws.FILTER($V$2:$V$282,($P$2:$P$282=P226))),1,
IF(V226=MAX(_xlfn._xlws.FILTER($V$2:$V$282,($P$2:$P$282=P226))),1,0)),0)</f>
        <v>0</v>
      </c>
      <c r="AJ226" s="180"/>
      <c r="AK226" s="60"/>
      <c r="AL226" s="60"/>
    </row>
    <row r="227" spans="1:38" x14ac:dyDescent="0.45">
      <c r="A227" s="199" t="s">
        <v>368</v>
      </c>
      <c r="B227" s="200" t="s">
        <v>518</v>
      </c>
      <c r="C227" s="115">
        <v>228</v>
      </c>
      <c r="D227" s="201" t="s">
        <v>139</v>
      </c>
      <c r="E227" s="202" t="s">
        <v>138</v>
      </c>
      <c r="F227" s="202"/>
      <c r="G227" s="203">
        <v>43455</v>
      </c>
      <c r="H227" s="203">
        <v>45280</v>
      </c>
      <c r="I227" s="96" t="s">
        <v>266</v>
      </c>
      <c r="J227" s="204" t="s">
        <v>615</v>
      </c>
      <c r="K227" s="205" t="s">
        <v>140</v>
      </c>
      <c r="L227" s="324" t="s">
        <v>326</v>
      </c>
      <c r="M227" s="202" t="s">
        <v>318</v>
      </c>
      <c r="N227" s="325" t="s">
        <v>320</v>
      </c>
      <c r="O227" s="216" t="s">
        <v>416</v>
      </c>
      <c r="P227" s="96" t="s">
        <v>541</v>
      </c>
      <c r="Q227" s="96">
        <v>7850</v>
      </c>
      <c r="R227" s="202" t="s">
        <v>416</v>
      </c>
      <c r="S227" s="202" t="s">
        <v>416</v>
      </c>
      <c r="T227" s="202" t="s">
        <v>416</v>
      </c>
      <c r="U227" s="209" t="s">
        <v>416</v>
      </c>
      <c r="V227" s="149">
        <f>SUM(Table24[[#This Row],[A1toA3_GWP]:[C1toC4_GWP]])</f>
        <v>1322.21</v>
      </c>
      <c r="W227" s="123">
        <f>VLOOKUP("FR",[1]Sheet1!$B$11:$F$30,4,FALSE)+Table24[[#This Row],[Total_GWP]]</f>
        <v>1392.41</v>
      </c>
      <c r="X227" s="123">
        <f>VLOOKUP("FR",[1]Sheet1!$B$11:$F$30,5,FALSE)+Table24[[#This Row],[Total_GWP]]</f>
        <v>1329.41</v>
      </c>
      <c r="Y227" s="149">
        <f>Table24[[#This Row],[Total_GWP]]*Table24[[#This Row],[DENSITY]]/1000</f>
        <v>10379.3485</v>
      </c>
      <c r="Z227" s="284">
        <v>1320</v>
      </c>
      <c r="AA227" s="81">
        <v>2.21</v>
      </c>
      <c r="AB227" s="83"/>
      <c r="AC227" s="83"/>
      <c r="AD227" s="83"/>
      <c r="AE227" s="85"/>
      <c r="AF227" s="92">
        <f ca="1">IF(OR($E227="Ecoinvent",$E227="Betonsortenrechner",$E227="KBOB",$V227&lt;=0,Table24[[#This Row],[VALID_TO]]&lt;=TODAY()),0,1)</f>
        <v>0</v>
      </c>
      <c r="AG227" s="92">
        <v>1</v>
      </c>
      <c r="AH227" s="92">
        <f ca="1">IF(AND(Table24[[#This Row],[ValidEPD]]&lt;&gt;0,Table24[[#This Row],[Man_Ausschluss]]&lt;&gt;0),1,0)</f>
        <v>0</v>
      </c>
      <c r="AI227" s="178" cm="1">
        <f t="array" aca="1" ref="AI227" ca="1">IF(Table24[[#This Row],[gültig]]&lt;&gt;0,
IF(V227=MIN(_xlfn._xlws.FILTER($V$2:$V$282,($P$2:$P$282=P227))),1,
IF(V227=MAX(_xlfn._xlws.FILTER($V$2:$V$282,($P$2:$P$282=P227))),1,0)),0)</f>
        <v>0</v>
      </c>
      <c r="AJ227" s="180"/>
      <c r="AK227" s="60"/>
      <c r="AL227" s="60"/>
    </row>
    <row r="228" spans="1:38" x14ac:dyDescent="0.45">
      <c r="A228" s="199" t="s">
        <v>368</v>
      </c>
      <c r="B228" s="200" t="s">
        <v>519</v>
      </c>
      <c r="C228" s="115">
        <v>229</v>
      </c>
      <c r="D228" s="201" t="s">
        <v>139</v>
      </c>
      <c r="E228" s="202" t="s">
        <v>138</v>
      </c>
      <c r="F228" s="202"/>
      <c r="G228" s="203">
        <v>43455</v>
      </c>
      <c r="H228" s="203">
        <v>45280</v>
      </c>
      <c r="I228" s="96" t="s">
        <v>266</v>
      </c>
      <c r="J228" s="204" t="s">
        <v>615</v>
      </c>
      <c r="K228" s="205" t="s">
        <v>140</v>
      </c>
      <c r="L228" s="324" t="s">
        <v>326</v>
      </c>
      <c r="M228" s="202" t="s">
        <v>318</v>
      </c>
      <c r="N228" s="325" t="s">
        <v>320</v>
      </c>
      <c r="O228" s="216" t="s">
        <v>416</v>
      </c>
      <c r="P228" s="96" t="s">
        <v>542</v>
      </c>
      <c r="Q228" s="96">
        <v>7850</v>
      </c>
      <c r="R228" s="202" t="s">
        <v>416</v>
      </c>
      <c r="S228" s="202" t="s">
        <v>416</v>
      </c>
      <c r="T228" s="202" t="s">
        <v>416</v>
      </c>
      <c r="U228" s="209" t="s">
        <v>416</v>
      </c>
      <c r="V228" s="149">
        <f>SUM(Table24[[#This Row],[A1toA3_GWP]:[C1toC4_GWP]])</f>
        <v>1322.21</v>
      </c>
      <c r="W228" s="123">
        <f>VLOOKUP("FR",[1]Sheet1!$B$11:$F$30,4,FALSE)+Table24[[#This Row],[Total_GWP]]</f>
        <v>1392.41</v>
      </c>
      <c r="X228" s="123">
        <f>VLOOKUP("FR",[1]Sheet1!$B$11:$F$30,5,FALSE)+Table24[[#This Row],[Total_GWP]]</f>
        <v>1329.41</v>
      </c>
      <c r="Y228" s="149">
        <f>Table24[[#This Row],[Total_GWP]]*Table24[[#This Row],[DENSITY]]/1000</f>
        <v>10379.3485</v>
      </c>
      <c r="Z228" s="284">
        <v>1320</v>
      </c>
      <c r="AA228" s="81">
        <v>2.21</v>
      </c>
      <c r="AB228" s="83"/>
      <c r="AC228" s="83"/>
      <c r="AD228" s="83"/>
      <c r="AE228" s="85"/>
      <c r="AF228" s="92">
        <f ca="1">IF(OR($E228="Ecoinvent",$E228="Betonsortenrechner",$E228="KBOB",$V228&lt;=0,Table24[[#This Row],[VALID_TO]]&lt;=TODAY()),0,1)</f>
        <v>0</v>
      </c>
      <c r="AG228" s="92">
        <v>1</v>
      </c>
      <c r="AH228" s="92">
        <f ca="1">IF(AND(Table24[[#This Row],[ValidEPD]]&lt;&gt;0,Table24[[#This Row],[Man_Ausschluss]]&lt;&gt;0),1,0)</f>
        <v>0</v>
      </c>
      <c r="AI228" s="178" cm="1">
        <f t="array" aca="1" ref="AI228" ca="1">IF(Table24[[#This Row],[gültig]]&lt;&gt;0,
IF(V228=MIN(_xlfn._xlws.FILTER($V$2:$V$282,($P$2:$P$282=P228))),1,
IF(V228=MAX(_xlfn._xlws.FILTER($V$2:$V$282,($P$2:$P$282=P228))),1,0)),0)</f>
        <v>0</v>
      </c>
      <c r="AJ228" s="180"/>
      <c r="AK228" s="60"/>
      <c r="AL228" s="60"/>
    </row>
    <row r="229" spans="1:38" s="8" customFormat="1" x14ac:dyDescent="0.45">
      <c r="A229" s="94" t="s">
        <v>368</v>
      </c>
      <c r="B229" s="200" t="s">
        <v>520</v>
      </c>
      <c r="C229" s="115">
        <v>230</v>
      </c>
      <c r="D229" s="201" t="s">
        <v>139</v>
      </c>
      <c r="E229" s="202" t="s">
        <v>138</v>
      </c>
      <c r="F229" s="200"/>
      <c r="G229" s="203">
        <v>43455</v>
      </c>
      <c r="H229" s="203">
        <v>45280</v>
      </c>
      <c r="I229" s="96" t="s">
        <v>266</v>
      </c>
      <c r="J229" s="204" t="s">
        <v>615</v>
      </c>
      <c r="K229" s="205" t="s">
        <v>140</v>
      </c>
      <c r="L229" s="281" t="s">
        <v>326</v>
      </c>
      <c r="M229" s="201" t="s">
        <v>318</v>
      </c>
      <c r="N229" s="207" t="s">
        <v>320</v>
      </c>
      <c r="O229" s="208" t="s">
        <v>416</v>
      </c>
      <c r="P229" s="96" t="s">
        <v>543</v>
      </c>
      <c r="Q229" s="96">
        <v>7850</v>
      </c>
      <c r="R229" s="202" t="s">
        <v>416</v>
      </c>
      <c r="S229" s="202" t="s">
        <v>416</v>
      </c>
      <c r="T229" s="202" t="s">
        <v>416</v>
      </c>
      <c r="U229" s="209" t="s">
        <v>416</v>
      </c>
      <c r="V229" s="123">
        <f>SUM(Table24[[#This Row],[A1toA3_GWP]:[C1toC4_GWP]])</f>
        <v>1322.21</v>
      </c>
      <c r="W229" s="123">
        <f>VLOOKUP("FR",[1]Sheet1!$B$11:$F$30,4,FALSE)+Table24[[#This Row],[Total_GWP]]</f>
        <v>1392.41</v>
      </c>
      <c r="X229" s="123">
        <f>VLOOKUP("FR",[1]Sheet1!$B$11:$F$30,5,FALSE)+Table24[[#This Row],[Total_GWP]]</f>
        <v>1329.41</v>
      </c>
      <c r="Y229" s="123">
        <f>Table24[[#This Row],[Total_GWP]]*Table24[[#This Row],[DENSITY]]/1000</f>
        <v>10379.3485</v>
      </c>
      <c r="Z229" s="284">
        <v>1320</v>
      </c>
      <c r="AA229" s="81">
        <v>2.21</v>
      </c>
      <c r="AB229" s="83"/>
      <c r="AC229" s="83"/>
      <c r="AD229" s="83"/>
      <c r="AE229" s="85"/>
      <c r="AF229" s="92">
        <f ca="1">IF(OR($E229="Ecoinvent",$E229="Betonsortenrechner",$E229="KBOB",$V229&lt;=0,Table24[[#This Row],[VALID_TO]]&lt;=TODAY()),0,1)</f>
        <v>0</v>
      </c>
      <c r="AG229" s="92">
        <v>1</v>
      </c>
      <c r="AH229" s="92">
        <f ca="1">IF(AND(Table24[[#This Row],[ValidEPD]]&lt;&gt;0,Table24[[#This Row],[Man_Ausschluss]]&lt;&gt;0),1,0)</f>
        <v>0</v>
      </c>
      <c r="AI229" s="178" cm="1">
        <f t="array" aca="1" ref="AI229" ca="1">IF(Table24[[#This Row],[gültig]]&lt;&gt;0,
IF(V229=MIN(_xlfn._xlws.FILTER($V$2:$V$282,($P$2:$P$282=P229))),1,
IF(V229=MAX(_xlfn._xlws.FILTER($V$2:$V$282,($P$2:$P$282=P229))),1,0)),0)</f>
        <v>0</v>
      </c>
      <c r="AJ229" s="180"/>
      <c r="AK229" s="60"/>
      <c r="AL229" s="60"/>
    </row>
    <row r="230" spans="1:38" x14ac:dyDescent="0.45">
      <c r="A230" s="94" t="s">
        <v>430</v>
      </c>
      <c r="B230" s="326" t="s">
        <v>502</v>
      </c>
      <c r="C230" s="111">
        <v>231</v>
      </c>
      <c r="D230" s="201" t="s">
        <v>433</v>
      </c>
      <c r="E230" s="202" t="s">
        <v>431</v>
      </c>
      <c r="F230" s="202"/>
      <c r="G230" s="203">
        <v>44498</v>
      </c>
      <c r="H230" s="203">
        <v>46323</v>
      </c>
      <c r="I230" s="96" t="s">
        <v>240</v>
      </c>
      <c r="J230" s="204" t="s">
        <v>240</v>
      </c>
      <c r="K230" s="205" t="s">
        <v>129</v>
      </c>
      <c r="L230" s="281" t="s">
        <v>326</v>
      </c>
      <c r="M230" s="201" t="s">
        <v>432</v>
      </c>
      <c r="N230" s="207" t="s">
        <v>320</v>
      </c>
      <c r="O230" s="208" t="s">
        <v>416</v>
      </c>
      <c r="P230" s="96" t="s">
        <v>540</v>
      </c>
      <c r="Q230" s="96">
        <v>7850</v>
      </c>
      <c r="R230" s="202" t="s">
        <v>416</v>
      </c>
      <c r="S230" s="202" t="s">
        <v>416</v>
      </c>
      <c r="T230" s="202" t="s">
        <v>416</v>
      </c>
      <c r="U230" s="209" t="s">
        <v>416</v>
      </c>
      <c r="V230" s="83">
        <f>SUM(Table24[[#This Row],[A1toA3_GWP]:[C1toC4_GWP]])</f>
        <v>996.27</v>
      </c>
      <c r="W230" s="83">
        <f>VLOOKUP(Table24[[#This Row],[Country PRODUCTION]],[1]Sheet1!$B$11:$F$30,4,FALSE)+Table24[[#This Row],[Total_GWP]]</f>
        <v>1265.3699999999999</v>
      </c>
      <c r="X230" s="83">
        <f>VLOOKUP(Table24[[#This Row],[Country PRODUCTION]],[1]Sheet1!$B$11:$F$30,5,FALSE)+Table24[[#This Row],[Total_GWP]]</f>
        <v>1023.87</v>
      </c>
      <c r="Y230" s="83">
        <f>Table24[[#This Row],[Total_GWP]]*Table24[[#This Row],[DENSITY]]/1000</f>
        <v>7820.7195000000002</v>
      </c>
      <c r="Z230" s="128">
        <f>0.964*1000</f>
        <v>964</v>
      </c>
      <c r="AA230" s="81">
        <f>(0.003+0.00827+0.021)*1000</f>
        <v>32.270000000000003</v>
      </c>
      <c r="AB230" s="83"/>
      <c r="AC230" s="83"/>
      <c r="AD230" s="83"/>
      <c r="AE230" s="85"/>
      <c r="AF230" s="92">
        <f ca="1">IF(OR($E230="Ecoinvent",$E230="Betonsortenrechner",$E230="KBOB",$V230&lt;=0,Table24[[#This Row],[VALID_TO]]&lt;=TODAY()),0,1)</f>
        <v>1</v>
      </c>
      <c r="AG230" s="92">
        <v>1</v>
      </c>
      <c r="AH230" s="92">
        <f ca="1">IF(AND(Table24[[#This Row],[ValidEPD]]&lt;&gt;0,Table24[[#This Row],[Man_Ausschluss]]&lt;&gt;0),1,0)</f>
        <v>1</v>
      </c>
      <c r="AI230" s="178" cm="1">
        <f t="array" aca="1" ref="AI230" ca="1">IF(Table24[[#This Row],[gültig]]&lt;&gt;0,
IF(V230=MIN(_xlfn._xlws.FILTER($V$2:$V$282,($P$2:$P$282=P230))),1,
IF(V230=MAX(_xlfn._xlws.FILTER($V$2:$V$282,($P$2:$P$282=P230))),1,0)),0)</f>
        <v>0</v>
      </c>
      <c r="AJ230" s="180"/>
      <c r="AK230" s="2" t="s">
        <v>547</v>
      </c>
      <c r="AL230" s="2"/>
    </row>
    <row r="231" spans="1:38" x14ac:dyDescent="0.45">
      <c r="A231" s="94" t="s">
        <v>430</v>
      </c>
      <c r="B231" s="326" t="s">
        <v>518</v>
      </c>
      <c r="C231" s="115">
        <v>232</v>
      </c>
      <c r="D231" s="201" t="s">
        <v>433</v>
      </c>
      <c r="E231" s="202" t="s">
        <v>431</v>
      </c>
      <c r="F231" s="202"/>
      <c r="G231" s="203">
        <v>44498</v>
      </c>
      <c r="H231" s="203">
        <v>46323</v>
      </c>
      <c r="I231" s="96" t="s">
        <v>240</v>
      </c>
      <c r="J231" s="204" t="s">
        <v>240</v>
      </c>
      <c r="K231" s="205" t="s">
        <v>129</v>
      </c>
      <c r="L231" s="281" t="s">
        <v>326</v>
      </c>
      <c r="M231" s="201" t="s">
        <v>432</v>
      </c>
      <c r="N231" s="207" t="s">
        <v>320</v>
      </c>
      <c r="O231" s="208" t="s">
        <v>416</v>
      </c>
      <c r="P231" s="96" t="s">
        <v>541</v>
      </c>
      <c r="Q231" s="96">
        <v>7850</v>
      </c>
      <c r="R231" s="202" t="s">
        <v>416</v>
      </c>
      <c r="S231" s="202" t="s">
        <v>416</v>
      </c>
      <c r="T231" s="202" t="s">
        <v>416</v>
      </c>
      <c r="U231" s="209" t="s">
        <v>416</v>
      </c>
      <c r="V231" s="83">
        <f>SUM(Table24[[#This Row],[A1toA3_GWP]:[C1toC4_GWP]])</f>
        <v>996.27</v>
      </c>
      <c r="W231" s="83">
        <f>VLOOKUP(Table24[[#This Row],[Country PRODUCTION]],[1]Sheet1!$B$11:$F$30,4,FALSE)+Table24[[#This Row],[Total_GWP]]</f>
        <v>1265.3699999999999</v>
      </c>
      <c r="X231" s="83">
        <f>VLOOKUP(Table24[[#This Row],[Country PRODUCTION]],[1]Sheet1!$B$11:$F$30,5,FALSE)+Table24[[#This Row],[Total_GWP]]</f>
        <v>1023.87</v>
      </c>
      <c r="Y231" s="83">
        <f>Table24[[#This Row],[Total_GWP]]*Table24[[#This Row],[DENSITY]]/1000</f>
        <v>7820.7195000000002</v>
      </c>
      <c r="Z231" s="128">
        <f>0.964*1000</f>
        <v>964</v>
      </c>
      <c r="AA231" s="81">
        <f>(0.003+0.00827+0.021)*1000</f>
        <v>32.270000000000003</v>
      </c>
      <c r="AB231" s="83"/>
      <c r="AC231" s="83"/>
      <c r="AD231" s="83"/>
      <c r="AE231" s="85"/>
      <c r="AF231" s="92">
        <f ca="1">IF(OR($E231="Ecoinvent",$E231="Betonsortenrechner",$E231="KBOB",$V231&lt;=0,Table24[[#This Row],[VALID_TO]]&lt;=TODAY()),0,1)</f>
        <v>1</v>
      </c>
      <c r="AG231" s="92">
        <v>1</v>
      </c>
      <c r="AH231" s="92">
        <f ca="1">IF(AND(Table24[[#This Row],[ValidEPD]]&lt;&gt;0,Table24[[#This Row],[Man_Ausschluss]]&lt;&gt;0),1,0)</f>
        <v>1</v>
      </c>
      <c r="AI231" s="178" cm="1">
        <f t="array" aca="1" ref="AI231" ca="1">IF(Table24[[#This Row],[gültig]]&lt;&gt;0,
IF(V231=MIN(_xlfn._xlws.FILTER($V$2:$V$282,($P$2:$P$282=P231))),1,
IF(V231=MAX(_xlfn._xlws.FILTER($V$2:$V$282,($P$2:$P$282=P231))),1,0)),0)</f>
        <v>0</v>
      </c>
      <c r="AJ231" s="180"/>
      <c r="AK231" s="2" t="s">
        <v>547</v>
      </c>
      <c r="AL231" s="2"/>
    </row>
    <row r="232" spans="1:38" x14ac:dyDescent="0.45">
      <c r="A232" s="94" t="s">
        <v>434</v>
      </c>
      <c r="B232" s="200" t="s">
        <v>502</v>
      </c>
      <c r="C232" s="111">
        <v>233</v>
      </c>
      <c r="D232" s="201" t="s">
        <v>136</v>
      </c>
      <c r="E232" s="202" t="s">
        <v>126</v>
      </c>
      <c r="F232" s="202"/>
      <c r="G232" s="203">
        <v>45205</v>
      </c>
      <c r="H232" s="203">
        <v>47031</v>
      </c>
      <c r="I232" s="96" t="s">
        <v>266</v>
      </c>
      <c r="J232" s="204" t="s">
        <v>619</v>
      </c>
      <c r="K232" s="205" t="s">
        <v>129</v>
      </c>
      <c r="L232" s="281" t="s">
        <v>326</v>
      </c>
      <c r="M232" s="201" t="s">
        <v>432</v>
      </c>
      <c r="N232" s="207" t="s">
        <v>320</v>
      </c>
      <c r="O232" s="208" t="s">
        <v>416</v>
      </c>
      <c r="P232" s="96" t="s">
        <v>540</v>
      </c>
      <c r="Q232" s="96">
        <v>7850</v>
      </c>
      <c r="R232" s="202" t="s">
        <v>416</v>
      </c>
      <c r="S232" s="202" t="s">
        <v>416</v>
      </c>
      <c r="T232" s="202" t="s">
        <v>416</v>
      </c>
      <c r="U232" s="209" t="s">
        <v>416</v>
      </c>
      <c r="V232" s="83">
        <f>SUM(Table24[[#This Row],[A1toA3_GWP]:[C1toC4_GWP]])</f>
        <v>560</v>
      </c>
      <c r="W232" s="123">
        <f>VLOOKUP("DE",[1]Sheet1!$B$11:$F$30,4,FALSE)+Table24[[#This Row],[Total_GWP]]</f>
        <v>636.04999999999995</v>
      </c>
      <c r="X232" s="123">
        <f>VLOOKUP("DE",[1]Sheet1!$B$11:$F$30,5,FALSE)+Table24[[#This Row],[Total_GWP]]</f>
        <v>567.79999999999995</v>
      </c>
      <c r="Y232" s="83">
        <f>Table24[[#This Row],[Total_GWP]]*Table24[[#This Row],[DENSITY]]/1000</f>
        <v>4396</v>
      </c>
      <c r="Z232" s="128">
        <v>560</v>
      </c>
      <c r="AA232" s="81">
        <v>0</v>
      </c>
      <c r="AB232" s="83"/>
      <c r="AC232" s="83"/>
      <c r="AD232" s="83"/>
      <c r="AE232" s="85"/>
      <c r="AF232" s="92">
        <f ca="1">IF(OR($E232="Ecoinvent",$E232="Betonsortenrechner",$E232="KBOB",$V232&lt;=0,Table24[[#This Row],[VALID_TO]]&lt;=TODAY()),0,1)</f>
        <v>1</v>
      </c>
      <c r="AG232" s="92">
        <v>1</v>
      </c>
      <c r="AH232" s="92">
        <f ca="1">IF(AND(Table24[[#This Row],[ValidEPD]]&lt;&gt;0,Table24[[#This Row],[Man_Ausschluss]]&lt;&gt;0),1,0)</f>
        <v>1</v>
      </c>
      <c r="AI232" s="178" cm="1">
        <f t="array" aca="1" ref="AI232" ca="1">IF(Table24[[#This Row],[gültig]]&lt;&gt;0,
IF(V232=MIN(_xlfn._xlws.FILTER($V$2:$V$282,($P$2:$P$282=P232))),1,
IF(V232=MAX(_xlfn._xlws.FILTER($V$2:$V$282,($P$2:$P$282=P232))),1,0)),0)</f>
        <v>0</v>
      </c>
      <c r="AJ232" s="180"/>
      <c r="AK232" s="60"/>
      <c r="AL232" s="60"/>
    </row>
    <row r="233" spans="1:38" x14ac:dyDescent="0.45">
      <c r="A233" s="94" t="s">
        <v>434</v>
      </c>
      <c r="B233" s="200" t="s">
        <v>518</v>
      </c>
      <c r="C233" s="115">
        <v>234</v>
      </c>
      <c r="D233" s="201" t="s">
        <v>136</v>
      </c>
      <c r="E233" s="202" t="s">
        <v>126</v>
      </c>
      <c r="F233" s="202"/>
      <c r="G233" s="203">
        <v>45205</v>
      </c>
      <c r="H233" s="203">
        <v>47031</v>
      </c>
      <c r="I233" s="96" t="s">
        <v>266</v>
      </c>
      <c r="J233" s="204" t="s">
        <v>619</v>
      </c>
      <c r="K233" s="205" t="s">
        <v>129</v>
      </c>
      <c r="L233" s="281" t="s">
        <v>326</v>
      </c>
      <c r="M233" s="201" t="s">
        <v>432</v>
      </c>
      <c r="N233" s="207" t="s">
        <v>320</v>
      </c>
      <c r="O233" s="208" t="s">
        <v>416</v>
      </c>
      <c r="P233" s="96" t="s">
        <v>541</v>
      </c>
      <c r="Q233" s="96">
        <v>7850</v>
      </c>
      <c r="R233" s="202" t="s">
        <v>416</v>
      </c>
      <c r="S233" s="202" t="s">
        <v>416</v>
      </c>
      <c r="T233" s="202" t="s">
        <v>416</v>
      </c>
      <c r="U233" s="209" t="s">
        <v>416</v>
      </c>
      <c r="V233" s="83">
        <f>SUM(Table24[[#This Row],[A1toA3_GWP]:[C1toC4_GWP]])</f>
        <v>560</v>
      </c>
      <c r="W233" s="123">
        <f>VLOOKUP("DE",[1]Sheet1!$B$11:$F$30,4,FALSE)+Table24[[#This Row],[Total_GWP]]</f>
        <v>636.04999999999995</v>
      </c>
      <c r="X233" s="123">
        <f>VLOOKUP("DE",[1]Sheet1!$B$11:$F$30,5,FALSE)+Table24[[#This Row],[Total_GWP]]</f>
        <v>567.79999999999995</v>
      </c>
      <c r="Y233" s="83">
        <f>Table24[[#This Row],[Total_GWP]]*Table24[[#This Row],[DENSITY]]/1000</f>
        <v>4396</v>
      </c>
      <c r="Z233" s="128">
        <v>560</v>
      </c>
      <c r="AA233" s="81">
        <v>0</v>
      </c>
      <c r="AB233" s="83"/>
      <c r="AC233" s="83"/>
      <c r="AD233" s="83"/>
      <c r="AE233" s="85"/>
      <c r="AF233" s="92">
        <f ca="1">IF(OR($E233="Ecoinvent",$E233="Betonsortenrechner",$E233="KBOB",$V233&lt;=0,Table24[[#This Row],[VALID_TO]]&lt;=TODAY()),0,1)</f>
        <v>1</v>
      </c>
      <c r="AG233" s="92">
        <v>1</v>
      </c>
      <c r="AH233" s="92">
        <f ca="1">IF(AND(Table24[[#This Row],[ValidEPD]]&lt;&gt;0,Table24[[#This Row],[Man_Ausschluss]]&lt;&gt;0),1,0)</f>
        <v>1</v>
      </c>
      <c r="AI233" s="178" cm="1">
        <f t="array" aca="1" ref="AI233" ca="1">IF(Table24[[#This Row],[gültig]]&lt;&gt;0,
IF(V233=MIN(_xlfn._xlws.FILTER($V$2:$V$282,($P$2:$P$282=P233))),1,
IF(V233=MAX(_xlfn._xlws.FILTER($V$2:$V$282,($P$2:$P$282=P233))),1,0)),0)</f>
        <v>0</v>
      </c>
      <c r="AJ233" s="180"/>
      <c r="AK233" s="60"/>
      <c r="AL233" s="60"/>
    </row>
    <row r="234" spans="1:38" x14ac:dyDescent="0.45">
      <c r="A234" s="94" t="s">
        <v>434</v>
      </c>
      <c r="B234" s="200" t="s">
        <v>519</v>
      </c>
      <c r="C234" s="111">
        <v>235</v>
      </c>
      <c r="D234" s="201" t="s">
        <v>136</v>
      </c>
      <c r="E234" s="202" t="s">
        <v>126</v>
      </c>
      <c r="F234" s="202"/>
      <c r="G234" s="203">
        <v>45205</v>
      </c>
      <c r="H234" s="203">
        <v>47031</v>
      </c>
      <c r="I234" s="96" t="s">
        <v>266</v>
      </c>
      <c r="J234" s="204" t="s">
        <v>619</v>
      </c>
      <c r="K234" s="205" t="s">
        <v>129</v>
      </c>
      <c r="L234" s="281" t="s">
        <v>326</v>
      </c>
      <c r="M234" s="201" t="s">
        <v>432</v>
      </c>
      <c r="N234" s="207" t="s">
        <v>320</v>
      </c>
      <c r="O234" s="208" t="s">
        <v>416</v>
      </c>
      <c r="P234" s="96" t="s">
        <v>542</v>
      </c>
      <c r="Q234" s="96">
        <v>7850</v>
      </c>
      <c r="R234" s="202" t="s">
        <v>416</v>
      </c>
      <c r="S234" s="202" t="s">
        <v>416</v>
      </c>
      <c r="T234" s="202" t="s">
        <v>416</v>
      </c>
      <c r="U234" s="209" t="s">
        <v>416</v>
      </c>
      <c r="V234" s="83">
        <f>SUM(Table24[[#This Row],[A1toA3_GWP]:[C1toC4_GWP]])</f>
        <v>560</v>
      </c>
      <c r="W234" s="123">
        <f>VLOOKUP("DE",[1]Sheet1!$B$11:$F$30,4,FALSE)+Table24[[#This Row],[Total_GWP]]</f>
        <v>636.04999999999995</v>
      </c>
      <c r="X234" s="123">
        <f>VLOOKUP("DE",[1]Sheet1!$B$11:$F$30,5,FALSE)+Table24[[#This Row],[Total_GWP]]</f>
        <v>567.79999999999995</v>
      </c>
      <c r="Y234" s="83">
        <f>Table24[[#This Row],[Total_GWP]]*Table24[[#This Row],[DENSITY]]/1000</f>
        <v>4396</v>
      </c>
      <c r="Z234" s="128">
        <v>560</v>
      </c>
      <c r="AA234" s="81">
        <v>0</v>
      </c>
      <c r="AB234" s="83"/>
      <c r="AC234" s="83"/>
      <c r="AD234" s="83"/>
      <c r="AE234" s="85"/>
      <c r="AF234" s="92">
        <f ca="1">IF(OR($E234="Ecoinvent",$E234="Betonsortenrechner",$E234="KBOB",$V234&lt;=0,Table24[[#This Row],[VALID_TO]]&lt;=TODAY()),0,1)</f>
        <v>1</v>
      </c>
      <c r="AG234" s="92">
        <v>1</v>
      </c>
      <c r="AH234" s="92">
        <f ca="1">IF(AND(Table24[[#This Row],[ValidEPD]]&lt;&gt;0,Table24[[#This Row],[Man_Ausschluss]]&lt;&gt;0),1,0)</f>
        <v>1</v>
      </c>
      <c r="AI234" s="178" cm="1">
        <f t="array" aca="1" ref="AI234" ca="1">IF(Table24[[#This Row],[gültig]]&lt;&gt;0,
IF(V234=MIN(_xlfn._xlws.FILTER($V$2:$V$282,($P$2:$P$282=P234))),1,
IF(V234=MAX(_xlfn._xlws.FILTER($V$2:$V$282,($P$2:$P$282=P234))),1,0)),0)</f>
        <v>0</v>
      </c>
      <c r="AJ234" s="180"/>
      <c r="AK234" s="60"/>
      <c r="AL234" s="60"/>
    </row>
    <row r="235" spans="1:38" x14ac:dyDescent="0.45">
      <c r="A235" s="94" t="s">
        <v>434</v>
      </c>
      <c r="B235" s="200" t="s">
        <v>520</v>
      </c>
      <c r="C235" s="115">
        <v>236</v>
      </c>
      <c r="D235" s="201" t="s">
        <v>136</v>
      </c>
      <c r="E235" s="202" t="s">
        <v>126</v>
      </c>
      <c r="F235" s="202"/>
      <c r="G235" s="203">
        <v>45205</v>
      </c>
      <c r="H235" s="203">
        <v>47031</v>
      </c>
      <c r="I235" s="96" t="s">
        <v>266</v>
      </c>
      <c r="J235" s="204" t="s">
        <v>619</v>
      </c>
      <c r="K235" s="205" t="s">
        <v>129</v>
      </c>
      <c r="L235" s="281" t="s">
        <v>326</v>
      </c>
      <c r="M235" s="201" t="s">
        <v>432</v>
      </c>
      <c r="N235" s="207" t="s">
        <v>320</v>
      </c>
      <c r="O235" s="208" t="s">
        <v>416</v>
      </c>
      <c r="P235" s="96" t="s">
        <v>544</v>
      </c>
      <c r="Q235" s="96">
        <v>7850</v>
      </c>
      <c r="R235" s="202" t="s">
        <v>416</v>
      </c>
      <c r="S235" s="202" t="s">
        <v>416</v>
      </c>
      <c r="T235" s="202" t="s">
        <v>416</v>
      </c>
      <c r="U235" s="209" t="s">
        <v>416</v>
      </c>
      <c r="V235" s="83">
        <f>SUM(Table24[[#This Row],[A1toA3_GWP]:[C1toC4_GWP]])</f>
        <v>560</v>
      </c>
      <c r="W235" s="123">
        <f>VLOOKUP("DE",[1]Sheet1!$B$11:$F$30,4,FALSE)+Table24[[#This Row],[Total_GWP]]</f>
        <v>636.04999999999995</v>
      </c>
      <c r="X235" s="123">
        <f>VLOOKUP("DE",[1]Sheet1!$B$11:$F$30,5,FALSE)+Table24[[#This Row],[Total_GWP]]</f>
        <v>567.79999999999995</v>
      </c>
      <c r="Y235" s="83">
        <f>Table24[[#This Row],[Total_GWP]]*Table24[[#This Row],[DENSITY]]/1000</f>
        <v>4396</v>
      </c>
      <c r="Z235" s="128">
        <v>560</v>
      </c>
      <c r="AA235" s="81">
        <v>0</v>
      </c>
      <c r="AB235" s="83"/>
      <c r="AC235" s="83"/>
      <c r="AD235" s="83"/>
      <c r="AE235" s="85"/>
      <c r="AF235" s="92">
        <f ca="1">IF(OR($E235="Ecoinvent",$E235="Betonsortenrechner",$E235="KBOB",$V235&lt;=0,Table24[[#This Row],[VALID_TO]]&lt;=TODAY()),0,1)</f>
        <v>1</v>
      </c>
      <c r="AG235" s="92">
        <v>1</v>
      </c>
      <c r="AH235" s="92">
        <f ca="1">IF(AND(Table24[[#This Row],[ValidEPD]]&lt;&gt;0,Table24[[#This Row],[Man_Ausschluss]]&lt;&gt;0),1,0)</f>
        <v>1</v>
      </c>
      <c r="AI235" s="178" cm="1">
        <f t="array" aca="1" ref="AI235" ca="1">IF(Table24[[#This Row],[gültig]]&lt;&gt;0,
IF(V235=MIN(_xlfn._xlws.FILTER($V$2:$V$282,($P$2:$P$282=P235))),1,
IF(V235=MAX(_xlfn._xlws.FILTER($V$2:$V$282,($P$2:$P$282=P235))),1,0)),0)</f>
        <v>1</v>
      </c>
      <c r="AJ235" s="180"/>
      <c r="AK235" s="60"/>
      <c r="AL235" s="60"/>
    </row>
    <row r="236" spans="1:38" x14ac:dyDescent="0.45">
      <c r="A236" s="94" t="s">
        <v>437</v>
      </c>
      <c r="B236" s="200" t="s">
        <v>502</v>
      </c>
      <c r="C236" s="111">
        <v>237</v>
      </c>
      <c r="D236" s="201" t="s">
        <v>435</v>
      </c>
      <c r="E236" s="202" t="s">
        <v>436</v>
      </c>
      <c r="F236" s="202"/>
      <c r="G236" s="203">
        <v>43758</v>
      </c>
      <c r="H236" s="203">
        <v>45584</v>
      </c>
      <c r="I236" s="96" t="s">
        <v>294</v>
      </c>
      <c r="J236" s="204" t="s">
        <v>609</v>
      </c>
      <c r="K236" s="205" t="s">
        <v>129</v>
      </c>
      <c r="L236" s="281" t="s">
        <v>326</v>
      </c>
      <c r="M236" s="201" t="s">
        <v>432</v>
      </c>
      <c r="N236" s="207" t="s">
        <v>320</v>
      </c>
      <c r="O236" s="208" t="s">
        <v>416</v>
      </c>
      <c r="P236" s="96" t="s">
        <v>540</v>
      </c>
      <c r="Q236" s="96">
        <v>7850</v>
      </c>
      <c r="R236" s="202" t="s">
        <v>416</v>
      </c>
      <c r="S236" s="202" t="s">
        <v>416</v>
      </c>
      <c r="T236" s="202" t="s">
        <v>416</v>
      </c>
      <c r="U236" s="209" t="s">
        <v>416</v>
      </c>
      <c r="V236" s="83">
        <f>SUM(Table24[[#This Row],[A1toA3_GWP]:[C1toC4_GWP]])</f>
        <v>780</v>
      </c>
      <c r="W236" s="123">
        <f>VLOOKUP("FR",[1]Sheet1!$B$11:$F$30,4,FALSE)+Table24[[#This Row],[Total_GWP]]</f>
        <v>850.2</v>
      </c>
      <c r="X236" s="123">
        <f>VLOOKUP("FR",[1]Sheet1!$B$11:$F$30,5,FALSE)+Table24[[#This Row],[Total_GWP]]</f>
        <v>787.2</v>
      </c>
      <c r="Y236" s="83">
        <f>Table24[[#This Row],[Total_GWP]]*Table24[[#This Row],[DENSITY]]/1000</f>
        <v>6123</v>
      </c>
      <c r="Z236" s="128">
        <v>780</v>
      </c>
      <c r="AA236" s="81" t="s">
        <v>296</v>
      </c>
      <c r="AB236" s="83"/>
      <c r="AC236" s="83"/>
      <c r="AD236" s="83"/>
      <c r="AE236" s="85"/>
      <c r="AF236" s="92">
        <f ca="1">IF(OR($E236="Ecoinvent",$E236="Betonsortenrechner",$E236="KBOB",$V236&lt;=0,Table24[[#This Row],[VALID_TO]]&lt;=TODAY()),0,1)</f>
        <v>0</v>
      </c>
      <c r="AG236" s="92">
        <v>1</v>
      </c>
      <c r="AH236" s="92">
        <f ca="1">IF(AND(Table24[[#This Row],[ValidEPD]]&lt;&gt;0,Table24[[#This Row],[Man_Ausschluss]]&lt;&gt;0),1,0)</f>
        <v>0</v>
      </c>
      <c r="AI236" s="178" cm="1">
        <f t="array" aca="1" ref="AI236" ca="1">IF(Table24[[#This Row],[gültig]]&lt;&gt;0,
IF(V236=MIN(_xlfn._xlws.FILTER($V$2:$V$282,($P$2:$P$282=P236))),1,
IF(V236=MAX(_xlfn._xlws.FILTER($V$2:$V$282,($P$2:$P$282=P236))),1,0)),0)</f>
        <v>0</v>
      </c>
      <c r="AJ236" s="180"/>
      <c r="AK236" s="2" t="s">
        <v>549</v>
      </c>
      <c r="AL236" s="2"/>
    </row>
    <row r="237" spans="1:38" x14ac:dyDescent="0.45">
      <c r="A237" s="94" t="s">
        <v>437</v>
      </c>
      <c r="B237" s="200" t="s">
        <v>518</v>
      </c>
      <c r="C237" s="115">
        <v>238</v>
      </c>
      <c r="D237" s="201" t="s">
        <v>435</v>
      </c>
      <c r="E237" s="202" t="s">
        <v>436</v>
      </c>
      <c r="F237" s="202"/>
      <c r="G237" s="203">
        <v>43758</v>
      </c>
      <c r="H237" s="203">
        <v>45584</v>
      </c>
      <c r="I237" s="96" t="s">
        <v>294</v>
      </c>
      <c r="J237" s="204" t="s">
        <v>609</v>
      </c>
      <c r="K237" s="205" t="s">
        <v>129</v>
      </c>
      <c r="L237" s="281" t="s">
        <v>326</v>
      </c>
      <c r="M237" s="201" t="s">
        <v>432</v>
      </c>
      <c r="N237" s="207" t="s">
        <v>320</v>
      </c>
      <c r="O237" s="208" t="s">
        <v>416</v>
      </c>
      <c r="P237" s="96" t="s">
        <v>548</v>
      </c>
      <c r="Q237" s="96">
        <v>7850</v>
      </c>
      <c r="R237" s="202" t="s">
        <v>416</v>
      </c>
      <c r="S237" s="202" t="s">
        <v>416</v>
      </c>
      <c r="T237" s="202" t="s">
        <v>416</v>
      </c>
      <c r="U237" s="209" t="s">
        <v>416</v>
      </c>
      <c r="V237" s="83">
        <f>SUM(Table24[[#This Row],[A1toA3_GWP]:[C1toC4_GWP]])</f>
        <v>780</v>
      </c>
      <c r="W237" s="123">
        <f>VLOOKUP("FR",[1]Sheet1!$B$11:$F$30,4,FALSE)+Table24[[#This Row],[Total_GWP]]</f>
        <v>850.2</v>
      </c>
      <c r="X237" s="123">
        <f>VLOOKUP("FR",[1]Sheet1!$B$11:$F$30,5,FALSE)+Table24[[#This Row],[Total_GWP]]</f>
        <v>787.2</v>
      </c>
      <c r="Y237" s="83">
        <f>Table24[[#This Row],[Total_GWP]]*Table24[[#This Row],[DENSITY]]/1000</f>
        <v>6123</v>
      </c>
      <c r="Z237" s="128">
        <v>780</v>
      </c>
      <c r="AA237" s="81" t="s">
        <v>296</v>
      </c>
      <c r="AB237" s="83"/>
      <c r="AC237" s="83"/>
      <c r="AD237" s="83"/>
      <c r="AE237" s="85"/>
      <c r="AF237" s="92">
        <f ca="1">IF(OR($E237="Ecoinvent",$E237="Betonsortenrechner",$E237="KBOB",$V237&lt;=0,Table24[[#This Row],[VALID_TO]]&lt;=TODAY()),0,1)</f>
        <v>0</v>
      </c>
      <c r="AG237" s="92">
        <v>1</v>
      </c>
      <c r="AH237" s="92">
        <f ca="1">IF(AND(Table24[[#This Row],[ValidEPD]]&lt;&gt;0,Table24[[#This Row],[Man_Ausschluss]]&lt;&gt;0),1,0)</f>
        <v>0</v>
      </c>
      <c r="AI237" s="178" cm="1">
        <f t="array" aca="1" ref="AI237" ca="1">IF(Table24[[#This Row],[gültig]]&lt;&gt;0,
IF(V237=MIN(_xlfn._xlws.FILTER($V$2:$V$282,($P$2:$P$282=P237))),1,
IF(V237=MAX(_xlfn._xlws.FILTER($V$2:$V$282,($P$2:$P$282=P237))),1,0)),0)</f>
        <v>0</v>
      </c>
      <c r="AJ237" s="180"/>
      <c r="AK237" s="2" t="s">
        <v>549</v>
      </c>
      <c r="AL237" s="2"/>
    </row>
    <row r="238" spans="1:38" x14ac:dyDescent="0.45">
      <c r="A238" s="94" t="s">
        <v>437</v>
      </c>
      <c r="B238" s="200" t="s">
        <v>519</v>
      </c>
      <c r="C238" s="111">
        <v>239</v>
      </c>
      <c r="D238" s="201" t="s">
        <v>435</v>
      </c>
      <c r="E238" s="202" t="s">
        <v>436</v>
      </c>
      <c r="F238" s="202"/>
      <c r="G238" s="203">
        <v>43758</v>
      </c>
      <c r="H238" s="203">
        <v>45584</v>
      </c>
      <c r="I238" s="96" t="s">
        <v>294</v>
      </c>
      <c r="J238" s="204" t="s">
        <v>609</v>
      </c>
      <c r="K238" s="205" t="s">
        <v>129</v>
      </c>
      <c r="L238" s="281" t="s">
        <v>326</v>
      </c>
      <c r="M238" s="201" t="s">
        <v>432</v>
      </c>
      <c r="N238" s="207" t="s">
        <v>320</v>
      </c>
      <c r="O238" s="208" t="s">
        <v>416</v>
      </c>
      <c r="P238" s="96" t="s">
        <v>541</v>
      </c>
      <c r="Q238" s="96">
        <v>7850</v>
      </c>
      <c r="R238" s="202" t="s">
        <v>416</v>
      </c>
      <c r="S238" s="202" t="s">
        <v>416</v>
      </c>
      <c r="T238" s="202" t="s">
        <v>416</v>
      </c>
      <c r="U238" s="209" t="s">
        <v>416</v>
      </c>
      <c r="V238" s="83">
        <f>SUM(Table24[[#This Row],[A1toA3_GWP]:[C1toC4_GWP]])</f>
        <v>780</v>
      </c>
      <c r="W238" s="123">
        <f>VLOOKUP("FR",[1]Sheet1!$B$11:$F$30,4,FALSE)+Table24[[#This Row],[Total_GWP]]</f>
        <v>850.2</v>
      </c>
      <c r="X238" s="123">
        <f>VLOOKUP("FR",[1]Sheet1!$B$11:$F$30,5,FALSE)+Table24[[#This Row],[Total_GWP]]</f>
        <v>787.2</v>
      </c>
      <c r="Y238" s="83">
        <f>Table24[[#This Row],[Total_GWP]]*Table24[[#This Row],[DENSITY]]/1000</f>
        <v>6123</v>
      </c>
      <c r="Z238" s="128">
        <v>780</v>
      </c>
      <c r="AA238" s="81" t="s">
        <v>296</v>
      </c>
      <c r="AB238" s="83"/>
      <c r="AC238" s="83"/>
      <c r="AD238" s="83"/>
      <c r="AE238" s="85"/>
      <c r="AF238" s="92">
        <f ca="1">IF(OR($E238="Ecoinvent",$E238="Betonsortenrechner",$E238="KBOB",$V238&lt;=0,Table24[[#This Row],[VALID_TO]]&lt;=TODAY()),0,1)</f>
        <v>0</v>
      </c>
      <c r="AG238" s="92">
        <v>1</v>
      </c>
      <c r="AH238" s="92">
        <f ca="1">IF(AND(Table24[[#This Row],[ValidEPD]]&lt;&gt;0,Table24[[#This Row],[Man_Ausschluss]]&lt;&gt;0),1,0)</f>
        <v>0</v>
      </c>
      <c r="AI238" s="178" cm="1">
        <f t="array" aca="1" ref="AI238" ca="1">IF(Table24[[#This Row],[gültig]]&lt;&gt;0,
IF(V238=MIN(_xlfn._xlws.FILTER($V$2:$V$282,($P$2:$P$282=P238))),1,
IF(V238=MAX(_xlfn._xlws.FILTER($V$2:$V$282,($P$2:$P$282=P238))),1,0)),0)</f>
        <v>0</v>
      </c>
      <c r="AJ238" s="180"/>
      <c r="AK238" s="2" t="s">
        <v>549</v>
      </c>
      <c r="AL238" s="2"/>
    </row>
    <row r="239" spans="1:38" x14ac:dyDescent="0.45">
      <c r="A239" s="94" t="s">
        <v>438</v>
      </c>
      <c r="B239" s="200" t="s">
        <v>502</v>
      </c>
      <c r="C239" s="115">
        <v>240</v>
      </c>
      <c r="D239" s="201" t="s">
        <v>440</v>
      </c>
      <c r="E239" s="202" t="s">
        <v>47</v>
      </c>
      <c r="F239" s="202"/>
      <c r="G239" s="203">
        <v>44627</v>
      </c>
      <c r="H239" s="203">
        <v>46404</v>
      </c>
      <c r="I239" s="96" t="s">
        <v>52</v>
      </c>
      <c r="J239" s="204" t="s">
        <v>609</v>
      </c>
      <c r="K239" s="205" t="s">
        <v>129</v>
      </c>
      <c r="L239" s="281" t="s">
        <v>326</v>
      </c>
      <c r="M239" s="201" t="s">
        <v>432</v>
      </c>
      <c r="N239" s="207" t="s">
        <v>320</v>
      </c>
      <c r="O239" s="208" t="s">
        <v>416</v>
      </c>
      <c r="P239" s="96" t="s">
        <v>540</v>
      </c>
      <c r="Q239" s="96">
        <v>7850</v>
      </c>
      <c r="R239" s="202" t="s">
        <v>416</v>
      </c>
      <c r="S239" s="202" t="s">
        <v>416</v>
      </c>
      <c r="T239" s="202" t="s">
        <v>416</v>
      </c>
      <c r="U239" s="209" t="s">
        <v>416</v>
      </c>
      <c r="V239" s="83">
        <f>SUM(Table24[[#This Row],[A1toA3_GWP]:[C1toC4_GWP]])</f>
        <v>614.54</v>
      </c>
      <c r="W239" s="123">
        <f>VLOOKUP("FR",[1]Sheet1!$B$11:$F$30,4,FALSE)+Table24[[#This Row],[Total_GWP]]</f>
        <v>684.74</v>
      </c>
      <c r="X239" s="123">
        <f>VLOOKUP("FR",[1]Sheet1!$B$11:$F$30,5,FALSE)+Table24[[#This Row],[Total_GWP]]</f>
        <v>621.74</v>
      </c>
      <c r="Y239" s="83">
        <f>Table24[[#This Row],[Total_GWP]]*Table24[[#This Row],[DENSITY]]/1000</f>
        <v>4824.1390000000001</v>
      </c>
      <c r="Z239" s="128">
        <f>215+18.9+301</f>
        <v>534.9</v>
      </c>
      <c r="AA239" s="81">
        <f>51+26+2.64</f>
        <v>79.64</v>
      </c>
      <c r="AB239" s="83"/>
      <c r="AC239" s="83"/>
      <c r="AD239" s="83"/>
      <c r="AE239" s="85"/>
      <c r="AF239" s="92">
        <f ca="1">IF(OR($E239="Ecoinvent",$E239="Betonsortenrechner",$E239="KBOB",$V239&lt;=0,Table24[[#This Row],[VALID_TO]]&lt;=TODAY()),0,1)</f>
        <v>1</v>
      </c>
      <c r="AG239" s="92">
        <v>1</v>
      </c>
      <c r="AH239" s="92">
        <f ca="1">IF(AND(Table24[[#This Row],[ValidEPD]]&lt;&gt;0,Table24[[#This Row],[Man_Ausschluss]]&lt;&gt;0),1,0)</f>
        <v>1</v>
      </c>
      <c r="AI239" s="178" cm="1">
        <f t="array" aca="1" ref="AI239" ca="1">IF(Table24[[#This Row],[gültig]]&lt;&gt;0,
IF(V239=MIN(_xlfn._xlws.FILTER($V$2:$V$282,($P$2:$P$282=P239))),1,
IF(V239=MAX(_xlfn._xlws.FILTER($V$2:$V$282,($P$2:$P$282=P239))),1,0)),0)</f>
        <v>0</v>
      </c>
      <c r="AJ239" s="180"/>
      <c r="AK239" s="2" t="s">
        <v>549</v>
      </c>
      <c r="AL239" s="2"/>
    </row>
    <row r="240" spans="1:38" x14ac:dyDescent="0.45">
      <c r="A240" s="94" t="s">
        <v>438</v>
      </c>
      <c r="B240" s="200" t="s">
        <v>518</v>
      </c>
      <c r="C240" s="111">
        <v>241</v>
      </c>
      <c r="D240" s="201" t="s">
        <v>440</v>
      </c>
      <c r="E240" s="202" t="s">
        <v>47</v>
      </c>
      <c r="F240" s="202"/>
      <c r="G240" s="203">
        <v>44627</v>
      </c>
      <c r="H240" s="203">
        <v>46404</v>
      </c>
      <c r="I240" s="96" t="s">
        <v>52</v>
      </c>
      <c r="J240" s="204" t="s">
        <v>609</v>
      </c>
      <c r="K240" s="205" t="s">
        <v>129</v>
      </c>
      <c r="L240" s="281" t="s">
        <v>326</v>
      </c>
      <c r="M240" s="201" t="s">
        <v>432</v>
      </c>
      <c r="N240" s="207" t="s">
        <v>320</v>
      </c>
      <c r="O240" s="208" t="s">
        <v>416</v>
      </c>
      <c r="P240" s="96" t="s">
        <v>548</v>
      </c>
      <c r="Q240" s="96">
        <v>7850</v>
      </c>
      <c r="R240" s="202" t="s">
        <v>416</v>
      </c>
      <c r="S240" s="202" t="s">
        <v>416</v>
      </c>
      <c r="T240" s="202" t="s">
        <v>416</v>
      </c>
      <c r="U240" s="209" t="s">
        <v>416</v>
      </c>
      <c r="V240" s="83">
        <f>SUM(Table24[[#This Row],[A1toA3_GWP]:[C1toC4_GWP]])</f>
        <v>614.54</v>
      </c>
      <c r="W240" s="123">
        <f>VLOOKUP("FR",[1]Sheet1!$B$11:$F$30,4,FALSE)+Table24[[#This Row],[Total_GWP]]</f>
        <v>684.74</v>
      </c>
      <c r="X240" s="123">
        <f>VLOOKUP("FR",[1]Sheet1!$B$11:$F$30,5,FALSE)+Table24[[#This Row],[Total_GWP]]</f>
        <v>621.74</v>
      </c>
      <c r="Y240" s="83">
        <f>Table24[[#This Row],[Total_GWP]]*Table24[[#This Row],[DENSITY]]/1000</f>
        <v>4824.1390000000001</v>
      </c>
      <c r="Z240" s="128">
        <f>215+18.9+301</f>
        <v>534.9</v>
      </c>
      <c r="AA240" s="81">
        <f>51+26+2.64</f>
        <v>79.64</v>
      </c>
      <c r="AB240" s="83"/>
      <c r="AC240" s="83"/>
      <c r="AD240" s="83"/>
      <c r="AE240" s="85"/>
      <c r="AF240" s="92">
        <f ca="1">IF(OR($E240="Ecoinvent",$E240="Betonsortenrechner",$E240="KBOB",$V240&lt;=0,Table24[[#This Row],[VALID_TO]]&lt;=TODAY()),0,1)</f>
        <v>1</v>
      </c>
      <c r="AG240" s="92">
        <v>1</v>
      </c>
      <c r="AH240" s="92">
        <f ca="1">IF(AND(Table24[[#This Row],[ValidEPD]]&lt;&gt;0,Table24[[#This Row],[Man_Ausschluss]]&lt;&gt;0),1,0)</f>
        <v>1</v>
      </c>
      <c r="AI240" s="178" cm="1">
        <f t="array" aca="1" ref="AI240" ca="1">IF(Table24[[#This Row],[gültig]]&lt;&gt;0,
IF(V240=MIN(_xlfn._xlws.FILTER($V$2:$V$282,($P$2:$P$282=P240))),1,
IF(V240=MAX(_xlfn._xlws.FILTER($V$2:$V$282,($P$2:$P$282=P240))),1,0)),0)</f>
        <v>1</v>
      </c>
      <c r="AJ240" s="180"/>
      <c r="AK240" s="2" t="s">
        <v>549</v>
      </c>
      <c r="AL240" s="2"/>
    </row>
    <row r="241" spans="1:38" x14ac:dyDescent="0.45">
      <c r="A241" s="94" t="s">
        <v>438</v>
      </c>
      <c r="B241" s="200" t="s">
        <v>519</v>
      </c>
      <c r="C241" s="115">
        <v>242</v>
      </c>
      <c r="D241" s="201" t="s">
        <v>440</v>
      </c>
      <c r="E241" s="202" t="s">
        <v>47</v>
      </c>
      <c r="F241" s="202"/>
      <c r="G241" s="203">
        <v>44627</v>
      </c>
      <c r="H241" s="203">
        <v>46404</v>
      </c>
      <c r="I241" s="96" t="s">
        <v>52</v>
      </c>
      <c r="J241" s="204" t="s">
        <v>609</v>
      </c>
      <c r="K241" s="205" t="s">
        <v>129</v>
      </c>
      <c r="L241" s="281" t="s">
        <v>326</v>
      </c>
      <c r="M241" s="201" t="s">
        <v>432</v>
      </c>
      <c r="N241" s="207" t="s">
        <v>320</v>
      </c>
      <c r="O241" s="208" t="s">
        <v>416</v>
      </c>
      <c r="P241" s="96" t="s">
        <v>541</v>
      </c>
      <c r="Q241" s="96">
        <v>7850</v>
      </c>
      <c r="R241" s="202" t="s">
        <v>416</v>
      </c>
      <c r="S241" s="202" t="s">
        <v>416</v>
      </c>
      <c r="T241" s="202" t="s">
        <v>416</v>
      </c>
      <c r="U241" s="209" t="s">
        <v>416</v>
      </c>
      <c r="V241" s="83">
        <f>SUM(Table24[[#This Row],[A1toA3_GWP]:[C1toC4_GWP]])</f>
        <v>614.54</v>
      </c>
      <c r="W241" s="123">
        <f>VLOOKUP("FR",[1]Sheet1!$B$11:$F$30,4,FALSE)+Table24[[#This Row],[Total_GWP]]</f>
        <v>684.74</v>
      </c>
      <c r="X241" s="123">
        <f>VLOOKUP("FR",[1]Sheet1!$B$11:$F$30,5,FALSE)+Table24[[#This Row],[Total_GWP]]</f>
        <v>621.74</v>
      </c>
      <c r="Y241" s="83">
        <f>Table24[[#This Row],[Total_GWP]]*Table24[[#This Row],[DENSITY]]/1000</f>
        <v>4824.1390000000001</v>
      </c>
      <c r="Z241" s="128">
        <f>215+18.9+301</f>
        <v>534.9</v>
      </c>
      <c r="AA241" s="81">
        <f>51+26+2.64</f>
        <v>79.64</v>
      </c>
      <c r="AB241" s="83"/>
      <c r="AC241" s="83"/>
      <c r="AD241" s="83"/>
      <c r="AE241" s="85"/>
      <c r="AF241" s="92">
        <f ca="1">IF(OR($E241="Ecoinvent",$E241="Betonsortenrechner",$E241="KBOB",$V241&lt;=0,Table24[[#This Row],[VALID_TO]]&lt;=TODAY()),0,1)</f>
        <v>1</v>
      </c>
      <c r="AG241" s="92">
        <v>1</v>
      </c>
      <c r="AH241" s="92">
        <f ca="1">IF(AND(Table24[[#This Row],[ValidEPD]]&lt;&gt;0,Table24[[#This Row],[Man_Ausschluss]]&lt;&gt;0),1,0)</f>
        <v>1</v>
      </c>
      <c r="AI241" s="178" cm="1">
        <f t="array" aca="1" ref="AI241" ca="1">IF(Table24[[#This Row],[gültig]]&lt;&gt;0,
IF(V241=MIN(_xlfn._xlws.FILTER($V$2:$V$282,($P$2:$P$282=P241))),1,
IF(V241=MAX(_xlfn._xlws.FILTER($V$2:$V$282,($P$2:$P$282=P241))),1,0)),0)</f>
        <v>0</v>
      </c>
      <c r="AJ241" s="180"/>
      <c r="AK241" s="2" t="s">
        <v>549</v>
      </c>
      <c r="AL241" s="2"/>
    </row>
    <row r="242" spans="1:38" x14ac:dyDescent="0.45">
      <c r="A242" s="94" t="s">
        <v>439</v>
      </c>
      <c r="B242" s="326"/>
      <c r="C242" s="111">
        <v>243</v>
      </c>
      <c r="D242" s="201" t="s">
        <v>442</v>
      </c>
      <c r="E242" s="202" t="s">
        <v>441</v>
      </c>
      <c r="F242" s="202"/>
      <c r="G242" s="203">
        <v>45134</v>
      </c>
      <c r="H242" s="203">
        <v>46960</v>
      </c>
      <c r="I242" s="96" t="s">
        <v>266</v>
      </c>
      <c r="J242" s="204" t="s">
        <v>266</v>
      </c>
      <c r="K242" s="205" t="s">
        <v>129</v>
      </c>
      <c r="L242" s="281" t="s">
        <v>326</v>
      </c>
      <c r="M242" s="201" t="s">
        <v>432</v>
      </c>
      <c r="N242" s="207" t="s">
        <v>320</v>
      </c>
      <c r="O242" s="208" t="s">
        <v>416</v>
      </c>
      <c r="P242" s="96" t="s">
        <v>416</v>
      </c>
      <c r="Q242" s="96">
        <v>7850</v>
      </c>
      <c r="R242" s="202" t="s">
        <v>416</v>
      </c>
      <c r="S242" s="202" t="s">
        <v>416</v>
      </c>
      <c r="T242" s="202" t="s">
        <v>416</v>
      </c>
      <c r="U242" s="209" t="s">
        <v>416</v>
      </c>
      <c r="V242" s="83">
        <f>SUM(Table24[[#This Row],[A1toA3_GWP]:[C1toC4_GWP]])</f>
        <v>838.41</v>
      </c>
      <c r="W242" s="83">
        <f>VLOOKUP(Table24[[#This Row],[Country PRODUCTION]],[1]Sheet1!$B$11:$F$30,4,FALSE)+Table24[[#This Row],[Total_GWP]]</f>
        <v>914.46</v>
      </c>
      <c r="X242" s="83">
        <f>VLOOKUP(Table24[[#This Row],[Country PRODUCTION]],[1]Sheet1!$B$11:$F$30,5,FALSE)+Table24[[#This Row],[Total_GWP]]</f>
        <v>846.20999999999992</v>
      </c>
      <c r="Y242" s="83">
        <f>Table24[[#This Row],[Total_GWP]]*Table24[[#This Row],[DENSITY]]/1000</f>
        <v>6581.5185000000001</v>
      </c>
      <c r="Z242" s="128">
        <v>688</v>
      </c>
      <c r="AA242" s="81">
        <f>5.41+145</f>
        <v>150.41</v>
      </c>
      <c r="AB242" s="83"/>
      <c r="AC242" s="83"/>
      <c r="AD242" s="83"/>
      <c r="AE242" s="85"/>
      <c r="AF242" s="92">
        <f ca="1">IF(OR($E242="Ecoinvent",$E242="Betonsortenrechner",$E242="KBOB",$V242&lt;=0,Table24[[#This Row],[VALID_TO]]&lt;=TODAY()),0,1)</f>
        <v>1</v>
      </c>
      <c r="AG242" s="92">
        <v>1</v>
      </c>
      <c r="AH242" s="92">
        <f ca="1">IF(AND(Table24[[#This Row],[ValidEPD]]&lt;&gt;0,Table24[[#This Row],[Man_Ausschluss]]&lt;&gt;0),1,0)</f>
        <v>1</v>
      </c>
      <c r="AI242" s="178" cm="1">
        <f t="array" aca="1" ref="AI242" ca="1">IF(Table24[[#This Row],[gültig]]&lt;&gt;0,
IF(V242=MIN(_xlfn._xlws.FILTER($V$2:$V$282,($P$2:$P$282=P242))),1,
IF(V242=MAX(_xlfn._xlws.FILTER($V$2:$V$282,($P$2:$P$282=P242))),1,0)),0)</f>
        <v>0</v>
      </c>
      <c r="AJ242" s="180"/>
      <c r="AK242" s="2"/>
      <c r="AL242" s="2"/>
    </row>
    <row r="243" spans="1:38" x14ac:dyDescent="0.45">
      <c r="A243" s="94" t="s">
        <v>443</v>
      </c>
      <c r="B243" s="200" t="s">
        <v>502</v>
      </c>
      <c r="C243" s="115">
        <v>244</v>
      </c>
      <c r="D243" s="201" t="s">
        <v>448</v>
      </c>
      <c r="E243" s="202" t="s">
        <v>447</v>
      </c>
      <c r="F243" s="202"/>
      <c r="G243" s="203">
        <v>45133</v>
      </c>
      <c r="H243" s="203">
        <v>46228</v>
      </c>
      <c r="I243" s="96" t="s">
        <v>599</v>
      </c>
      <c r="J243" s="204" t="s">
        <v>599</v>
      </c>
      <c r="K243" s="205" t="s">
        <v>129</v>
      </c>
      <c r="L243" s="281" t="s">
        <v>326</v>
      </c>
      <c r="M243" s="201" t="s">
        <v>432</v>
      </c>
      <c r="N243" s="207" t="s">
        <v>320</v>
      </c>
      <c r="O243" s="208" t="s">
        <v>416</v>
      </c>
      <c r="P243" s="96" t="s">
        <v>540</v>
      </c>
      <c r="Q243" s="96">
        <v>7850</v>
      </c>
      <c r="R243" s="202" t="s">
        <v>416</v>
      </c>
      <c r="S243" s="202" t="s">
        <v>416</v>
      </c>
      <c r="T243" s="202" t="s">
        <v>416</v>
      </c>
      <c r="U243" s="209" t="s">
        <v>416</v>
      </c>
      <c r="V243" s="83">
        <f>SUM(Table24[[#This Row],[A1toA3_GWP]:[C1toC4_GWP]])</f>
        <v>1201.78</v>
      </c>
      <c r="W243" s="83">
        <f>VLOOKUP(Table24[[#This Row],[Country PRODUCTION]],[1]Sheet1!$B$11:$F$30,4,FALSE)+Table24[[#This Row],[Total_GWP]]</f>
        <v>1470.88</v>
      </c>
      <c r="X243" s="83">
        <f>VLOOKUP(Table24[[#This Row],[Country PRODUCTION]],[1]Sheet1!$B$11:$F$30,5,FALSE)+Table24[[#This Row],[Total_GWP]]</f>
        <v>1229.3799999999999</v>
      </c>
      <c r="Y243" s="83">
        <f>Table24[[#This Row],[Total_GWP]]*Table24[[#This Row],[DENSITY]]/1000</f>
        <v>9433.973</v>
      </c>
      <c r="Z243" s="128">
        <v>1160</v>
      </c>
      <c r="AA243" s="81">
        <f>40.6+1.18</f>
        <v>41.78</v>
      </c>
      <c r="AB243" s="83"/>
      <c r="AC243" s="83"/>
      <c r="AD243" s="83"/>
      <c r="AE243" s="85"/>
      <c r="AF243" s="92">
        <f ca="1">IF(OR($E243="Ecoinvent",$E243="Betonsortenrechner",$E243="KBOB",$V243&lt;=0,Table24[[#This Row],[VALID_TO]]&lt;=TODAY()),0,1)</f>
        <v>1</v>
      </c>
      <c r="AG243" s="92">
        <v>1</v>
      </c>
      <c r="AH243" s="92">
        <f ca="1">IF(AND(Table24[[#This Row],[ValidEPD]]&lt;&gt;0,Table24[[#This Row],[Man_Ausschluss]]&lt;&gt;0),1,0)</f>
        <v>1</v>
      </c>
      <c r="AI243" s="178" cm="1">
        <f t="array" aca="1" ref="AI243" ca="1">IF(Table24[[#This Row],[gültig]]&lt;&gt;0,
IF(V243=MIN(_xlfn._xlws.FILTER($V$2:$V$282,($P$2:$P$282=P243))),1,
IF(V243=MAX(_xlfn._xlws.FILTER($V$2:$V$282,($P$2:$P$282=P243))),1,0)),0)</f>
        <v>0</v>
      </c>
      <c r="AJ243" s="180"/>
      <c r="AK243" s="2"/>
      <c r="AL243" s="2"/>
    </row>
    <row r="244" spans="1:38" x14ac:dyDescent="0.45">
      <c r="A244" s="94" t="s">
        <v>443</v>
      </c>
      <c r="B244" s="200" t="s">
        <v>518</v>
      </c>
      <c r="C244" s="111">
        <v>245</v>
      </c>
      <c r="D244" s="201" t="s">
        <v>448</v>
      </c>
      <c r="E244" s="202" t="s">
        <v>447</v>
      </c>
      <c r="F244" s="202"/>
      <c r="G244" s="203">
        <v>45133</v>
      </c>
      <c r="H244" s="203">
        <v>46228</v>
      </c>
      <c r="I244" s="96" t="s">
        <v>599</v>
      </c>
      <c r="J244" s="204" t="s">
        <v>599</v>
      </c>
      <c r="K244" s="205" t="s">
        <v>129</v>
      </c>
      <c r="L244" s="281" t="s">
        <v>326</v>
      </c>
      <c r="M244" s="201" t="s">
        <v>432</v>
      </c>
      <c r="N244" s="207" t="s">
        <v>320</v>
      </c>
      <c r="O244" s="208" t="s">
        <v>416</v>
      </c>
      <c r="P244" s="96" t="s">
        <v>541</v>
      </c>
      <c r="Q244" s="96">
        <v>7850</v>
      </c>
      <c r="R244" s="202" t="s">
        <v>416</v>
      </c>
      <c r="S244" s="202" t="s">
        <v>416</v>
      </c>
      <c r="T244" s="202" t="s">
        <v>416</v>
      </c>
      <c r="U244" s="209" t="s">
        <v>416</v>
      </c>
      <c r="V244" s="83">
        <f>SUM(Table24[[#This Row],[A1toA3_GWP]:[C1toC4_GWP]])</f>
        <v>1201.78</v>
      </c>
      <c r="W244" s="83">
        <f>VLOOKUP(Table24[[#This Row],[Country PRODUCTION]],[1]Sheet1!$B$11:$F$30,4,FALSE)+Table24[[#This Row],[Total_GWP]]</f>
        <v>1470.88</v>
      </c>
      <c r="X244" s="83">
        <f>VLOOKUP(Table24[[#This Row],[Country PRODUCTION]],[1]Sheet1!$B$11:$F$30,5,FALSE)+Table24[[#This Row],[Total_GWP]]</f>
        <v>1229.3799999999999</v>
      </c>
      <c r="Y244" s="83">
        <f>Table24[[#This Row],[Total_GWP]]*Table24[[#This Row],[DENSITY]]/1000</f>
        <v>9433.973</v>
      </c>
      <c r="Z244" s="128">
        <v>1160</v>
      </c>
      <c r="AA244" s="81">
        <f>40.6+1.18</f>
        <v>41.78</v>
      </c>
      <c r="AB244" s="83"/>
      <c r="AC244" s="83"/>
      <c r="AD244" s="83"/>
      <c r="AE244" s="85"/>
      <c r="AF244" s="92">
        <f ca="1">IF(OR($E244="Ecoinvent",$E244="Betonsortenrechner",$E244="KBOB",$V244&lt;=0,Table24[[#This Row],[VALID_TO]]&lt;=TODAY()),0,1)</f>
        <v>1</v>
      </c>
      <c r="AG244" s="92">
        <v>1</v>
      </c>
      <c r="AH244" s="92">
        <f ca="1">IF(AND(Table24[[#This Row],[ValidEPD]]&lt;&gt;0,Table24[[#This Row],[Man_Ausschluss]]&lt;&gt;0),1,0)</f>
        <v>1</v>
      </c>
      <c r="AI244" s="178" cm="1">
        <f t="array" aca="1" ref="AI244" ca="1">IF(Table24[[#This Row],[gültig]]&lt;&gt;0,
IF(V244=MIN(_xlfn._xlws.FILTER($V$2:$V$282,($P$2:$P$282=P244))),1,
IF(V244=MAX(_xlfn._xlws.FILTER($V$2:$V$282,($P$2:$P$282=P244))),1,0)),0)</f>
        <v>0</v>
      </c>
      <c r="AJ244" s="180"/>
      <c r="AK244" s="2"/>
      <c r="AL244" s="2"/>
    </row>
    <row r="245" spans="1:38" x14ac:dyDescent="0.45">
      <c r="A245" s="94" t="s">
        <v>443</v>
      </c>
      <c r="B245" s="200" t="s">
        <v>519</v>
      </c>
      <c r="C245" s="115">
        <v>246</v>
      </c>
      <c r="D245" s="201" t="s">
        <v>448</v>
      </c>
      <c r="E245" s="202" t="s">
        <v>447</v>
      </c>
      <c r="F245" s="202"/>
      <c r="G245" s="203">
        <v>45133</v>
      </c>
      <c r="H245" s="203">
        <v>46228</v>
      </c>
      <c r="I245" s="96" t="s">
        <v>599</v>
      </c>
      <c r="J245" s="204" t="s">
        <v>599</v>
      </c>
      <c r="K245" s="205" t="s">
        <v>129</v>
      </c>
      <c r="L245" s="281" t="s">
        <v>326</v>
      </c>
      <c r="M245" s="201" t="s">
        <v>432</v>
      </c>
      <c r="N245" s="207" t="s">
        <v>320</v>
      </c>
      <c r="O245" s="208" t="s">
        <v>416</v>
      </c>
      <c r="P245" s="96" t="s">
        <v>542</v>
      </c>
      <c r="Q245" s="96">
        <v>7850</v>
      </c>
      <c r="R245" s="202" t="s">
        <v>416</v>
      </c>
      <c r="S245" s="202" t="s">
        <v>416</v>
      </c>
      <c r="T245" s="202" t="s">
        <v>416</v>
      </c>
      <c r="U245" s="209" t="s">
        <v>416</v>
      </c>
      <c r="V245" s="83">
        <f>SUM(Table24[[#This Row],[A1toA3_GWP]:[C1toC4_GWP]])</f>
        <v>1201.78</v>
      </c>
      <c r="W245" s="83">
        <f>VLOOKUP(Table24[[#This Row],[Country PRODUCTION]],[1]Sheet1!$B$11:$F$30,4,FALSE)+Table24[[#This Row],[Total_GWP]]</f>
        <v>1470.88</v>
      </c>
      <c r="X245" s="83">
        <f>VLOOKUP(Table24[[#This Row],[Country PRODUCTION]],[1]Sheet1!$B$11:$F$30,5,FALSE)+Table24[[#This Row],[Total_GWP]]</f>
        <v>1229.3799999999999</v>
      </c>
      <c r="Y245" s="83">
        <f>Table24[[#This Row],[Total_GWP]]*Table24[[#This Row],[DENSITY]]/1000</f>
        <v>9433.973</v>
      </c>
      <c r="Z245" s="128">
        <v>1160</v>
      </c>
      <c r="AA245" s="81">
        <f>40.6+1.18</f>
        <v>41.78</v>
      </c>
      <c r="AB245" s="83"/>
      <c r="AC245" s="83"/>
      <c r="AD245" s="83"/>
      <c r="AE245" s="85"/>
      <c r="AF245" s="92">
        <f ca="1">IF(OR($E245="Ecoinvent",$E245="Betonsortenrechner",$E245="KBOB",$V245&lt;=0,Table24[[#This Row],[VALID_TO]]&lt;=TODAY()),0,1)</f>
        <v>1</v>
      </c>
      <c r="AG245" s="92">
        <v>1</v>
      </c>
      <c r="AH245" s="92">
        <f ca="1">IF(AND(Table24[[#This Row],[ValidEPD]]&lt;&gt;0,Table24[[#This Row],[Man_Ausschluss]]&lt;&gt;0),1,0)</f>
        <v>1</v>
      </c>
      <c r="AI245" s="178" cm="1">
        <f t="array" aca="1" ref="AI245" ca="1">IF(Table24[[#This Row],[gültig]]&lt;&gt;0,
IF(V245=MIN(_xlfn._xlws.FILTER($V$2:$V$282,($P$2:$P$282=P245))),1,
IF(V245=MAX(_xlfn._xlws.FILTER($V$2:$V$282,($P$2:$P$282=P245))),1,0)),0)</f>
        <v>0</v>
      </c>
      <c r="AJ245" s="180"/>
      <c r="AK245" s="2"/>
      <c r="AL245" s="2"/>
    </row>
    <row r="246" spans="1:38" x14ac:dyDescent="0.45">
      <c r="A246" s="94" t="s">
        <v>444</v>
      </c>
      <c r="B246" s="326"/>
      <c r="C246" s="111">
        <v>247</v>
      </c>
      <c r="D246" s="201" t="s">
        <v>450</v>
      </c>
      <c r="E246" s="202" t="s">
        <v>449</v>
      </c>
      <c r="F246" s="202"/>
      <c r="G246" s="203">
        <v>45041</v>
      </c>
      <c r="H246" s="203">
        <v>46863</v>
      </c>
      <c r="I246" s="96" t="s">
        <v>171</v>
      </c>
      <c r="J246" s="204" t="s">
        <v>171</v>
      </c>
      <c r="K246" s="205" t="s">
        <v>129</v>
      </c>
      <c r="L246" s="281" t="s">
        <v>326</v>
      </c>
      <c r="M246" s="201" t="s">
        <v>432</v>
      </c>
      <c r="N246" s="207" t="s">
        <v>320</v>
      </c>
      <c r="O246" s="208" t="s">
        <v>416</v>
      </c>
      <c r="P246" s="96" t="s">
        <v>540</v>
      </c>
      <c r="Q246" s="96">
        <v>7850</v>
      </c>
      <c r="R246" s="202" t="s">
        <v>416</v>
      </c>
      <c r="S246" s="202" t="s">
        <v>416</v>
      </c>
      <c r="T246" s="202" t="s">
        <v>416</v>
      </c>
      <c r="U246" s="209" t="s">
        <v>416</v>
      </c>
      <c r="V246" s="83">
        <f>SUM(Table24[[#This Row],[A1toA3_GWP]:[C1toC4_GWP]])</f>
        <v>293.67</v>
      </c>
      <c r="W246" s="83">
        <f>VLOOKUP(Table24[[#This Row],[Country PRODUCTION]],[1]Sheet1!$B$11:$F$30,4,FALSE)+Table24[[#This Row],[Total_GWP]]</f>
        <v>445.77000000000004</v>
      </c>
      <c r="X246" s="83">
        <f>VLOOKUP(Table24[[#This Row],[Country PRODUCTION]],[1]Sheet1!$B$11:$F$30,5,FALSE)+Table24[[#This Row],[Total_GWP]]</f>
        <v>309.27000000000004</v>
      </c>
      <c r="Y246" s="83">
        <f>Table24[[#This Row],[Total_GWP]]*Table24[[#This Row],[DENSITY]]/1000</f>
        <v>2305.3094999999998</v>
      </c>
      <c r="Z246" s="128">
        <v>223</v>
      </c>
      <c r="AA246" s="81">
        <f>61.9+8.32+0.45</f>
        <v>70.67</v>
      </c>
      <c r="AB246" s="83"/>
      <c r="AC246" s="83"/>
      <c r="AD246" s="83"/>
      <c r="AE246" s="85"/>
      <c r="AF246" s="92">
        <f ca="1">IF(OR($E246="Ecoinvent",$E246="Betonsortenrechner",$E246="KBOB",$V246&lt;=0,Table24[[#This Row],[VALID_TO]]&lt;=TODAY()),0,1)</f>
        <v>1</v>
      </c>
      <c r="AG246" s="92">
        <v>1</v>
      </c>
      <c r="AH246" s="92">
        <f ca="1">IF(AND(Table24[[#This Row],[ValidEPD]]&lt;&gt;0,Table24[[#This Row],[Man_Ausschluss]]&lt;&gt;0),1,0)</f>
        <v>1</v>
      </c>
      <c r="AI246" s="178" cm="1">
        <f t="array" aca="1" ref="AI246" ca="1">IF(Table24[[#This Row],[gültig]]&lt;&gt;0,
IF(V246=MIN(_xlfn._xlws.FILTER($V$2:$V$282,($P$2:$P$282=P246))),1,
IF(V246=MAX(_xlfn._xlws.FILTER($V$2:$V$282,($P$2:$P$282=P246))),1,0)),0)</f>
        <v>1</v>
      </c>
      <c r="AJ246" s="180"/>
      <c r="AK246" s="2" t="s">
        <v>546</v>
      </c>
      <c r="AL246" s="2"/>
    </row>
    <row r="247" spans="1:38" x14ac:dyDescent="0.45">
      <c r="A247" s="94" t="s">
        <v>445</v>
      </c>
      <c r="B247" s="326"/>
      <c r="C247" s="115">
        <v>248</v>
      </c>
      <c r="D247" s="201" t="s">
        <v>452</v>
      </c>
      <c r="E247" s="202" t="s">
        <v>451</v>
      </c>
      <c r="F247" s="202"/>
      <c r="G247" s="203">
        <v>45209</v>
      </c>
      <c r="H247" s="203">
        <v>47036</v>
      </c>
      <c r="I247" s="96" t="s">
        <v>240</v>
      </c>
      <c r="J247" s="204" t="s">
        <v>620</v>
      </c>
      <c r="K247" s="205" t="s">
        <v>129</v>
      </c>
      <c r="L247" s="281" t="s">
        <v>326</v>
      </c>
      <c r="M247" s="201" t="s">
        <v>432</v>
      </c>
      <c r="N247" s="207" t="s">
        <v>320</v>
      </c>
      <c r="O247" s="208" t="s">
        <v>416</v>
      </c>
      <c r="P247" s="96" t="s">
        <v>541</v>
      </c>
      <c r="Q247" s="96">
        <v>7850</v>
      </c>
      <c r="R247" s="202" t="s">
        <v>416</v>
      </c>
      <c r="S247" s="202" t="s">
        <v>416</v>
      </c>
      <c r="T247" s="202" t="s">
        <v>416</v>
      </c>
      <c r="U247" s="209" t="s">
        <v>416</v>
      </c>
      <c r="V247" s="83">
        <f>SUM(Table24[[#This Row],[A1toA3_GWP]:[C1toC4_GWP]])</f>
        <v>2447.48</v>
      </c>
      <c r="W247" s="123">
        <f>VLOOKUP("DE",[1]Sheet1!$B$11:$F$30,4,FALSE)+Table24[[#This Row],[Total_GWP]]</f>
        <v>2523.5300000000002</v>
      </c>
      <c r="X247" s="123">
        <f>VLOOKUP("DE",[1]Sheet1!$B$11:$F$30,5,FALSE)+Table24[[#This Row],[Total_GWP]]</f>
        <v>2455.2800000000002</v>
      </c>
      <c r="Y247" s="83">
        <f>Table24[[#This Row],[Total_GWP]]*Table24[[#This Row],[DENSITY]]/1000</f>
        <v>19212.718000000001</v>
      </c>
      <c r="Z247" s="128">
        <v>2410</v>
      </c>
      <c r="AA247" s="81">
        <f>1.1+9.68+26.7</f>
        <v>37.479999999999997</v>
      </c>
      <c r="AB247" s="83"/>
      <c r="AC247" s="83"/>
      <c r="AD247" s="83"/>
      <c r="AE247" s="85"/>
      <c r="AF247" s="92">
        <f ca="1">IF(OR($E247="Ecoinvent",$E247="Betonsortenrechner",$E247="KBOB",$V247&lt;=0,Table24[[#This Row],[VALID_TO]]&lt;=TODAY()),0,1)</f>
        <v>1</v>
      </c>
      <c r="AG247" s="92">
        <v>1</v>
      </c>
      <c r="AH247" s="92">
        <f ca="1">IF(AND(Table24[[#This Row],[ValidEPD]]&lt;&gt;0,Table24[[#This Row],[Man_Ausschluss]]&lt;&gt;0),1,0)</f>
        <v>1</v>
      </c>
      <c r="AI247" s="178" cm="1">
        <f t="array" aca="1" ref="AI247" ca="1">IF(Table24[[#This Row],[gültig]]&lt;&gt;0,
IF(V247=MIN(_xlfn._xlws.FILTER($V$2:$V$282,($P$2:$P$282=P247))),1,
IF(V247=MAX(_xlfn._xlws.FILTER($V$2:$V$282,($P$2:$P$282=P247))),1,0)),0)</f>
        <v>1</v>
      </c>
      <c r="AJ247" s="180"/>
      <c r="AK247" s="103" t="s">
        <v>545</v>
      </c>
      <c r="AL247" s="80"/>
    </row>
    <row r="248" spans="1:38" x14ac:dyDescent="0.45">
      <c r="A248" s="94" t="s">
        <v>446</v>
      </c>
      <c r="B248" s="200" t="s">
        <v>502</v>
      </c>
      <c r="C248" s="111">
        <v>249</v>
      </c>
      <c r="D248" s="201" t="s">
        <v>457</v>
      </c>
      <c r="E248" s="202" t="s">
        <v>458</v>
      </c>
      <c r="F248" s="202"/>
      <c r="G248" s="203">
        <v>44249</v>
      </c>
      <c r="H248" s="203">
        <v>46075</v>
      </c>
      <c r="I248" s="203" t="s">
        <v>277</v>
      </c>
      <c r="J248" s="280" t="s">
        <v>621</v>
      </c>
      <c r="K248" s="205" t="s">
        <v>129</v>
      </c>
      <c r="L248" s="281" t="s">
        <v>326</v>
      </c>
      <c r="M248" s="201" t="s">
        <v>432</v>
      </c>
      <c r="N248" s="207" t="s">
        <v>320</v>
      </c>
      <c r="O248" s="208" t="s">
        <v>416</v>
      </c>
      <c r="P248" s="96" t="s">
        <v>540</v>
      </c>
      <c r="Q248" s="96">
        <v>7850</v>
      </c>
      <c r="R248" s="202" t="s">
        <v>416</v>
      </c>
      <c r="S248" s="202" t="s">
        <v>416</v>
      </c>
      <c r="T248" s="202" t="s">
        <v>416</v>
      </c>
      <c r="U248" s="209" t="s">
        <v>416</v>
      </c>
      <c r="V248" s="83">
        <f>SUM(Table24[[#This Row],[A1toA3_GWP]:[C1toC4_GWP]])</f>
        <v>1380.1</v>
      </c>
      <c r="W248" s="123">
        <f>VLOOKUP("DK",[1]Sheet1!$B$11:$F$30,4,FALSE)+Table24[[#This Row],[Total_GWP]]</f>
        <v>1508.8</v>
      </c>
      <c r="X248" s="123">
        <f>VLOOKUP("DK",[1]Sheet1!$B$11:$F$30,5,FALSE)+Table24[[#This Row],[Total_GWP]]</f>
        <v>1393.3</v>
      </c>
      <c r="Y248" s="83">
        <f>Table24[[#This Row],[Total_GWP]]*Table24[[#This Row],[DENSITY]]/1000</f>
        <v>10833.785</v>
      </c>
      <c r="Z248" s="128">
        <v>1290</v>
      </c>
      <c r="AA248" s="81">
        <f>21.5+68.6</f>
        <v>90.1</v>
      </c>
      <c r="AB248" s="83"/>
      <c r="AC248" s="83"/>
      <c r="AD248" s="83"/>
      <c r="AE248" s="85"/>
      <c r="AF248" s="92">
        <f ca="1">IF(OR($E248="Ecoinvent",$E248="Betonsortenrechner",$E248="KBOB",$V248&lt;=0,Table24[[#This Row],[VALID_TO]]&lt;=TODAY()),0,1)</f>
        <v>0</v>
      </c>
      <c r="AG248" s="92">
        <v>1</v>
      </c>
      <c r="AH248" s="92">
        <f ca="1">IF(AND(Table24[[#This Row],[ValidEPD]]&lt;&gt;0,Table24[[#This Row],[Man_Ausschluss]]&lt;&gt;0),1,0)</f>
        <v>0</v>
      </c>
      <c r="AI248" s="178" cm="1">
        <f t="array" aca="1" ref="AI248" ca="1">IF(Table24[[#This Row],[gültig]]&lt;&gt;0,
IF(V248=MIN(_xlfn._xlws.FILTER($V$2:$V$282,($P$2:$P$282=P248))),1,
IF(V248=MAX(_xlfn._xlws.FILTER($V$2:$V$282,($P$2:$P$282=P248))),1,0)),0)</f>
        <v>0</v>
      </c>
      <c r="AJ248" s="180"/>
      <c r="AK248" s="103"/>
      <c r="AL248" s="2"/>
    </row>
    <row r="249" spans="1:38" x14ac:dyDescent="0.45">
      <c r="A249" s="94" t="s">
        <v>446</v>
      </c>
      <c r="B249" s="200" t="s">
        <v>518</v>
      </c>
      <c r="C249" s="115">
        <v>250</v>
      </c>
      <c r="D249" s="201" t="s">
        <v>457</v>
      </c>
      <c r="E249" s="202" t="s">
        <v>458</v>
      </c>
      <c r="F249" s="202"/>
      <c r="G249" s="203">
        <v>44249</v>
      </c>
      <c r="H249" s="203">
        <v>46075</v>
      </c>
      <c r="I249" s="203" t="s">
        <v>277</v>
      </c>
      <c r="J249" s="280" t="s">
        <v>621</v>
      </c>
      <c r="K249" s="205" t="s">
        <v>129</v>
      </c>
      <c r="L249" s="281" t="s">
        <v>326</v>
      </c>
      <c r="M249" s="201" t="s">
        <v>432</v>
      </c>
      <c r="N249" s="207" t="s">
        <v>320</v>
      </c>
      <c r="O249" s="208" t="s">
        <v>416</v>
      </c>
      <c r="P249" s="96" t="s">
        <v>541</v>
      </c>
      <c r="Q249" s="96">
        <v>7850</v>
      </c>
      <c r="R249" s="202" t="s">
        <v>416</v>
      </c>
      <c r="S249" s="202" t="s">
        <v>416</v>
      </c>
      <c r="T249" s="202" t="s">
        <v>416</v>
      </c>
      <c r="U249" s="209" t="s">
        <v>416</v>
      </c>
      <c r="V249" s="83">
        <f>SUM(Table24[[#This Row],[A1toA3_GWP]:[C1toC4_GWP]])</f>
        <v>1380.1</v>
      </c>
      <c r="W249" s="123">
        <f>VLOOKUP("DK",[1]Sheet1!$B$11:$F$30,4,FALSE)+Table24[[#This Row],[Total_GWP]]</f>
        <v>1508.8</v>
      </c>
      <c r="X249" s="123">
        <f>VLOOKUP("DK",[1]Sheet1!$B$11:$F$30,5,FALSE)+Table24[[#This Row],[Total_GWP]]</f>
        <v>1393.3</v>
      </c>
      <c r="Y249" s="83">
        <f>Table24[[#This Row],[Total_GWP]]*Table24[[#This Row],[DENSITY]]/1000</f>
        <v>10833.785</v>
      </c>
      <c r="Z249" s="128">
        <v>1290</v>
      </c>
      <c r="AA249" s="81">
        <f>21.5+68.6</f>
        <v>90.1</v>
      </c>
      <c r="AB249" s="83"/>
      <c r="AC249" s="83"/>
      <c r="AD249" s="83"/>
      <c r="AE249" s="85"/>
      <c r="AF249" s="92">
        <f ca="1">IF(OR($E249="Ecoinvent",$E249="Betonsortenrechner",$E249="KBOB",$V249&lt;=0,Table24[[#This Row],[VALID_TO]]&lt;=TODAY()),0,1)</f>
        <v>0</v>
      </c>
      <c r="AG249" s="92">
        <v>1</v>
      </c>
      <c r="AH249" s="92">
        <f ca="1">IF(AND(Table24[[#This Row],[ValidEPD]]&lt;&gt;0,Table24[[#This Row],[Man_Ausschluss]]&lt;&gt;0),1,0)</f>
        <v>0</v>
      </c>
      <c r="AI249" s="178" cm="1">
        <f t="array" aca="1" ref="AI249" ca="1">IF(Table24[[#This Row],[gültig]]&lt;&gt;0,
IF(V249=MIN(_xlfn._xlws.FILTER($V$2:$V$282,($P$2:$P$282=P249))),1,
IF(V249=MAX(_xlfn._xlws.FILTER($V$2:$V$282,($P$2:$P$282=P249))),1,0)),0)</f>
        <v>0</v>
      </c>
      <c r="AJ249" s="180"/>
      <c r="AK249" s="2"/>
      <c r="AL249" s="2"/>
    </row>
    <row r="250" spans="1:38" x14ac:dyDescent="0.45">
      <c r="A250" s="94" t="s">
        <v>461</v>
      </c>
      <c r="B250" s="200" t="s">
        <v>502</v>
      </c>
      <c r="C250" s="111">
        <v>251</v>
      </c>
      <c r="D250" s="201" t="s">
        <v>459</v>
      </c>
      <c r="E250" s="202" t="s">
        <v>460</v>
      </c>
      <c r="F250" s="202"/>
      <c r="G250" s="203">
        <v>45239</v>
      </c>
      <c r="H250" s="203">
        <v>47066</v>
      </c>
      <c r="I250" s="96" t="s">
        <v>294</v>
      </c>
      <c r="J250" s="204" t="s">
        <v>294</v>
      </c>
      <c r="K250" s="205" t="s">
        <v>129</v>
      </c>
      <c r="L250" s="281" t="s">
        <v>326</v>
      </c>
      <c r="M250" s="201" t="s">
        <v>432</v>
      </c>
      <c r="N250" s="207" t="s">
        <v>320</v>
      </c>
      <c r="O250" s="208" t="s">
        <v>416</v>
      </c>
      <c r="P250" s="96" t="s">
        <v>540</v>
      </c>
      <c r="Q250" s="96">
        <v>7850</v>
      </c>
      <c r="R250" s="202" t="s">
        <v>416</v>
      </c>
      <c r="S250" s="202" t="s">
        <v>416</v>
      </c>
      <c r="T250" s="202" t="s">
        <v>416</v>
      </c>
      <c r="U250" s="209" t="s">
        <v>416</v>
      </c>
      <c r="V250" s="83">
        <f>SUM(Table24[[#This Row],[A1toA3_GWP]:[C1toC4_GWP]])</f>
        <v>867.42</v>
      </c>
      <c r="W250" s="83">
        <f>VLOOKUP(Table24[[#This Row],[Country PRODUCTION]],[1]Sheet1!$B$11:$F$30,4,FALSE)+Table24[[#This Row],[Total_GWP]]</f>
        <v>961.02</v>
      </c>
      <c r="X250" s="83">
        <f>VLOOKUP(Table24[[#This Row],[Country PRODUCTION]],[1]Sheet1!$B$11:$F$30,5,FALSE)+Table24[[#This Row],[Total_GWP]]</f>
        <v>877.02</v>
      </c>
      <c r="Y250" s="83">
        <f>Table24[[#This Row],[Total_GWP]]*Table24[[#This Row],[DENSITY]]/1000</f>
        <v>6809.2470000000003</v>
      </c>
      <c r="Z250" s="128">
        <v>854</v>
      </c>
      <c r="AA250" s="81">
        <f>5.85+7.57</f>
        <v>13.42</v>
      </c>
      <c r="AB250" s="83"/>
      <c r="AC250" s="83"/>
      <c r="AD250" s="83"/>
      <c r="AE250" s="85"/>
      <c r="AF250" s="92">
        <f ca="1">IF(OR($E250="Ecoinvent",$E250="Betonsortenrechner",$E250="KBOB",$V250&lt;=0,Table24[[#This Row],[VALID_TO]]&lt;=TODAY()),0,1)</f>
        <v>1</v>
      </c>
      <c r="AG250" s="92">
        <v>1</v>
      </c>
      <c r="AH250" s="92">
        <f ca="1">IF(AND(Table24[[#This Row],[ValidEPD]]&lt;&gt;0,Table24[[#This Row],[Man_Ausschluss]]&lt;&gt;0),1,0)</f>
        <v>1</v>
      </c>
      <c r="AI250" s="178" cm="1">
        <f t="array" aca="1" ref="AI250" ca="1">IF(Table24[[#This Row],[gültig]]&lt;&gt;0,
IF(V250=MIN(_xlfn._xlws.FILTER($V$2:$V$282,($P$2:$P$282=P250))),1,
IF(V250=MAX(_xlfn._xlws.FILTER($V$2:$V$282,($P$2:$P$282=P250))),1,0)),0)</f>
        <v>0</v>
      </c>
      <c r="AJ250" s="180"/>
      <c r="AK250" s="2"/>
      <c r="AL250" s="2"/>
    </row>
    <row r="251" spans="1:38" x14ac:dyDescent="0.45">
      <c r="A251" s="94" t="s">
        <v>461</v>
      </c>
      <c r="B251" s="200" t="s">
        <v>518</v>
      </c>
      <c r="C251" s="115">
        <v>252</v>
      </c>
      <c r="D251" s="201" t="s">
        <v>459</v>
      </c>
      <c r="E251" s="202" t="s">
        <v>460</v>
      </c>
      <c r="F251" s="202"/>
      <c r="G251" s="203">
        <v>45239</v>
      </c>
      <c r="H251" s="203">
        <v>47066</v>
      </c>
      <c r="I251" s="96" t="s">
        <v>294</v>
      </c>
      <c r="J251" s="204" t="s">
        <v>294</v>
      </c>
      <c r="K251" s="205" t="s">
        <v>129</v>
      </c>
      <c r="L251" s="281" t="s">
        <v>326</v>
      </c>
      <c r="M251" s="201" t="s">
        <v>432</v>
      </c>
      <c r="N251" s="207" t="s">
        <v>320</v>
      </c>
      <c r="O251" s="208" t="s">
        <v>416</v>
      </c>
      <c r="P251" s="96" t="s">
        <v>541</v>
      </c>
      <c r="Q251" s="96">
        <v>7850</v>
      </c>
      <c r="R251" s="202" t="s">
        <v>416</v>
      </c>
      <c r="S251" s="202" t="s">
        <v>416</v>
      </c>
      <c r="T251" s="202" t="s">
        <v>416</v>
      </c>
      <c r="U251" s="209" t="s">
        <v>416</v>
      </c>
      <c r="V251" s="83">
        <f>SUM(Table24[[#This Row],[A1toA3_GWP]:[C1toC4_GWP]])</f>
        <v>867.42</v>
      </c>
      <c r="W251" s="83">
        <f>VLOOKUP(Table24[[#This Row],[Country PRODUCTION]],[1]Sheet1!$B$11:$F$30,4,FALSE)+Table24[[#This Row],[Total_GWP]]</f>
        <v>961.02</v>
      </c>
      <c r="X251" s="83">
        <f>VLOOKUP(Table24[[#This Row],[Country PRODUCTION]],[1]Sheet1!$B$11:$F$30,5,FALSE)+Table24[[#This Row],[Total_GWP]]</f>
        <v>877.02</v>
      </c>
      <c r="Y251" s="83">
        <f>Table24[[#This Row],[Total_GWP]]*Table24[[#This Row],[DENSITY]]/1000</f>
        <v>6809.2470000000003</v>
      </c>
      <c r="Z251" s="128">
        <v>854</v>
      </c>
      <c r="AA251" s="81">
        <f>5.85+7.57</f>
        <v>13.42</v>
      </c>
      <c r="AB251" s="83"/>
      <c r="AC251" s="83"/>
      <c r="AD251" s="83"/>
      <c r="AE251" s="85"/>
      <c r="AF251" s="92">
        <f ca="1">IF(OR($E251="Ecoinvent",$E251="Betonsortenrechner",$E251="KBOB",$V251&lt;=0,Table24[[#This Row],[VALID_TO]]&lt;=TODAY()),0,1)</f>
        <v>1</v>
      </c>
      <c r="AG251" s="92">
        <v>1</v>
      </c>
      <c r="AH251" s="92">
        <f ca="1">IF(AND(Table24[[#This Row],[ValidEPD]]&lt;&gt;0,Table24[[#This Row],[Man_Ausschluss]]&lt;&gt;0),1,0)</f>
        <v>1</v>
      </c>
      <c r="AI251" s="178" cm="1">
        <f t="array" aca="1" ref="AI251" ca="1">IF(Table24[[#This Row],[gültig]]&lt;&gt;0,
IF(V251=MIN(_xlfn._xlws.FILTER($V$2:$V$282,($P$2:$P$282=P251))),1,
IF(V251=MAX(_xlfn._xlws.FILTER($V$2:$V$282,($P$2:$P$282=P251))),1,0)),0)</f>
        <v>0</v>
      </c>
      <c r="AJ251" s="180"/>
      <c r="AK251" s="2"/>
      <c r="AL251" s="2"/>
    </row>
    <row r="252" spans="1:38" s="144" customFormat="1" ht="14.65" thickBot="1" x14ac:dyDescent="0.5">
      <c r="A252" s="129" t="s">
        <v>464</v>
      </c>
      <c r="B252" s="130"/>
      <c r="C252" s="121">
        <v>253</v>
      </c>
      <c r="D252" s="131" t="s">
        <v>463</v>
      </c>
      <c r="E252" s="132" t="s">
        <v>462</v>
      </c>
      <c r="F252" s="132"/>
      <c r="G252" s="133">
        <v>44158</v>
      </c>
      <c r="H252" s="133">
        <v>45981</v>
      </c>
      <c r="I252" s="134" t="s">
        <v>240</v>
      </c>
      <c r="J252" s="152" t="s">
        <v>240</v>
      </c>
      <c r="K252" s="135" t="s">
        <v>129</v>
      </c>
      <c r="L252" s="136" t="s">
        <v>326</v>
      </c>
      <c r="M252" s="137" t="s">
        <v>432</v>
      </c>
      <c r="N252" s="138" t="s">
        <v>320</v>
      </c>
      <c r="O252" s="139" t="s">
        <v>416</v>
      </c>
      <c r="P252" s="122" t="s">
        <v>416</v>
      </c>
      <c r="Q252" s="122">
        <v>7850</v>
      </c>
      <c r="R252" s="132" t="s">
        <v>416</v>
      </c>
      <c r="S252" s="132" t="s">
        <v>416</v>
      </c>
      <c r="T252" s="132" t="s">
        <v>416</v>
      </c>
      <c r="U252" s="140" t="s">
        <v>416</v>
      </c>
      <c r="V252" s="141">
        <f>SUM(Table24[[#This Row],[A1toA3_GWP]:[C1toC4_GWP]])</f>
        <v>1070.46</v>
      </c>
      <c r="W252" s="141">
        <f>VLOOKUP(Table24[[#This Row],[Country PRODUCTION]],[1]Sheet1!$B$11:$F$30,4,FALSE)+Table24[[#This Row],[Total_GWP]]</f>
        <v>1339.56</v>
      </c>
      <c r="X252" s="141">
        <f>VLOOKUP(Table24[[#This Row],[Country PRODUCTION]],[1]Sheet1!$B$11:$F$30,5,FALSE)+Table24[[#This Row],[Total_GWP]]</f>
        <v>1098.06</v>
      </c>
      <c r="Y252" s="141">
        <f>Table24[[#This Row],[Total_GWP]]*Table24[[#This Row],[DENSITY]]/1000</f>
        <v>8403.1110000000008</v>
      </c>
      <c r="Z252" s="142">
        <f>1.04*1000</f>
        <v>1040</v>
      </c>
      <c r="AA252" s="125">
        <f>21.4+6.84+2.22</f>
        <v>30.459999999999997</v>
      </c>
      <c r="AB252" s="126"/>
      <c r="AC252" s="126"/>
      <c r="AD252" s="126"/>
      <c r="AE252" s="127"/>
      <c r="AF252" s="124">
        <f ca="1">IF(OR($E252="Ecoinvent",$E252="Betonsortenrechner",$E252="KBOB",$V252&lt;=0,Table24[[#This Row],[VALID_TO]]&lt;=TODAY()),0,1)</f>
        <v>0</v>
      </c>
      <c r="AG252" s="124">
        <v>1</v>
      </c>
      <c r="AH252" s="124">
        <f ca="1">IF(AND(Table24[[#This Row],[ValidEPD]]&lt;&gt;0,Table24[[#This Row],[Man_Ausschluss]]&lt;&gt;0),1,0)</f>
        <v>0</v>
      </c>
      <c r="AI252" s="178" cm="1">
        <f t="array" aca="1" ref="AI252" ca="1">IF(Table24[[#This Row],[gültig]]&lt;&gt;0,
IF(V252=MIN(_xlfn._xlws.FILTER($V$2:$V$282,($P$2:$P$282=P252))),1,
IF(V252=MAX(_xlfn._xlws.FILTER($V$2:$V$282,($P$2:$P$282=P252))),1,0)),0)</f>
        <v>0</v>
      </c>
      <c r="AJ252" s="180"/>
      <c r="AK252" s="131"/>
      <c r="AL252" s="143"/>
    </row>
    <row r="253" spans="1:38" x14ac:dyDescent="0.45">
      <c r="A253" s="94" t="s">
        <v>174</v>
      </c>
      <c r="B253" s="200"/>
      <c r="C253" s="115">
        <v>254</v>
      </c>
      <c r="D253" s="201" t="s">
        <v>155</v>
      </c>
      <c r="E253" s="202" t="s">
        <v>154</v>
      </c>
      <c r="F253" s="202"/>
      <c r="G253" s="203">
        <v>45483</v>
      </c>
      <c r="H253" s="203">
        <v>47309</v>
      </c>
      <c r="I253" s="96" t="s">
        <v>156</v>
      </c>
      <c r="J253" s="204" t="s">
        <v>156</v>
      </c>
      <c r="K253" s="205" t="s">
        <v>157</v>
      </c>
      <c r="L253" s="201" t="s">
        <v>296</v>
      </c>
      <c r="M253" s="201" t="s">
        <v>318</v>
      </c>
      <c r="N253" s="207" t="s">
        <v>158</v>
      </c>
      <c r="O253" s="208" t="s">
        <v>416</v>
      </c>
      <c r="P253" s="96" t="s">
        <v>416</v>
      </c>
      <c r="Q253" s="96" t="s">
        <v>416</v>
      </c>
      <c r="R253" s="202" t="s">
        <v>416</v>
      </c>
      <c r="S253" s="202" t="s">
        <v>416</v>
      </c>
      <c r="T253" s="202" t="s">
        <v>416</v>
      </c>
      <c r="U253" s="209" t="s">
        <v>416</v>
      </c>
      <c r="V253" s="83">
        <f>SUM(Table24[[#This Row],[A1toA3_GWP]:[C1toC4_GWP]])</f>
        <v>1308.9564</v>
      </c>
      <c r="W253" s="83">
        <f>VLOOKUP(Table24[[#This Row],[Country PRODUCTION]],[1]Sheet1!$B$11:$F$30,4,FALSE)+Table24[[#This Row],[Total_GWP]]</f>
        <v>1402.5563999999999</v>
      </c>
      <c r="X253" s="83">
        <f>VLOOKUP(Table24[[#This Row],[Country PRODUCTION]],[1]Sheet1!$B$11:$F$30,5,FALSE)+Table24[[#This Row],[Total_GWP]]</f>
        <v>1318.5563999999999</v>
      </c>
      <c r="Y253" s="83"/>
      <c r="Z253" s="128">
        <v>1280</v>
      </c>
      <c r="AA253" s="81">
        <f>6.59+22.1+0.2664</f>
        <v>28.956400000000002</v>
      </c>
      <c r="AB253" s="83"/>
      <c r="AC253" s="83"/>
      <c r="AD253" s="83"/>
      <c r="AE253" s="85"/>
      <c r="AF253" s="92">
        <f ca="1">IF(OR($E253="Ecoinvent",$E253="Betonsortenrechner",$E253="KBOB",$V253&lt;=0,Table24[[#This Row],[VALID_TO]]&lt;=TODAY()),0,1)</f>
        <v>1</v>
      </c>
      <c r="AG253" s="92">
        <v>1</v>
      </c>
      <c r="AH253" s="92">
        <f ca="1">IF(AND(Table24[[#This Row],[ValidEPD]]&lt;&gt;0,Table24[[#This Row],[Man_Ausschluss]]&lt;&gt;0),1,0)</f>
        <v>1</v>
      </c>
      <c r="AI253" s="178" cm="1">
        <f t="array" aca="1" ref="AI253" ca="1">IF(Table24[[#This Row],[gültig]]&lt;&gt;0,
IF(V253=MIN(_xlfn._xlws.FILTER($V$2:$V$282,($P$2:$P$282=P253))),1,
IF(V253=MAX(_xlfn._xlws.FILTER($V$2:$V$282,($P$2:$P$282=P253))),1,0)),0)</f>
        <v>0</v>
      </c>
      <c r="AJ253" s="180"/>
      <c r="AK253" s="2" t="s">
        <v>164</v>
      </c>
      <c r="AL253" s="2"/>
    </row>
    <row r="254" spans="1:38" x14ac:dyDescent="0.45">
      <c r="A254" s="199" t="s">
        <v>175</v>
      </c>
      <c r="B254" s="200"/>
      <c r="C254" s="115">
        <v>255</v>
      </c>
      <c r="D254" s="201" t="s">
        <v>167</v>
      </c>
      <c r="E254" s="202" t="s">
        <v>154</v>
      </c>
      <c r="F254" s="202"/>
      <c r="G254" s="203">
        <v>44578</v>
      </c>
      <c r="H254" s="203">
        <v>46404</v>
      </c>
      <c r="I254" s="96" t="s">
        <v>156</v>
      </c>
      <c r="J254" s="204" t="s">
        <v>156</v>
      </c>
      <c r="K254" s="205" t="s">
        <v>157</v>
      </c>
      <c r="L254" s="201" t="s">
        <v>296</v>
      </c>
      <c r="M254" s="201" t="s">
        <v>318</v>
      </c>
      <c r="N254" s="207" t="s">
        <v>158</v>
      </c>
      <c r="O254" s="208" t="s">
        <v>416</v>
      </c>
      <c r="P254" s="96" t="s">
        <v>416</v>
      </c>
      <c r="Q254" s="96" t="s">
        <v>416</v>
      </c>
      <c r="R254" s="202" t="s">
        <v>416</v>
      </c>
      <c r="S254" s="202" t="s">
        <v>416</v>
      </c>
      <c r="T254" s="202" t="s">
        <v>416</v>
      </c>
      <c r="U254" s="209" t="s">
        <v>416</v>
      </c>
      <c r="V254" s="83">
        <f>SUM(Table24[[#This Row],[A1toA3_GWP]:[C1toC4_GWP]])</f>
        <v>1852.364</v>
      </c>
      <c r="W254" s="83">
        <f>VLOOKUP(Table24[[#This Row],[Country PRODUCTION]],[1]Sheet1!$B$11:$F$30,4,FALSE)+Table24[[#This Row],[Total_GWP]]</f>
        <v>1945.9639999999999</v>
      </c>
      <c r="X254" s="83">
        <f>VLOOKUP(Table24[[#This Row],[Country PRODUCTION]],[1]Sheet1!$B$11:$F$30,5,FALSE)+Table24[[#This Row],[Total_GWP]]</f>
        <v>1861.9639999999999</v>
      </c>
      <c r="Y254" s="83"/>
      <c r="Z254" s="128">
        <v>1830</v>
      </c>
      <c r="AA254" s="81">
        <f>22.1+0.264</f>
        <v>22.364000000000001</v>
      </c>
      <c r="AB254" s="83"/>
      <c r="AC254" s="83"/>
      <c r="AD254" s="83"/>
      <c r="AE254" s="85"/>
      <c r="AF254" s="92">
        <f ca="1">IF(OR($E254="Ecoinvent",$E254="Betonsortenrechner",$E254="KBOB",$V254&lt;=0,Table24[[#This Row],[VALID_TO]]&lt;=TODAY()),0,1)</f>
        <v>1</v>
      </c>
      <c r="AG254" s="92">
        <v>1</v>
      </c>
      <c r="AH254" s="92">
        <f ca="1">IF(AND(Table24[[#This Row],[ValidEPD]]&lt;&gt;0,Table24[[#This Row],[Man_Ausschluss]]&lt;&gt;0),1,0)</f>
        <v>1</v>
      </c>
      <c r="AI254" s="178" cm="1">
        <f t="array" aca="1" ref="AI254" ca="1">IF(Table24[[#This Row],[gültig]]&lt;&gt;0,
IF(V254=MIN(_xlfn._xlws.FILTER($V$2:$V$282,($P$2:$P$282=P254))),1,
IF(V254=MAX(_xlfn._xlws.FILTER($V$2:$V$282,($P$2:$P$282=P254))),1,0)),0)</f>
        <v>1</v>
      </c>
      <c r="AJ254" s="180"/>
      <c r="AK254" s="2"/>
      <c r="AL254" s="2"/>
    </row>
    <row r="255" spans="1:38" x14ac:dyDescent="0.45">
      <c r="A255" s="199" t="s">
        <v>176</v>
      </c>
      <c r="B255" s="200" t="s">
        <v>502</v>
      </c>
      <c r="C255" s="115">
        <v>256</v>
      </c>
      <c r="D255" s="201" t="s">
        <v>159</v>
      </c>
      <c r="E255" s="202" t="s">
        <v>219</v>
      </c>
      <c r="F255" s="202"/>
      <c r="G255" s="203">
        <v>43941</v>
      </c>
      <c r="H255" s="203">
        <v>45766</v>
      </c>
      <c r="I255" s="96" t="s">
        <v>162</v>
      </c>
      <c r="J255" s="204" t="s">
        <v>162</v>
      </c>
      <c r="K255" s="205" t="s">
        <v>157</v>
      </c>
      <c r="L255" s="201" t="s">
        <v>296</v>
      </c>
      <c r="M255" s="201" t="s">
        <v>318</v>
      </c>
      <c r="N255" s="207" t="s">
        <v>158</v>
      </c>
      <c r="O255" s="208" t="s">
        <v>416</v>
      </c>
      <c r="P255" s="96">
        <v>1860</v>
      </c>
      <c r="Q255" s="96" t="s">
        <v>416</v>
      </c>
      <c r="R255" s="202" t="s">
        <v>416</v>
      </c>
      <c r="S255" s="202" t="s">
        <v>416</v>
      </c>
      <c r="T255" s="202" t="s">
        <v>416</v>
      </c>
      <c r="U255" s="209" t="s">
        <v>416</v>
      </c>
      <c r="V255" s="83">
        <f>SUM(Table24[[#This Row],[A1toA3_GWP]:[C1toC4_GWP]])</f>
        <v>2250</v>
      </c>
      <c r="W255" s="83">
        <f>VLOOKUP(Table24[[#This Row],[Country PRODUCTION]],[1]Sheet1!$B$11:$F$30,4,FALSE)+Table24[[#This Row],[Total_GWP]]</f>
        <v>2484</v>
      </c>
      <c r="X255" s="83">
        <f>VLOOKUP(Table24[[#This Row],[Country PRODUCTION]],[1]Sheet1!$B$11:$F$30,5,FALSE)+Table24[[#This Row],[Total_GWP]]</f>
        <v>2274</v>
      </c>
      <c r="Y255" s="83"/>
      <c r="Z255" s="128">
        <f>2.25*1000</f>
        <v>2250</v>
      </c>
      <c r="AA255" s="81" t="s">
        <v>416</v>
      </c>
      <c r="AB255" s="83"/>
      <c r="AC255" s="83"/>
      <c r="AD255" s="83"/>
      <c r="AE255" s="85"/>
      <c r="AF255" s="92">
        <f ca="1">IF(OR($E255="Ecoinvent",$E255="Betonsortenrechner",$E255="KBOB",$V255&lt;=0,Table24[[#This Row],[VALID_TO]]&lt;=TODAY()),0,1)</f>
        <v>0</v>
      </c>
      <c r="AG255" s="92">
        <v>1</v>
      </c>
      <c r="AH255" s="92">
        <f ca="1">IF(AND(Table24[[#This Row],[ValidEPD]]&lt;&gt;0,Table24[[#This Row],[Man_Ausschluss]]&lt;&gt;0),1,0)</f>
        <v>0</v>
      </c>
      <c r="AI255" s="178" cm="1">
        <f t="array" aca="1" ref="AI255" ca="1">IF(Table24[[#This Row],[gültig]]&lt;&gt;0,
IF(V255=MIN(_xlfn._xlws.FILTER($V$2:$V$282,($P$2:$P$282=P255))),1,
IF(V255=MAX(_xlfn._xlws.FILTER($V$2:$V$282,($P$2:$P$282=P255))),1,0)),0)</f>
        <v>0</v>
      </c>
      <c r="AJ255" s="180"/>
      <c r="AK255" s="2" t="s">
        <v>163</v>
      </c>
      <c r="AL255" s="2"/>
    </row>
    <row r="256" spans="1:38" x14ac:dyDescent="0.45">
      <c r="A256" s="199" t="s">
        <v>176</v>
      </c>
      <c r="B256" s="200" t="s">
        <v>518</v>
      </c>
      <c r="C256" s="115">
        <v>257</v>
      </c>
      <c r="D256" s="201" t="s">
        <v>159</v>
      </c>
      <c r="E256" s="202" t="s">
        <v>219</v>
      </c>
      <c r="F256" s="202"/>
      <c r="G256" s="203">
        <v>43941</v>
      </c>
      <c r="H256" s="203">
        <v>45766</v>
      </c>
      <c r="I256" s="96" t="s">
        <v>162</v>
      </c>
      <c r="J256" s="204" t="s">
        <v>162</v>
      </c>
      <c r="K256" s="205" t="s">
        <v>157</v>
      </c>
      <c r="L256" s="201" t="s">
        <v>296</v>
      </c>
      <c r="M256" s="201" t="s">
        <v>318</v>
      </c>
      <c r="N256" s="207" t="s">
        <v>158</v>
      </c>
      <c r="O256" s="208" t="s">
        <v>416</v>
      </c>
      <c r="P256" s="96">
        <v>2160</v>
      </c>
      <c r="Q256" s="96" t="s">
        <v>416</v>
      </c>
      <c r="R256" s="202" t="s">
        <v>416</v>
      </c>
      <c r="S256" s="202" t="s">
        <v>416</v>
      </c>
      <c r="T256" s="202" t="s">
        <v>416</v>
      </c>
      <c r="U256" s="209" t="s">
        <v>416</v>
      </c>
      <c r="V256" s="83">
        <f>SUM(Table24[[#This Row],[A1toA3_GWP]:[C1toC4_GWP]])</f>
        <v>2250</v>
      </c>
      <c r="W256" s="83">
        <f>VLOOKUP(Table24[[#This Row],[Country PRODUCTION]],[1]Sheet1!$B$11:$F$30,4,FALSE)+Table24[[#This Row],[Total_GWP]]</f>
        <v>2484</v>
      </c>
      <c r="X256" s="83">
        <f>VLOOKUP(Table24[[#This Row],[Country PRODUCTION]],[1]Sheet1!$B$11:$F$30,5,FALSE)+Table24[[#This Row],[Total_GWP]]</f>
        <v>2274</v>
      </c>
      <c r="Y256" s="83"/>
      <c r="Z256" s="128">
        <f>2.25*1000</f>
        <v>2250</v>
      </c>
      <c r="AA256" s="81" t="s">
        <v>416</v>
      </c>
      <c r="AB256" s="83"/>
      <c r="AC256" s="83"/>
      <c r="AD256" s="83"/>
      <c r="AE256" s="85"/>
      <c r="AF256" s="92">
        <f ca="1">IF(OR($E256="Ecoinvent",$E256="Betonsortenrechner",$E256="KBOB",$V256&lt;=0,Table24[[#This Row],[VALID_TO]]&lt;=TODAY()),0,1)</f>
        <v>0</v>
      </c>
      <c r="AG256" s="92">
        <v>1</v>
      </c>
      <c r="AH256" s="92">
        <f ca="1">IF(AND(Table24[[#This Row],[ValidEPD]]&lt;&gt;0,Table24[[#This Row],[Man_Ausschluss]]&lt;&gt;0),1,0)</f>
        <v>0</v>
      </c>
      <c r="AI256" s="178" cm="1">
        <f t="array" aca="1" ref="AI256" ca="1">IF(Table24[[#This Row],[gültig]]&lt;&gt;0,
IF(V256=MIN(_xlfn._xlws.FILTER($V$2:$V$282,($P$2:$P$282=P256))),1,
IF(V256=MAX(_xlfn._xlws.FILTER($V$2:$V$282,($P$2:$P$282=P256))),1,0)),0)</f>
        <v>0</v>
      </c>
      <c r="AJ256" s="180"/>
      <c r="AK256" s="2" t="s">
        <v>163</v>
      </c>
      <c r="AL256" s="2"/>
    </row>
    <row r="257" spans="1:39" x14ac:dyDescent="0.45">
      <c r="A257" s="199" t="s">
        <v>177</v>
      </c>
      <c r="B257" s="200" t="s">
        <v>502</v>
      </c>
      <c r="C257" s="111">
        <v>258</v>
      </c>
      <c r="D257" s="201" t="s">
        <v>161</v>
      </c>
      <c r="E257" s="202" t="s">
        <v>219</v>
      </c>
      <c r="F257" s="202"/>
      <c r="G257" s="203">
        <v>45399</v>
      </c>
      <c r="H257" s="203">
        <v>47224</v>
      </c>
      <c r="I257" s="96" t="s">
        <v>162</v>
      </c>
      <c r="J257" s="204" t="s">
        <v>162</v>
      </c>
      <c r="K257" s="205" t="s">
        <v>157</v>
      </c>
      <c r="L257" s="201" t="s">
        <v>296</v>
      </c>
      <c r="M257" s="201" t="s">
        <v>318</v>
      </c>
      <c r="N257" s="207" t="s">
        <v>158</v>
      </c>
      <c r="O257" s="208" t="s">
        <v>416</v>
      </c>
      <c r="P257" s="96">
        <v>1860</v>
      </c>
      <c r="Q257" s="96" t="s">
        <v>416</v>
      </c>
      <c r="R257" s="202" t="s">
        <v>416</v>
      </c>
      <c r="S257" s="202" t="s">
        <v>416</v>
      </c>
      <c r="T257" s="202" t="s">
        <v>416</v>
      </c>
      <c r="U257" s="209" t="s">
        <v>416</v>
      </c>
      <c r="V257" s="83">
        <f>SUM(Table24[[#This Row],[A1toA3_GWP]:[C1toC4_GWP]])</f>
        <v>1014.65</v>
      </c>
      <c r="W257" s="83">
        <f>VLOOKUP(Table24[[#This Row],[Country PRODUCTION]],[1]Sheet1!$B$11:$F$30,4,FALSE)+Table24[[#This Row],[Total_GWP]]</f>
        <v>1248.6500000000001</v>
      </c>
      <c r="X257" s="83">
        <f>VLOOKUP(Table24[[#This Row],[Country PRODUCTION]],[1]Sheet1!$B$11:$F$30,5,FALSE)+Table24[[#This Row],[Total_GWP]]</f>
        <v>1038.6500000000001</v>
      </c>
      <c r="Y257" s="83"/>
      <c r="Z257" s="128">
        <f>0.934*1000</f>
        <v>934</v>
      </c>
      <c r="AA257" s="81">
        <f>(0.047+0.0321+0.00128+0.00027)*1000</f>
        <v>80.65000000000002</v>
      </c>
      <c r="AB257" s="83"/>
      <c r="AC257" s="83"/>
      <c r="AD257" s="83"/>
      <c r="AE257" s="85"/>
      <c r="AF257" s="92">
        <f ca="1">IF(OR($E257="Ecoinvent",$E257="Betonsortenrechner",$E257="KBOB",$V257&lt;=0,Table24[[#This Row],[VALID_TO]]&lt;=TODAY()),0,1)</f>
        <v>1</v>
      </c>
      <c r="AG257" s="92">
        <v>1</v>
      </c>
      <c r="AH257" s="92">
        <f ca="1">IF(AND(Table24[[#This Row],[ValidEPD]]&lt;&gt;0,Table24[[#This Row],[Man_Ausschluss]]&lt;&gt;0),1,0)</f>
        <v>1</v>
      </c>
      <c r="AI257" s="178" cm="1">
        <f t="array" aca="1" ref="AI257" ca="1">IF(Table24[[#This Row],[gültig]]&lt;&gt;0,
IF(V257=MIN(_xlfn._xlws.FILTER($V$2:$V$282,($P$2:$P$282=P257))),1,
IF(V257=MAX(_xlfn._xlws.FILTER($V$2:$V$282,($P$2:$P$282=P257))),1,0)),0)</f>
        <v>0</v>
      </c>
      <c r="AJ257" s="180"/>
      <c r="AK257" s="2" t="s">
        <v>163</v>
      </c>
      <c r="AL257" s="2"/>
    </row>
    <row r="258" spans="1:39" x14ac:dyDescent="0.45">
      <c r="A258" s="199" t="s">
        <v>177</v>
      </c>
      <c r="B258" s="200" t="s">
        <v>518</v>
      </c>
      <c r="C258" s="111">
        <v>259</v>
      </c>
      <c r="D258" s="201" t="s">
        <v>161</v>
      </c>
      <c r="E258" s="202" t="s">
        <v>219</v>
      </c>
      <c r="F258" s="202"/>
      <c r="G258" s="203">
        <v>45399</v>
      </c>
      <c r="H258" s="203">
        <v>47224</v>
      </c>
      <c r="I258" s="96" t="s">
        <v>162</v>
      </c>
      <c r="J258" s="204" t="s">
        <v>162</v>
      </c>
      <c r="K258" s="205" t="s">
        <v>157</v>
      </c>
      <c r="L258" s="201" t="s">
        <v>296</v>
      </c>
      <c r="M258" s="201" t="s">
        <v>318</v>
      </c>
      <c r="N258" s="207" t="s">
        <v>158</v>
      </c>
      <c r="O258" s="208" t="s">
        <v>416</v>
      </c>
      <c r="P258" s="96">
        <v>2160</v>
      </c>
      <c r="Q258" s="96" t="s">
        <v>416</v>
      </c>
      <c r="R258" s="202" t="s">
        <v>416</v>
      </c>
      <c r="S258" s="202" t="s">
        <v>416</v>
      </c>
      <c r="T258" s="202" t="s">
        <v>416</v>
      </c>
      <c r="U258" s="209" t="s">
        <v>416</v>
      </c>
      <c r="V258" s="83">
        <f>SUM(Table24[[#This Row],[A1toA3_GWP]:[C1toC4_GWP]])</f>
        <v>1014.65</v>
      </c>
      <c r="W258" s="83">
        <f>VLOOKUP(Table24[[#This Row],[Country PRODUCTION]],[1]Sheet1!$B$11:$F$30,4,FALSE)+Table24[[#This Row],[Total_GWP]]</f>
        <v>1248.6500000000001</v>
      </c>
      <c r="X258" s="83">
        <f>VLOOKUP(Table24[[#This Row],[Country PRODUCTION]],[1]Sheet1!$B$11:$F$30,5,FALSE)+Table24[[#This Row],[Total_GWP]]</f>
        <v>1038.6500000000001</v>
      </c>
      <c r="Y258" s="83"/>
      <c r="Z258" s="128">
        <f>0.934*1000</f>
        <v>934</v>
      </c>
      <c r="AA258" s="81">
        <f>(0.047+0.0321+0.00128+0.00027)*1000</f>
        <v>80.65000000000002</v>
      </c>
      <c r="AB258" s="83"/>
      <c r="AC258" s="83"/>
      <c r="AD258" s="83"/>
      <c r="AE258" s="85"/>
      <c r="AF258" s="92">
        <f ca="1">IF(OR($E258="Ecoinvent",$E258="Betonsortenrechner",$E258="KBOB",$V258&lt;=0,Table24[[#This Row],[VALID_TO]]&lt;=TODAY()),0,1)</f>
        <v>1</v>
      </c>
      <c r="AG258" s="92">
        <v>1</v>
      </c>
      <c r="AH258" s="92">
        <f ca="1">IF(AND(Table24[[#This Row],[ValidEPD]]&lt;&gt;0,Table24[[#This Row],[Man_Ausschluss]]&lt;&gt;0),1,0)</f>
        <v>1</v>
      </c>
      <c r="AI258" s="178" cm="1">
        <f t="array" aca="1" ref="AI258" ca="1">IF(Table24[[#This Row],[gültig]]&lt;&gt;0,
IF(V258=MIN(_xlfn._xlws.FILTER($V$2:$V$282,($P$2:$P$282=P258))),1,
IF(V258=MAX(_xlfn._xlws.FILTER($V$2:$V$282,($P$2:$P$282=P258))),1,0)),0)</f>
        <v>1</v>
      </c>
      <c r="AJ258" s="180"/>
      <c r="AK258" s="2" t="s">
        <v>163</v>
      </c>
      <c r="AL258" s="2"/>
    </row>
    <row r="259" spans="1:39" x14ac:dyDescent="0.45">
      <c r="A259" s="199" t="s">
        <v>178</v>
      </c>
      <c r="B259" s="200"/>
      <c r="C259" s="115">
        <v>260</v>
      </c>
      <c r="D259" s="201" t="s">
        <v>165</v>
      </c>
      <c r="E259" s="202" t="s">
        <v>166</v>
      </c>
      <c r="F259" s="202"/>
      <c r="G259" s="203">
        <v>44181</v>
      </c>
      <c r="H259" s="203">
        <v>45993</v>
      </c>
      <c r="I259" s="96" t="s">
        <v>240</v>
      </c>
      <c r="J259" s="204" t="s">
        <v>240</v>
      </c>
      <c r="K259" s="205" t="s">
        <v>157</v>
      </c>
      <c r="L259" s="201" t="s">
        <v>296</v>
      </c>
      <c r="M259" s="201" t="s">
        <v>318</v>
      </c>
      <c r="N259" s="207" t="s">
        <v>158</v>
      </c>
      <c r="O259" s="208" t="s">
        <v>416</v>
      </c>
      <c r="P259" s="96">
        <v>1860</v>
      </c>
      <c r="Q259" s="96" t="s">
        <v>416</v>
      </c>
      <c r="R259" s="202" t="s">
        <v>416</v>
      </c>
      <c r="S259" s="202" t="s">
        <v>416</v>
      </c>
      <c r="T259" s="202" t="s">
        <v>416</v>
      </c>
      <c r="U259" s="209" t="s">
        <v>416</v>
      </c>
      <c r="V259" s="83">
        <f>SUM(Table24[[#This Row],[A1toA3_GWP]:[C1toC4_GWP]])</f>
        <v>616.83500000000004</v>
      </c>
      <c r="W259" s="83">
        <f>VLOOKUP(Table24[[#This Row],[Country PRODUCTION]],[1]Sheet1!$B$11:$F$30,4,FALSE)+Table24[[#This Row],[Total_GWP]]</f>
        <v>885.93500000000006</v>
      </c>
      <c r="X259" s="83">
        <f>VLOOKUP(Table24[[#This Row],[Country PRODUCTION]],[1]Sheet1!$B$11:$F$30,5,FALSE)+Table24[[#This Row],[Total_GWP]]</f>
        <v>644.43500000000006</v>
      </c>
      <c r="Y259" s="83"/>
      <c r="Z259" s="128">
        <f>0.584*1000</f>
        <v>584</v>
      </c>
      <c r="AA259" s="81">
        <f>(0.0055+0.00817+0.0185+0.000665)*1000</f>
        <v>32.834999999999994</v>
      </c>
      <c r="AB259" s="83"/>
      <c r="AC259" s="83"/>
      <c r="AD259" s="83"/>
      <c r="AE259" s="85"/>
      <c r="AF259" s="92">
        <f ca="1">IF(OR($E259="Ecoinvent",$E259="Betonsortenrechner",$E259="KBOB",$V259&lt;=0,Table24[[#This Row],[VALID_TO]]&lt;=TODAY()),0,1)</f>
        <v>0</v>
      </c>
      <c r="AG259" s="92">
        <v>1</v>
      </c>
      <c r="AH259" s="92">
        <f ca="1">IF(AND(Table24[[#This Row],[ValidEPD]]&lt;&gt;0,Table24[[#This Row],[Man_Ausschluss]]&lt;&gt;0),1,0)</f>
        <v>0</v>
      </c>
      <c r="AI259" s="178" cm="1">
        <f t="array" aca="1" ref="AI259" ca="1">IF(Table24[[#This Row],[gültig]]&lt;&gt;0,
IF(V259=MIN(_xlfn._xlws.FILTER($V$2:$V$282,($P$2:$P$282=P259))),1,
IF(V259=MAX(_xlfn._xlws.FILTER($V$2:$V$282,($P$2:$P$282=P259))),1,0)),0)</f>
        <v>0</v>
      </c>
      <c r="AJ259" s="180"/>
      <c r="AK259" s="2"/>
      <c r="AL259" s="2"/>
    </row>
    <row r="260" spans="1:39" x14ac:dyDescent="0.45">
      <c r="A260" s="199" t="s">
        <v>179</v>
      </c>
      <c r="B260" s="200"/>
      <c r="C260" s="111">
        <v>261</v>
      </c>
      <c r="D260" s="201" t="s">
        <v>173</v>
      </c>
      <c r="E260" s="202" t="s">
        <v>166</v>
      </c>
      <c r="F260" s="202"/>
      <c r="G260" s="203">
        <v>44181</v>
      </c>
      <c r="H260" s="203">
        <v>45993</v>
      </c>
      <c r="I260" s="96" t="s">
        <v>240</v>
      </c>
      <c r="J260" s="204" t="s">
        <v>240</v>
      </c>
      <c r="K260" s="205" t="s">
        <v>157</v>
      </c>
      <c r="L260" s="201" t="s">
        <v>296</v>
      </c>
      <c r="M260" s="201" t="s">
        <v>318</v>
      </c>
      <c r="N260" s="207" t="s">
        <v>158</v>
      </c>
      <c r="O260" s="208" t="s">
        <v>416</v>
      </c>
      <c r="P260" s="96">
        <v>1860</v>
      </c>
      <c r="Q260" s="96" t="s">
        <v>416</v>
      </c>
      <c r="R260" s="202" t="s">
        <v>416</v>
      </c>
      <c r="S260" s="202" t="s">
        <v>416</v>
      </c>
      <c r="T260" s="202" t="s">
        <v>416</v>
      </c>
      <c r="U260" s="209" t="s">
        <v>416</v>
      </c>
      <c r="V260" s="83">
        <f>SUM(Table24[[#This Row],[A1toA3_GWP]:[C1toC4_GWP]])</f>
        <v>1866.032835</v>
      </c>
      <c r="W260" s="83">
        <f>VLOOKUP(Table24[[#This Row],[Country PRODUCTION]],[1]Sheet1!$B$11:$F$30,4,FALSE)+Table24[[#This Row],[Total_GWP]]</f>
        <v>2135.1328349999999</v>
      </c>
      <c r="X260" s="83">
        <f>VLOOKUP(Table24[[#This Row],[Country PRODUCTION]],[1]Sheet1!$B$11:$F$30,5,FALSE)+Table24[[#This Row],[Total_GWP]]</f>
        <v>1893.6328349999999</v>
      </c>
      <c r="Y260" s="83"/>
      <c r="Z260" s="128">
        <f>1.866*1000</f>
        <v>1866</v>
      </c>
      <c r="AA260" s="81">
        <f>(0.0055+0.00817+0.0185+0.000665)</f>
        <v>3.2834999999999996E-2</v>
      </c>
      <c r="AB260" s="83"/>
      <c r="AC260" s="83"/>
      <c r="AD260" s="83"/>
      <c r="AE260" s="85"/>
      <c r="AF260" s="92">
        <f ca="1">IF(OR($E260="Ecoinvent",$E260="Betonsortenrechner",$E260="KBOB",$V260&lt;=0,Table24[[#This Row],[VALID_TO]]&lt;=TODAY()),0,1)</f>
        <v>0</v>
      </c>
      <c r="AG260" s="92">
        <v>1</v>
      </c>
      <c r="AH260" s="92">
        <f ca="1">IF(AND(Table24[[#This Row],[ValidEPD]]&lt;&gt;0,Table24[[#This Row],[Man_Ausschluss]]&lt;&gt;0),1,0)</f>
        <v>0</v>
      </c>
      <c r="AI260" s="178" cm="1">
        <f t="array" aca="1" ref="AI260" ca="1">IF(Table24[[#This Row],[gültig]]&lt;&gt;0,
IF(V260=MIN(_xlfn._xlws.FILTER($V$2:$V$282,($P$2:$P$282=P260))),1,
IF(V260=MAX(_xlfn._xlws.FILTER($V$2:$V$282,($P$2:$P$282=P260))),1,0)),0)</f>
        <v>0</v>
      </c>
      <c r="AJ260" s="180"/>
      <c r="AK260" s="2"/>
      <c r="AL260" s="2"/>
    </row>
    <row r="261" spans="1:39" x14ac:dyDescent="0.45">
      <c r="A261" s="199" t="s">
        <v>180</v>
      </c>
      <c r="B261" s="200"/>
      <c r="C261" s="115">
        <v>262</v>
      </c>
      <c r="D261" s="201" t="s">
        <v>551</v>
      </c>
      <c r="E261" s="202" t="s">
        <v>168</v>
      </c>
      <c r="F261" s="202"/>
      <c r="G261" s="203">
        <v>42370</v>
      </c>
      <c r="H261" s="203">
        <v>43831</v>
      </c>
      <c r="I261" s="96" t="s">
        <v>240</v>
      </c>
      <c r="J261" s="204" t="s">
        <v>240</v>
      </c>
      <c r="K261" s="205" t="s">
        <v>157</v>
      </c>
      <c r="L261" s="201" t="s">
        <v>296</v>
      </c>
      <c r="M261" s="201" t="s">
        <v>318</v>
      </c>
      <c r="N261" s="207" t="s">
        <v>158</v>
      </c>
      <c r="O261" s="208" t="s">
        <v>416</v>
      </c>
      <c r="P261" s="96">
        <v>1860</v>
      </c>
      <c r="Q261" s="96" t="s">
        <v>416</v>
      </c>
      <c r="R261" s="202" t="s">
        <v>416</v>
      </c>
      <c r="S261" s="202" t="s">
        <v>416</v>
      </c>
      <c r="T261" s="202" t="s">
        <v>416</v>
      </c>
      <c r="U261" s="209" t="s">
        <v>416</v>
      </c>
      <c r="V261" s="83">
        <f>SUM(Table24[[#This Row],[A1toA3_GWP]:[C1toC4_GWP]])</f>
        <v>1042</v>
      </c>
      <c r="W261" s="83">
        <f>VLOOKUP(Table24[[#This Row],[Country PRODUCTION]],[1]Sheet1!$B$11:$F$30,4,FALSE)+Table24[[#This Row],[Total_GWP]]</f>
        <v>1311.1</v>
      </c>
      <c r="X261" s="83">
        <f>VLOOKUP(Table24[[#This Row],[Country PRODUCTION]],[1]Sheet1!$B$11:$F$30,5,FALSE)+Table24[[#This Row],[Total_GWP]]</f>
        <v>1069.5999999999999</v>
      </c>
      <c r="Y261" s="83"/>
      <c r="Z261" s="128">
        <f>1.042*1000</f>
        <v>1042</v>
      </c>
      <c r="AA261" s="81" t="s">
        <v>416</v>
      </c>
      <c r="AB261" s="83"/>
      <c r="AC261" s="83"/>
      <c r="AD261" s="83"/>
      <c r="AE261" s="85"/>
      <c r="AF261" s="92">
        <f ca="1">IF(OR($E261="Ecoinvent",$E261="Betonsortenrechner",$E261="KBOB",$V261&lt;=0,Table24[[#This Row],[VALID_TO]]&lt;=TODAY()),0,1)</f>
        <v>0</v>
      </c>
      <c r="AG261" s="92">
        <v>1</v>
      </c>
      <c r="AH261" s="92">
        <f ca="1">IF(AND(Table24[[#This Row],[ValidEPD]]&lt;&gt;0,Table24[[#This Row],[Man_Ausschluss]]&lt;&gt;0),1,0)</f>
        <v>0</v>
      </c>
      <c r="AI261" s="178" cm="1">
        <f t="array" aca="1" ref="AI261" ca="1">IF(Table24[[#This Row],[gültig]]&lt;&gt;0,
IF(V261=MIN(_xlfn._xlws.FILTER($V$2:$V$282,($P$2:$P$282=P261))),1,
IF(V261=MAX(_xlfn._xlws.FILTER($V$2:$V$282,($P$2:$P$282=P261))),1,0)),0)</f>
        <v>0</v>
      </c>
      <c r="AJ261" s="180"/>
      <c r="AK261" s="2"/>
      <c r="AL261" s="2"/>
    </row>
    <row r="262" spans="1:39" x14ac:dyDescent="0.45">
      <c r="A262" s="199" t="s">
        <v>181</v>
      </c>
      <c r="B262" s="200"/>
      <c r="C262" s="111">
        <v>263</v>
      </c>
      <c r="D262" s="201" t="s">
        <v>172</v>
      </c>
      <c r="E262" s="202" t="s">
        <v>169</v>
      </c>
      <c r="F262" s="202"/>
      <c r="G262" s="203">
        <v>44826</v>
      </c>
      <c r="H262" s="203">
        <v>46651</v>
      </c>
      <c r="I262" s="96" t="s">
        <v>171</v>
      </c>
      <c r="J262" s="204" t="s">
        <v>171</v>
      </c>
      <c r="K262" s="205" t="s">
        <v>157</v>
      </c>
      <c r="L262" s="201" t="s">
        <v>296</v>
      </c>
      <c r="M262" s="201" t="s">
        <v>318</v>
      </c>
      <c r="N262" s="207" t="s">
        <v>158</v>
      </c>
      <c r="O262" s="208" t="s">
        <v>416</v>
      </c>
      <c r="P262" s="96" t="s">
        <v>550</v>
      </c>
      <c r="Q262" s="96" t="s">
        <v>416</v>
      </c>
      <c r="R262" s="202" t="s">
        <v>416</v>
      </c>
      <c r="S262" s="202" t="s">
        <v>416</v>
      </c>
      <c r="T262" s="202" t="s">
        <v>416</v>
      </c>
      <c r="U262" s="209" t="s">
        <v>416</v>
      </c>
      <c r="V262" s="83">
        <f>SUM(Table24[[#This Row],[A1toA3_GWP]:[C1toC4_GWP]])</f>
        <v>587.99519999999995</v>
      </c>
      <c r="W262" s="83">
        <f>VLOOKUP(Table24[[#This Row],[Country PRODUCTION]],[1]Sheet1!$B$11:$F$30,4,FALSE)+Table24[[#This Row],[Total_GWP]]</f>
        <v>740.09519999999998</v>
      </c>
      <c r="X262" s="83">
        <f>VLOOKUP(Table24[[#This Row],[Country PRODUCTION]],[1]Sheet1!$B$11:$F$30,5,FALSE)+Table24[[#This Row],[Total_GWP]]</f>
        <v>603.59519999999998</v>
      </c>
      <c r="Y262" s="83"/>
      <c r="Z262" s="128">
        <v>584</v>
      </c>
      <c r="AA262" s="81">
        <f>3.59+0.0792+0.326</f>
        <v>3.9952000000000001</v>
      </c>
      <c r="AB262" s="83"/>
      <c r="AC262" s="83"/>
      <c r="AD262" s="83"/>
      <c r="AE262" s="85"/>
      <c r="AF262" s="92">
        <f ca="1">IF(OR($E262="Ecoinvent",$E262="Betonsortenrechner",$E262="KBOB",$V262&lt;=0,Table24[[#This Row],[VALID_TO]]&lt;=TODAY()),0,1)</f>
        <v>1</v>
      </c>
      <c r="AG262" s="92">
        <v>1</v>
      </c>
      <c r="AH262" s="92">
        <f ca="1">IF(AND(Table24[[#This Row],[ValidEPD]]&lt;&gt;0,Table24[[#This Row],[Man_Ausschluss]]&lt;&gt;0),1,0)</f>
        <v>1</v>
      </c>
      <c r="AI262" s="178" cm="1">
        <f t="array" aca="1" ref="AI262" ca="1">IF(Table24[[#This Row],[gültig]]&lt;&gt;0,
IF(V262=MIN(_xlfn._xlws.FILTER($V$2:$V$282,($P$2:$P$282=P262))),1,
IF(V262=MAX(_xlfn._xlws.FILTER($V$2:$V$282,($P$2:$P$282=P262))),1,0)),0)</f>
        <v>1</v>
      </c>
      <c r="AJ262" s="180"/>
      <c r="AK262" s="2"/>
      <c r="AL262" s="2"/>
    </row>
    <row r="263" spans="1:39" s="144" customFormat="1" ht="14.65" thickBot="1" x14ac:dyDescent="0.5">
      <c r="A263" s="129" t="s">
        <v>182</v>
      </c>
      <c r="B263" s="130"/>
      <c r="C263" s="121">
        <v>264</v>
      </c>
      <c r="D263" s="131" t="s">
        <v>170</v>
      </c>
      <c r="E263" s="132" t="s">
        <v>169</v>
      </c>
      <c r="F263" s="132"/>
      <c r="G263" s="133">
        <v>44826</v>
      </c>
      <c r="H263" s="133">
        <v>46651</v>
      </c>
      <c r="I263" s="134" t="s">
        <v>171</v>
      </c>
      <c r="J263" s="152" t="s">
        <v>171</v>
      </c>
      <c r="K263" s="135" t="s">
        <v>157</v>
      </c>
      <c r="L263" s="136" t="s">
        <v>296</v>
      </c>
      <c r="M263" s="137" t="s">
        <v>318</v>
      </c>
      <c r="N263" s="138" t="s">
        <v>158</v>
      </c>
      <c r="O263" s="139" t="s">
        <v>416</v>
      </c>
      <c r="P263" s="122" t="s">
        <v>550</v>
      </c>
      <c r="Q263" s="122" t="s">
        <v>416</v>
      </c>
      <c r="R263" s="132" t="s">
        <v>416</v>
      </c>
      <c r="S263" s="132" t="s">
        <v>416</v>
      </c>
      <c r="T263" s="132" t="s">
        <v>416</v>
      </c>
      <c r="U263" s="140" t="s">
        <v>416</v>
      </c>
      <c r="V263" s="141">
        <f>SUM(Table24[[#This Row],[A1toA3_GWP]:[C1toC4_GWP]])</f>
        <v>388.99520000000001</v>
      </c>
      <c r="W263" s="141">
        <f>VLOOKUP(Table24[[#This Row],[Country PRODUCTION]],[1]Sheet1!$B$11:$F$30,4,FALSE)+Table24[[#This Row],[Total_GWP]]</f>
        <v>541.09519999999998</v>
      </c>
      <c r="X263" s="141">
        <f>VLOOKUP(Table24[[#This Row],[Country PRODUCTION]],[1]Sheet1!$B$11:$F$30,5,FALSE)+Table24[[#This Row],[Total_GWP]]</f>
        <v>404.59520000000003</v>
      </c>
      <c r="Y263" s="141"/>
      <c r="Z263" s="142">
        <v>385</v>
      </c>
      <c r="AA263" s="125">
        <f>3.59+0.0792+0.326</f>
        <v>3.9952000000000001</v>
      </c>
      <c r="AB263" s="126"/>
      <c r="AC263" s="126"/>
      <c r="AD263" s="126"/>
      <c r="AE263" s="127"/>
      <c r="AF263" s="124">
        <f ca="1">IF(OR($E263="Ecoinvent",$E263="Betonsortenrechner",$E263="KBOB",$V263&lt;=0,Table24[[#This Row],[VALID_TO]]&lt;=TODAY()),0,1)</f>
        <v>1</v>
      </c>
      <c r="AG263" s="124">
        <v>1</v>
      </c>
      <c r="AH263" s="124">
        <f ca="1">IF(AND(Table24[[#This Row],[ValidEPD]]&lt;&gt;0,Table24[[#This Row],[Man_Ausschluss]]&lt;&gt;0),1,0)</f>
        <v>1</v>
      </c>
      <c r="AI263" s="178" cm="1">
        <f t="array" aca="1" ref="AI263" ca="1">IF(Table24[[#This Row],[gültig]]&lt;&gt;0,
IF(V263=MIN(_xlfn._xlws.FILTER($V$2:$V$282,($P$2:$P$282=P263))),1,
IF(V263=MAX(_xlfn._xlws.FILTER($V$2:$V$282,($P$2:$P$282=P263))),1,0)),0)</f>
        <v>1</v>
      </c>
      <c r="AJ263" s="180"/>
      <c r="AK263" s="131"/>
      <c r="AL263" s="143"/>
    </row>
    <row r="264" spans="1:39" x14ac:dyDescent="0.45">
      <c r="A264" s="199" t="s">
        <v>183</v>
      </c>
      <c r="B264" s="200"/>
      <c r="C264" s="111">
        <v>265</v>
      </c>
      <c r="D264" s="201" t="s">
        <v>188</v>
      </c>
      <c r="E264" s="202" t="s">
        <v>185</v>
      </c>
      <c r="F264" s="202"/>
      <c r="G264" s="203"/>
      <c r="H264" s="96"/>
      <c r="I264" s="96" t="s">
        <v>266</v>
      </c>
      <c r="J264" s="204" t="s">
        <v>266</v>
      </c>
      <c r="K264" s="205" t="s">
        <v>478</v>
      </c>
      <c r="L264" s="281" t="s">
        <v>622</v>
      </c>
      <c r="M264" s="201" t="s">
        <v>492</v>
      </c>
      <c r="N264" s="207" t="s">
        <v>190</v>
      </c>
      <c r="O264" s="208" t="s">
        <v>416</v>
      </c>
      <c r="P264" s="216" t="s">
        <v>416</v>
      </c>
      <c r="Q264" s="96">
        <f>95.6/0.04</f>
        <v>2390</v>
      </c>
      <c r="R264" s="202" t="s">
        <v>416</v>
      </c>
      <c r="S264" s="202" t="s">
        <v>416</v>
      </c>
      <c r="T264" s="202" t="s">
        <v>416</v>
      </c>
      <c r="U264" s="209" t="s">
        <v>416</v>
      </c>
      <c r="V264" s="83">
        <f>SUM(Table24[[#This Row],[A1toA3_GWP]:[C1toC4_GWP]])</f>
        <v>303.49372384937237</v>
      </c>
      <c r="W264" s="83"/>
      <c r="X264" s="83"/>
      <c r="Y264" s="83">
        <f>Table24[[#This Row],[Total_GWP]]*Table24[[#This Row],[DENSITY]]/1000</f>
        <v>725.35</v>
      </c>
      <c r="Z264" s="123">
        <f>27.4/0.04/Table24[[#This Row],[DENSITY]]*1000</f>
        <v>286.61087866108784</v>
      </c>
      <c r="AA264" s="81">
        <f>(0.488+0.312+0.814)/0.04/Table24[[#This Row],[DENSITY]]*1000</f>
        <v>16.882845188284517</v>
      </c>
      <c r="AB264" s="83"/>
      <c r="AC264" s="83"/>
      <c r="AD264" s="83"/>
      <c r="AE264" s="85"/>
      <c r="AF264" s="92">
        <f ca="1">IF(OR($E264="Ecoinvent",$E264="Betonsortenrechner",$E264="KBOB",$V264&lt;=0,Table24[[#This Row],[VALID_TO]]&lt;=TODAY()),0,1)</f>
        <v>0</v>
      </c>
      <c r="AG264" s="92">
        <v>1</v>
      </c>
      <c r="AH264" s="92">
        <f ca="1">IF(AND(Table24[[#This Row],[ValidEPD]]&lt;&gt;0,Table24[[#This Row],[Man_Ausschluss]]&lt;&gt;0),1,0)</f>
        <v>0</v>
      </c>
      <c r="AI264" s="178" cm="1">
        <f t="array" aca="1" ref="AI264" ca="1">IF(Table24[[#This Row],[gültig]]&lt;&gt;0,
IF(V264=MIN(_xlfn._xlws.FILTER($V$2:$V$282,($P$2:$P$282=P264))),1,
IF(V264=MAX(_xlfn._xlws.FILTER($V$2:$V$282,($P$2:$P$282=P264))),1,0)),0)</f>
        <v>0</v>
      </c>
      <c r="AJ264" s="180"/>
      <c r="AK264" s="2" t="s">
        <v>186</v>
      </c>
      <c r="AL264" s="2"/>
    </row>
    <row r="265" spans="1:39" x14ac:dyDescent="0.45">
      <c r="A265" s="199" t="s">
        <v>184</v>
      </c>
      <c r="B265" s="200"/>
      <c r="C265" s="115">
        <v>266</v>
      </c>
      <c r="D265" s="200" t="s">
        <v>189</v>
      </c>
      <c r="E265" s="202" t="s">
        <v>185</v>
      </c>
      <c r="F265" s="202"/>
      <c r="G265" s="203"/>
      <c r="H265" s="96"/>
      <c r="I265" s="96" t="s">
        <v>266</v>
      </c>
      <c r="J265" s="204" t="s">
        <v>266</v>
      </c>
      <c r="K265" s="205" t="s">
        <v>478</v>
      </c>
      <c r="L265" s="281" t="s">
        <v>622</v>
      </c>
      <c r="M265" s="201" t="s">
        <v>492</v>
      </c>
      <c r="N265" s="207" t="s">
        <v>190</v>
      </c>
      <c r="O265" s="208" t="s">
        <v>416</v>
      </c>
      <c r="P265" s="216" t="s">
        <v>416</v>
      </c>
      <c r="Q265" s="309">
        <f>167/0.07</f>
        <v>2385.7142857142853</v>
      </c>
      <c r="R265" s="202" t="s">
        <v>416</v>
      </c>
      <c r="S265" s="202" t="s">
        <v>416</v>
      </c>
      <c r="T265" s="202" t="s">
        <v>416</v>
      </c>
      <c r="U265" s="209" t="s">
        <v>416</v>
      </c>
      <c r="V265" s="83">
        <f>SUM(Table24[[#This Row],[A1toA3_GWP]:[C1toC4_GWP]])</f>
        <v>325.34730538922162</v>
      </c>
      <c r="W265" s="83"/>
      <c r="X265" s="83"/>
      <c r="Y265" s="83">
        <f>Table24[[#This Row],[Total_GWP]]*Table24[[#This Row],[DENSITY]]/1000</f>
        <v>776.18571428571431</v>
      </c>
      <c r="Z265" s="123">
        <f>51.5/0.07/Table24[[#This Row],[DENSITY]]*1000</f>
        <v>308.38323353293418</v>
      </c>
      <c r="AA265" s="81">
        <f>(0.856+0.547+1.43)/0.07/Table24[[#This Row],[DENSITY]]*1000</f>
        <v>16.964071856287426</v>
      </c>
      <c r="AB265" s="83"/>
      <c r="AC265" s="83"/>
      <c r="AD265" s="83"/>
      <c r="AE265" s="85"/>
      <c r="AF265" s="92">
        <f ca="1">IF(OR($E265="Ecoinvent",$E265="Betonsortenrechner",$E265="KBOB",$V265&lt;=0,Table24[[#This Row],[VALID_TO]]&lt;=TODAY()),0,1)</f>
        <v>0</v>
      </c>
      <c r="AG265" s="92">
        <v>1</v>
      </c>
      <c r="AH265" s="92">
        <f ca="1">IF(AND(Table24[[#This Row],[ValidEPD]]&lt;&gt;0,Table24[[#This Row],[Man_Ausschluss]]&lt;&gt;0),1,0)</f>
        <v>0</v>
      </c>
      <c r="AI265" s="178" cm="1">
        <f t="array" aca="1" ref="AI265" ca="1">IF(Table24[[#This Row],[gültig]]&lt;&gt;0,
IF(V265=MIN(_xlfn._xlws.FILTER($V$2:$V$282,($P$2:$P$282=P265))),1,
IF(V265=MAX(_xlfn._xlws.FILTER($V$2:$V$282,($P$2:$P$282=P265))),1,0)),0)</f>
        <v>0</v>
      </c>
      <c r="AJ265" s="180"/>
      <c r="AK265" s="2" t="s">
        <v>187</v>
      </c>
      <c r="AL265" s="2"/>
    </row>
    <row r="266" spans="1:39" x14ac:dyDescent="0.45">
      <c r="A266" s="327"/>
      <c r="B266" s="328"/>
      <c r="D266" s="144"/>
      <c r="E266" s="144"/>
      <c r="F266" s="329"/>
      <c r="G266" s="144"/>
      <c r="H266" s="144"/>
      <c r="I266" s="330"/>
      <c r="J266" s="330"/>
      <c r="K266" s="144"/>
      <c r="L266" s="144"/>
      <c r="M266" s="144"/>
      <c r="N266" s="331"/>
      <c r="O266" s="144"/>
      <c r="P266" s="144"/>
      <c r="Q266" s="144"/>
      <c r="R266" s="144"/>
      <c r="S266" s="332"/>
      <c r="T266" s="332"/>
      <c r="U266" s="144"/>
      <c r="V266" s="329"/>
      <c r="W266" s="329"/>
      <c r="X266" s="329"/>
      <c r="Y266" s="329"/>
      <c r="Z266" s="329"/>
      <c r="AA266" s="329"/>
      <c r="AB266" s="333"/>
      <c r="AC266" s="333"/>
      <c r="AD266" s="334"/>
      <c r="AE266" s="335"/>
      <c r="AF266" s="329"/>
      <c r="AJ266" s="336"/>
      <c r="AK266" s="336"/>
    </row>
    <row r="267" spans="1:39" x14ac:dyDescent="0.45">
      <c r="A267" s="327"/>
      <c r="B267" s="328"/>
      <c r="D267" s="144"/>
      <c r="E267" s="144"/>
      <c r="F267" s="144"/>
      <c r="G267" s="144"/>
      <c r="H267" s="144"/>
      <c r="I267" s="330"/>
      <c r="J267" s="330"/>
      <c r="K267" s="144"/>
      <c r="L267" s="144"/>
      <c r="M267" s="144"/>
      <c r="N267" s="331"/>
      <c r="O267" s="144"/>
      <c r="P267" s="144"/>
      <c r="Q267" s="144"/>
      <c r="R267" s="144"/>
      <c r="S267" s="332"/>
      <c r="T267" s="332"/>
      <c r="U267" s="144"/>
      <c r="V267" s="329"/>
      <c r="W267" s="329"/>
      <c r="X267" s="329"/>
      <c r="Y267" s="329"/>
      <c r="Z267" s="329"/>
      <c r="AA267" s="329"/>
      <c r="AB267" s="333"/>
      <c r="AC267" s="333"/>
      <c r="AD267" s="334"/>
      <c r="AE267" s="335"/>
      <c r="AF267" s="329"/>
      <c r="AJ267" s="336"/>
      <c r="AK267" s="336"/>
    </row>
    <row r="268" spans="1:39" x14ac:dyDescent="0.45">
      <c r="A268" s="327"/>
      <c r="B268" s="328"/>
      <c r="D268" s="144"/>
      <c r="E268" s="144"/>
      <c r="F268" s="144"/>
      <c r="G268" s="144"/>
      <c r="H268" s="144"/>
      <c r="I268" s="330"/>
      <c r="J268" s="330"/>
      <c r="K268" s="144"/>
      <c r="L268" s="144"/>
      <c r="M268" s="144"/>
      <c r="N268" s="331"/>
      <c r="O268" s="144"/>
      <c r="P268" s="144"/>
      <c r="Q268" s="144"/>
      <c r="R268" s="144"/>
      <c r="S268" s="332"/>
      <c r="T268" s="332"/>
      <c r="U268" s="144"/>
      <c r="V268" s="329"/>
      <c r="W268" s="329"/>
      <c r="X268" s="329"/>
      <c r="Y268" s="329"/>
      <c r="Z268" s="329"/>
      <c r="AA268" s="329"/>
      <c r="AB268" s="333"/>
      <c r="AC268" s="333"/>
      <c r="AD268" s="334"/>
      <c r="AE268" s="335"/>
      <c r="AF268" s="329"/>
      <c r="AJ268" s="336"/>
      <c r="AK268" s="336"/>
      <c r="AM268" s="369"/>
    </row>
    <row r="269" spans="1:39" x14ac:dyDescent="0.45">
      <c r="A269" s="327"/>
      <c r="B269" s="328"/>
      <c r="D269" s="144"/>
      <c r="E269" s="144"/>
      <c r="F269" s="144"/>
      <c r="G269" s="144"/>
      <c r="H269" s="144"/>
      <c r="I269" s="330"/>
      <c r="J269" s="330"/>
      <c r="K269" s="144"/>
      <c r="L269" s="144"/>
      <c r="M269" s="144"/>
      <c r="N269" s="331"/>
      <c r="O269" s="144"/>
      <c r="P269" s="144"/>
      <c r="Q269" s="144"/>
      <c r="R269" s="144"/>
      <c r="S269" s="332"/>
      <c r="T269" s="332"/>
      <c r="U269" s="144"/>
      <c r="V269" s="329"/>
      <c r="W269" s="329"/>
      <c r="X269" s="329"/>
      <c r="Y269" s="329"/>
      <c r="Z269" s="329"/>
      <c r="AA269" s="329"/>
      <c r="AB269" s="333"/>
      <c r="AC269" s="333"/>
      <c r="AD269" s="334"/>
      <c r="AE269" s="335"/>
      <c r="AF269" s="329"/>
      <c r="AJ269" s="336"/>
      <c r="AK269" s="336"/>
      <c r="AM269" s="369"/>
    </row>
    <row r="270" spans="1:39" x14ac:dyDescent="0.45">
      <c r="A270" s="327"/>
      <c r="B270" s="328"/>
      <c r="D270" s="144"/>
      <c r="E270" s="144"/>
      <c r="F270" s="144"/>
      <c r="G270" s="144"/>
      <c r="H270" s="144"/>
      <c r="I270" s="330"/>
      <c r="J270" s="330"/>
      <c r="K270" s="144"/>
      <c r="L270" s="144"/>
      <c r="M270" s="144"/>
      <c r="N270" s="331"/>
      <c r="O270" s="144"/>
      <c r="P270" s="144"/>
      <c r="Q270" s="144"/>
      <c r="R270" s="144"/>
      <c r="S270" s="332"/>
      <c r="T270" s="332"/>
      <c r="U270" s="144"/>
      <c r="V270" s="329"/>
      <c r="W270" s="329"/>
      <c r="X270" s="329"/>
      <c r="Y270" s="329"/>
      <c r="Z270" s="329"/>
      <c r="AA270" s="329"/>
      <c r="AB270" s="333"/>
      <c r="AC270" s="333"/>
      <c r="AD270" s="334"/>
      <c r="AE270" s="335"/>
      <c r="AF270" s="329"/>
      <c r="AJ270" s="336"/>
      <c r="AK270" s="336"/>
    </row>
    <row r="271" spans="1:39" x14ac:dyDescent="0.45">
      <c r="A271" s="327"/>
      <c r="B271" s="328"/>
      <c r="D271" s="144"/>
      <c r="E271" s="144"/>
      <c r="F271" s="144"/>
      <c r="G271" s="144"/>
      <c r="H271" s="144"/>
      <c r="I271" s="330"/>
      <c r="J271" s="330"/>
      <c r="K271" s="144"/>
      <c r="L271" s="144"/>
      <c r="M271" s="144"/>
      <c r="N271" s="331"/>
      <c r="O271" s="144"/>
      <c r="P271" s="144"/>
      <c r="Q271" s="144"/>
      <c r="R271" s="144"/>
      <c r="S271" s="332"/>
      <c r="T271" s="332"/>
      <c r="U271" s="144"/>
      <c r="V271" s="329"/>
      <c r="W271" s="329"/>
      <c r="X271" s="329"/>
      <c r="Y271" s="329"/>
      <c r="Z271" s="329"/>
      <c r="AA271" s="329"/>
      <c r="AB271" s="333"/>
      <c r="AC271" s="333"/>
      <c r="AD271" s="334"/>
      <c r="AE271" s="335"/>
      <c r="AF271" s="329"/>
      <c r="AJ271" s="336"/>
      <c r="AK271" s="336"/>
    </row>
    <row r="272" spans="1:39" x14ac:dyDescent="0.45">
      <c r="A272" s="327"/>
      <c r="B272" s="328"/>
      <c r="D272" s="144"/>
      <c r="E272" s="144"/>
      <c r="F272" s="144"/>
      <c r="G272" s="144"/>
      <c r="H272" s="144"/>
      <c r="I272" s="330"/>
      <c r="J272" s="330"/>
      <c r="K272" s="144"/>
      <c r="L272" s="144"/>
      <c r="M272" s="144"/>
      <c r="N272" s="331"/>
      <c r="O272" s="144"/>
      <c r="P272" s="144"/>
      <c r="Q272" s="144"/>
      <c r="R272" s="144"/>
      <c r="S272" s="332"/>
      <c r="T272" s="332"/>
      <c r="U272" s="144"/>
      <c r="V272" s="329"/>
      <c r="W272" s="329"/>
      <c r="X272" s="329"/>
      <c r="Y272" s="329"/>
      <c r="Z272" s="329"/>
      <c r="AA272" s="329"/>
      <c r="AB272" s="333"/>
      <c r="AC272" s="333"/>
      <c r="AD272" s="334"/>
      <c r="AE272" s="335"/>
      <c r="AF272" s="329"/>
      <c r="AJ272" s="336"/>
      <c r="AK272" s="336"/>
    </row>
    <row r="273" spans="1:37" x14ac:dyDescent="0.45">
      <c r="A273" s="327"/>
      <c r="B273" s="328"/>
      <c r="D273" s="144"/>
      <c r="E273" s="144"/>
      <c r="F273" s="144"/>
      <c r="G273" s="144"/>
      <c r="H273" s="144"/>
      <c r="I273" s="330"/>
      <c r="J273" s="330"/>
      <c r="K273" s="144"/>
      <c r="L273" s="144"/>
      <c r="M273" s="144"/>
      <c r="N273" s="331"/>
      <c r="O273" s="144"/>
      <c r="P273" s="144"/>
      <c r="Q273" s="144"/>
      <c r="R273" s="144"/>
      <c r="S273" s="332"/>
      <c r="T273" s="332"/>
      <c r="U273" s="144"/>
      <c r="V273" s="329"/>
      <c r="W273" s="329"/>
      <c r="X273" s="329"/>
      <c r="Y273" s="329"/>
      <c r="Z273" s="329"/>
      <c r="AA273" s="329"/>
      <c r="AB273" s="333"/>
      <c r="AC273" s="333"/>
      <c r="AD273" s="334"/>
      <c r="AE273" s="335"/>
      <c r="AF273" s="329"/>
      <c r="AJ273" s="336"/>
      <c r="AK273" s="336"/>
    </row>
    <row r="274" spans="1:37" x14ac:dyDescent="0.45">
      <c r="A274" s="327"/>
      <c r="B274" s="328"/>
      <c r="D274" s="144"/>
      <c r="E274" s="144"/>
      <c r="F274" s="144"/>
      <c r="G274" s="144"/>
      <c r="H274" s="144"/>
      <c r="I274" s="330"/>
      <c r="J274" s="330"/>
      <c r="K274" s="144"/>
      <c r="L274" s="144"/>
      <c r="M274" s="144"/>
      <c r="N274" s="331"/>
      <c r="O274" s="144"/>
      <c r="P274" s="144"/>
      <c r="Q274" s="144"/>
      <c r="R274" s="144"/>
      <c r="S274" s="332"/>
      <c r="T274" s="332"/>
      <c r="U274" s="144"/>
      <c r="V274" s="329"/>
      <c r="W274" s="329"/>
      <c r="X274" s="329"/>
      <c r="Y274" s="329"/>
      <c r="Z274" s="329"/>
      <c r="AA274" s="329"/>
      <c r="AB274" s="333"/>
      <c r="AC274" s="333"/>
      <c r="AD274" s="334"/>
      <c r="AE274" s="335"/>
      <c r="AF274" s="329"/>
      <c r="AJ274" s="336"/>
      <c r="AK274" s="336"/>
    </row>
    <row r="275" spans="1:37" x14ac:dyDescent="0.45">
      <c r="A275" s="327"/>
      <c r="B275" s="328"/>
      <c r="D275" s="144"/>
      <c r="E275" s="144"/>
      <c r="F275" s="144"/>
      <c r="G275" s="144"/>
      <c r="H275" s="144"/>
      <c r="I275" s="330"/>
      <c r="J275" s="330"/>
      <c r="K275" s="144"/>
      <c r="L275" s="144"/>
      <c r="M275" s="144"/>
      <c r="N275" s="331"/>
      <c r="O275" s="144"/>
      <c r="P275" s="144"/>
      <c r="Q275" s="144"/>
      <c r="R275" s="144"/>
      <c r="S275" s="332"/>
      <c r="T275" s="332"/>
      <c r="U275" s="144"/>
      <c r="V275" s="329"/>
      <c r="W275" s="329"/>
      <c r="X275" s="329"/>
      <c r="Y275" s="329"/>
      <c r="Z275" s="329"/>
      <c r="AA275" s="329"/>
      <c r="AB275" s="333"/>
      <c r="AC275" s="333"/>
      <c r="AD275" s="334"/>
      <c r="AE275" s="335"/>
      <c r="AF275" s="329"/>
      <c r="AJ275" s="336"/>
      <c r="AK275" s="336"/>
    </row>
    <row r="276" spans="1:37" x14ac:dyDescent="0.45">
      <c r="A276" s="327"/>
      <c r="B276" s="328"/>
      <c r="D276" s="144"/>
      <c r="E276" s="144"/>
      <c r="F276" s="144"/>
      <c r="G276" s="144"/>
      <c r="H276" s="144"/>
      <c r="I276" s="330"/>
      <c r="J276" s="330"/>
      <c r="K276" s="144"/>
      <c r="L276" s="144"/>
      <c r="M276" s="144"/>
      <c r="N276" s="331"/>
      <c r="O276" s="144"/>
      <c r="P276" s="144"/>
      <c r="Q276" s="144"/>
      <c r="R276" s="144"/>
      <c r="S276" s="332"/>
      <c r="T276" s="332"/>
      <c r="U276" s="144"/>
      <c r="V276" s="329"/>
      <c r="W276" s="329"/>
      <c r="X276" s="329"/>
      <c r="Y276" s="329"/>
      <c r="Z276" s="329"/>
      <c r="AA276" s="329"/>
      <c r="AB276" s="333"/>
      <c r="AC276" s="333"/>
      <c r="AD276" s="334"/>
      <c r="AE276" s="335"/>
      <c r="AF276" s="329"/>
      <c r="AJ276" s="336"/>
      <c r="AK276" s="336"/>
    </row>
    <row r="277" spans="1:37" x14ac:dyDescent="0.45">
      <c r="A277" s="327"/>
      <c r="B277" s="328"/>
      <c r="D277" s="144"/>
      <c r="E277" s="144"/>
      <c r="F277" s="144"/>
      <c r="G277" s="144"/>
      <c r="H277" s="144"/>
      <c r="I277" s="330"/>
      <c r="J277" s="330"/>
      <c r="K277" s="144"/>
      <c r="L277" s="144"/>
      <c r="M277" s="144"/>
      <c r="N277" s="331"/>
      <c r="O277" s="144"/>
      <c r="P277" s="144"/>
      <c r="Q277" s="144"/>
      <c r="R277" s="144"/>
      <c r="S277" s="332"/>
      <c r="T277" s="332"/>
      <c r="U277" s="144"/>
      <c r="V277" s="329"/>
      <c r="W277" s="329"/>
      <c r="X277" s="329"/>
      <c r="Y277" s="329"/>
      <c r="Z277" s="329"/>
      <c r="AA277" s="329"/>
      <c r="AB277" s="333"/>
      <c r="AC277" s="333"/>
      <c r="AD277" s="334"/>
      <c r="AE277" s="335"/>
      <c r="AF277" s="329"/>
      <c r="AJ277" s="336"/>
      <c r="AK277" s="336"/>
    </row>
    <row r="278" spans="1:37" x14ac:dyDescent="0.45">
      <c r="A278" s="327"/>
      <c r="B278" s="328"/>
      <c r="D278" s="144"/>
      <c r="E278" s="144"/>
      <c r="F278" s="144"/>
      <c r="G278" s="144"/>
      <c r="H278" s="144"/>
      <c r="I278" s="330"/>
      <c r="J278" s="330"/>
      <c r="K278" s="144"/>
      <c r="L278" s="144"/>
      <c r="M278" s="144"/>
      <c r="N278" s="331"/>
      <c r="O278" s="144"/>
      <c r="P278" s="144"/>
      <c r="Q278" s="144"/>
      <c r="R278" s="144"/>
      <c r="S278" s="332"/>
      <c r="T278" s="332"/>
      <c r="U278" s="144"/>
      <c r="V278" s="329"/>
      <c r="W278" s="329"/>
      <c r="X278" s="329"/>
      <c r="Y278" s="329"/>
      <c r="Z278" s="329"/>
      <c r="AA278" s="329"/>
      <c r="AB278" s="333"/>
      <c r="AC278" s="333"/>
      <c r="AD278" s="334"/>
      <c r="AE278" s="335"/>
      <c r="AF278" s="329"/>
      <c r="AJ278" s="336"/>
      <c r="AK278" s="336"/>
    </row>
    <row r="279" spans="1:37" x14ac:dyDescent="0.45">
      <c r="A279" s="327"/>
      <c r="B279" s="328"/>
      <c r="D279" s="144"/>
      <c r="E279" s="144"/>
      <c r="F279" s="144"/>
      <c r="G279" s="144"/>
      <c r="H279" s="144"/>
      <c r="I279" s="330"/>
      <c r="J279" s="330"/>
      <c r="K279" s="144"/>
      <c r="L279" s="144"/>
      <c r="M279" s="144"/>
      <c r="N279" s="331"/>
      <c r="O279" s="144"/>
      <c r="P279" s="144"/>
      <c r="Q279" s="144"/>
      <c r="R279" s="144"/>
      <c r="S279" s="332"/>
      <c r="T279" s="332"/>
      <c r="U279" s="144"/>
      <c r="V279" s="329"/>
      <c r="W279" s="329"/>
      <c r="X279" s="329"/>
      <c r="Y279" s="329"/>
      <c r="Z279" s="329"/>
      <c r="AA279" s="329"/>
      <c r="AB279" s="333"/>
      <c r="AC279" s="333"/>
      <c r="AD279" s="334"/>
      <c r="AE279" s="335"/>
      <c r="AF279" s="329"/>
      <c r="AJ279" s="336"/>
      <c r="AK279" s="336"/>
    </row>
    <row r="280" spans="1:37" x14ac:dyDescent="0.45">
      <c r="A280" s="327"/>
      <c r="B280" s="328"/>
      <c r="D280" s="144"/>
      <c r="E280" s="144"/>
      <c r="F280" s="144"/>
      <c r="G280" s="144"/>
      <c r="H280" s="144"/>
      <c r="I280" s="330"/>
      <c r="J280" s="330"/>
      <c r="K280" s="144"/>
      <c r="L280" s="144"/>
      <c r="M280" s="144"/>
      <c r="N280" s="331"/>
      <c r="O280" s="144"/>
      <c r="P280" s="144"/>
      <c r="Q280" s="144"/>
      <c r="R280" s="144"/>
      <c r="S280" s="332"/>
      <c r="T280" s="332"/>
      <c r="U280" s="144"/>
      <c r="V280" s="329"/>
      <c r="W280" s="329"/>
      <c r="X280" s="329"/>
      <c r="Y280" s="329"/>
      <c r="Z280" s="329"/>
      <c r="AA280" s="329"/>
      <c r="AB280" s="333"/>
      <c r="AC280" s="333"/>
      <c r="AD280" s="334"/>
      <c r="AE280" s="335"/>
      <c r="AF280" s="329"/>
      <c r="AJ280" s="336"/>
      <c r="AK280" s="336"/>
    </row>
    <row r="281" spans="1:37" x14ac:dyDescent="0.45">
      <c r="A281" s="327"/>
      <c r="B281" s="328"/>
      <c r="D281" s="144"/>
      <c r="E281" s="144"/>
      <c r="F281" s="144"/>
      <c r="G281" s="144"/>
      <c r="H281" s="144"/>
      <c r="I281" s="330"/>
      <c r="J281" s="330"/>
      <c r="K281" s="144"/>
      <c r="L281" s="144"/>
      <c r="M281" s="144"/>
      <c r="N281" s="331"/>
      <c r="O281" s="144"/>
      <c r="P281" s="144"/>
      <c r="Q281" s="144"/>
      <c r="R281" s="144"/>
      <c r="S281" s="332"/>
      <c r="T281" s="332"/>
      <c r="U281" s="144"/>
      <c r="V281" s="329"/>
      <c r="W281" s="329"/>
      <c r="X281" s="329"/>
      <c r="Y281" s="329"/>
      <c r="Z281" s="329"/>
      <c r="AA281" s="329"/>
      <c r="AB281" s="333"/>
      <c r="AC281" s="333"/>
      <c r="AD281" s="334"/>
      <c r="AE281" s="335"/>
      <c r="AF281" s="329"/>
      <c r="AJ281" s="336"/>
      <c r="AK281" s="336"/>
    </row>
    <row r="282" spans="1:37" x14ac:dyDescent="0.45">
      <c r="A282" s="327"/>
      <c r="B282" s="328"/>
      <c r="D282" s="144"/>
      <c r="E282" s="144"/>
      <c r="F282" s="144"/>
      <c r="G282" s="144"/>
      <c r="H282" s="144"/>
      <c r="I282" s="330"/>
      <c r="J282" s="330"/>
      <c r="K282" s="144"/>
      <c r="L282" s="144"/>
      <c r="M282" s="144"/>
      <c r="N282" s="331"/>
      <c r="O282" s="144"/>
      <c r="P282" s="144"/>
      <c r="Q282" s="144"/>
      <c r="R282" s="144"/>
      <c r="S282" s="332"/>
      <c r="T282" s="332"/>
      <c r="U282" s="144"/>
      <c r="V282" s="329"/>
      <c r="W282" s="329"/>
      <c r="X282" s="329"/>
      <c r="Y282" s="329"/>
      <c r="Z282" s="329"/>
      <c r="AA282" s="329"/>
      <c r="AB282" s="333"/>
      <c r="AC282" s="333"/>
      <c r="AD282" s="334"/>
      <c r="AE282" s="335"/>
      <c r="AF282" s="329"/>
      <c r="AJ282" s="336"/>
      <c r="AK282" s="336"/>
    </row>
    <row r="283" spans="1:37" x14ac:dyDescent="0.45">
      <c r="A283" s="327"/>
      <c r="B283" s="328"/>
      <c r="D283" s="144"/>
      <c r="E283" s="144"/>
      <c r="F283" s="144"/>
      <c r="G283" s="144"/>
      <c r="H283" s="144"/>
      <c r="I283" s="330"/>
      <c r="J283" s="330"/>
      <c r="K283" s="144"/>
      <c r="L283" s="144"/>
      <c r="M283" s="144"/>
      <c r="N283" s="331"/>
      <c r="O283" s="144"/>
      <c r="P283" s="144"/>
      <c r="Q283" s="144"/>
      <c r="R283" s="144"/>
      <c r="S283" s="332"/>
      <c r="T283" s="332"/>
      <c r="U283" s="144"/>
      <c r="V283" s="329"/>
      <c r="W283" s="329"/>
      <c r="X283" s="329"/>
      <c r="Y283" s="329"/>
      <c r="Z283" s="329"/>
      <c r="AA283" s="329"/>
      <c r="AB283" s="333"/>
      <c r="AC283" s="333"/>
      <c r="AD283" s="334"/>
      <c r="AE283" s="335"/>
      <c r="AF283" s="329"/>
      <c r="AJ283" s="336"/>
      <c r="AK283" s="336"/>
    </row>
    <row r="284" spans="1:37" x14ac:dyDescent="0.45">
      <c r="A284" s="327"/>
      <c r="B284" s="328"/>
      <c r="D284" s="144"/>
      <c r="E284" s="144"/>
      <c r="F284" s="144"/>
      <c r="G284" s="144"/>
      <c r="H284" s="144"/>
      <c r="I284" s="330"/>
      <c r="J284" s="330"/>
      <c r="K284" s="144"/>
      <c r="L284" s="144"/>
      <c r="M284" s="144"/>
      <c r="N284" s="331"/>
      <c r="O284" s="144"/>
      <c r="P284" s="144"/>
      <c r="Q284" s="144"/>
      <c r="R284" s="144"/>
      <c r="S284" s="332"/>
      <c r="T284" s="332"/>
      <c r="U284" s="144"/>
      <c r="V284" s="329"/>
      <c r="W284" s="329"/>
      <c r="X284" s="329"/>
      <c r="Y284" s="329"/>
      <c r="Z284" s="329"/>
      <c r="AA284" s="329"/>
      <c r="AB284" s="333"/>
      <c r="AC284" s="333"/>
      <c r="AD284" s="334"/>
      <c r="AE284" s="335"/>
      <c r="AF284" s="329"/>
      <c r="AJ284" s="336"/>
      <c r="AK284" s="336"/>
    </row>
    <row r="285" spans="1:37" x14ac:dyDescent="0.45">
      <c r="A285" s="327"/>
      <c r="B285" s="328"/>
      <c r="D285" s="144"/>
      <c r="E285" s="144"/>
      <c r="F285" s="144"/>
      <c r="G285" s="144"/>
      <c r="H285" s="144"/>
      <c r="I285" s="330"/>
      <c r="J285" s="330"/>
      <c r="K285" s="144"/>
      <c r="L285" s="144"/>
      <c r="M285" s="144"/>
      <c r="N285" s="331"/>
      <c r="O285" s="144"/>
      <c r="P285" s="144"/>
      <c r="Q285" s="144"/>
      <c r="R285" s="144"/>
      <c r="S285" s="332"/>
      <c r="T285" s="332"/>
      <c r="U285" s="144"/>
      <c r="V285" s="329"/>
      <c r="W285" s="329"/>
      <c r="X285" s="329"/>
      <c r="Y285" s="329"/>
      <c r="Z285" s="329"/>
      <c r="AA285" s="329"/>
      <c r="AB285" s="333"/>
      <c r="AC285" s="333"/>
      <c r="AD285" s="334"/>
      <c r="AE285" s="335"/>
      <c r="AF285" s="329"/>
      <c r="AJ285" s="336"/>
      <c r="AK285" s="336"/>
    </row>
    <row r="286" spans="1:37" x14ac:dyDescent="0.45">
      <c r="A286" s="327"/>
      <c r="B286" s="328"/>
      <c r="D286" s="144"/>
      <c r="E286" s="144"/>
      <c r="F286" s="144"/>
      <c r="G286" s="144"/>
      <c r="H286" s="144"/>
      <c r="I286" s="330"/>
      <c r="J286" s="330"/>
      <c r="K286" s="144"/>
      <c r="L286" s="144"/>
      <c r="M286" s="144"/>
      <c r="N286" s="331"/>
      <c r="O286" s="144"/>
      <c r="P286" s="144"/>
      <c r="Q286" s="144"/>
      <c r="R286" s="144"/>
      <c r="S286" s="332"/>
      <c r="T286" s="332"/>
      <c r="U286" s="144"/>
      <c r="V286" s="329"/>
      <c r="W286" s="329"/>
      <c r="X286" s="329"/>
      <c r="Y286" s="329"/>
      <c r="Z286" s="329"/>
      <c r="AA286" s="329"/>
      <c r="AB286" s="333"/>
      <c r="AC286" s="333"/>
      <c r="AD286" s="334"/>
      <c r="AE286" s="335"/>
      <c r="AF286" s="329"/>
      <c r="AJ286" s="336"/>
      <c r="AK286" s="336"/>
    </row>
    <row r="287" spans="1:37" x14ac:dyDescent="0.45">
      <c r="A287" s="327"/>
      <c r="B287" s="328"/>
      <c r="D287" s="144"/>
      <c r="E287" s="144"/>
      <c r="F287" s="144"/>
      <c r="G287" s="144"/>
      <c r="H287" s="144"/>
      <c r="I287" s="330"/>
      <c r="J287" s="330"/>
      <c r="K287" s="144"/>
      <c r="L287" s="144"/>
      <c r="M287" s="144"/>
      <c r="N287" s="331"/>
      <c r="O287" s="144"/>
      <c r="P287" s="144"/>
      <c r="Q287" s="144"/>
      <c r="R287" s="144"/>
      <c r="S287" s="332"/>
      <c r="T287" s="332"/>
      <c r="U287" s="144"/>
      <c r="V287" s="329"/>
      <c r="W287" s="329"/>
      <c r="X287" s="329"/>
      <c r="Y287" s="329"/>
      <c r="Z287" s="329"/>
      <c r="AA287" s="329"/>
      <c r="AB287" s="333"/>
      <c r="AC287" s="333"/>
      <c r="AD287" s="334"/>
      <c r="AE287" s="335"/>
      <c r="AF287" s="329"/>
      <c r="AJ287" s="336"/>
      <c r="AK287" s="336"/>
    </row>
    <row r="288" spans="1:37" x14ac:dyDescent="0.45">
      <c r="A288" s="327"/>
      <c r="B288" s="328"/>
      <c r="D288" s="144"/>
      <c r="E288" s="144"/>
      <c r="F288" s="144"/>
      <c r="G288" s="144"/>
      <c r="H288" s="144"/>
      <c r="I288" s="330"/>
      <c r="J288" s="330"/>
      <c r="K288" s="144"/>
      <c r="L288" s="144"/>
      <c r="M288" s="144"/>
      <c r="N288" s="331"/>
      <c r="O288" s="144"/>
      <c r="P288" s="144"/>
      <c r="Q288" s="144"/>
      <c r="R288" s="144"/>
      <c r="S288" s="332"/>
      <c r="T288" s="332"/>
      <c r="U288" s="144"/>
      <c r="V288" s="329"/>
      <c r="W288" s="329"/>
      <c r="X288" s="329"/>
      <c r="Y288" s="329"/>
      <c r="Z288" s="329"/>
      <c r="AA288" s="329"/>
      <c r="AB288" s="333"/>
      <c r="AC288" s="333"/>
      <c r="AD288" s="334"/>
      <c r="AE288" s="335"/>
      <c r="AF288" s="329"/>
      <c r="AJ288" s="336"/>
      <c r="AK288" s="336"/>
    </row>
    <row r="289" spans="1:37" x14ac:dyDescent="0.45">
      <c r="A289" s="327"/>
      <c r="B289" s="328"/>
      <c r="D289" s="144"/>
      <c r="E289" s="144"/>
      <c r="F289" s="144"/>
      <c r="G289" s="144"/>
      <c r="H289" s="144"/>
      <c r="I289" s="330"/>
      <c r="J289" s="330"/>
      <c r="K289" s="144"/>
      <c r="L289" s="144"/>
      <c r="M289" s="144"/>
      <c r="N289" s="331"/>
      <c r="O289" s="144"/>
      <c r="P289" s="144"/>
      <c r="Q289" s="144"/>
      <c r="R289" s="144"/>
      <c r="S289" s="332"/>
      <c r="T289" s="332"/>
      <c r="U289" s="144"/>
      <c r="V289" s="329"/>
      <c r="W289" s="329"/>
      <c r="X289" s="329"/>
      <c r="Y289" s="329"/>
      <c r="Z289" s="329"/>
      <c r="AA289" s="329"/>
      <c r="AB289" s="333"/>
      <c r="AC289" s="333"/>
      <c r="AD289" s="334"/>
      <c r="AE289" s="335"/>
      <c r="AF289" s="329"/>
      <c r="AJ289" s="336"/>
      <c r="AK289" s="336"/>
    </row>
    <row r="290" spans="1:37" x14ac:dyDescent="0.45">
      <c r="A290" s="327"/>
      <c r="B290" s="328"/>
      <c r="D290" s="144"/>
      <c r="E290" s="144"/>
      <c r="F290" s="144"/>
      <c r="G290" s="144"/>
      <c r="H290" s="144"/>
      <c r="I290" s="330"/>
      <c r="J290" s="330"/>
      <c r="K290" s="144"/>
      <c r="L290" s="144"/>
      <c r="M290" s="144"/>
      <c r="N290" s="331"/>
      <c r="O290" s="144"/>
      <c r="P290" s="144"/>
      <c r="Q290" s="144"/>
      <c r="R290" s="144"/>
      <c r="S290" s="332"/>
      <c r="T290" s="332"/>
      <c r="U290" s="144"/>
      <c r="V290" s="329"/>
      <c r="W290" s="329"/>
      <c r="X290" s="329"/>
      <c r="Y290" s="329"/>
      <c r="Z290" s="329"/>
      <c r="AA290" s="329"/>
      <c r="AB290" s="333"/>
      <c r="AC290" s="333"/>
      <c r="AD290" s="334"/>
      <c r="AE290" s="335"/>
      <c r="AF290" s="329"/>
      <c r="AJ290" s="336"/>
      <c r="AK290" s="336"/>
    </row>
    <row r="291" spans="1:37" x14ac:dyDescent="0.45">
      <c r="A291" s="327"/>
      <c r="B291" s="328"/>
      <c r="D291" s="144"/>
      <c r="E291" s="144"/>
      <c r="F291" s="144"/>
      <c r="G291" s="144"/>
      <c r="H291" s="144"/>
      <c r="I291" s="330"/>
      <c r="J291" s="330"/>
      <c r="K291" s="144"/>
      <c r="L291" s="144"/>
      <c r="M291" s="144"/>
      <c r="N291" s="331"/>
      <c r="O291" s="144"/>
      <c r="P291" s="144"/>
      <c r="Q291" s="144"/>
      <c r="R291" s="144"/>
      <c r="S291" s="332"/>
      <c r="T291" s="332"/>
      <c r="U291" s="144"/>
      <c r="V291" s="329"/>
      <c r="W291" s="329"/>
      <c r="X291" s="329"/>
      <c r="Y291" s="329"/>
      <c r="Z291" s="329"/>
      <c r="AA291" s="329"/>
      <c r="AB291" s="333"/>
      <c r="AC291" s="333"/>
      <c r="AD291" s="334"/>
      <c r="AE291" s="335"/>
      <c r="AF291" s="329"/>
      <c r="AJ291" s="336"/>
      <c r="AK291" s="336"/>
    </row>
    <row r="292" spans="1:37" x14ac:dyDescent="0.45">
      <c r="A292" s="327"/>
      <c r="B292" s="328"/>
      <c r="D292" s="144"/>
      <c r="E292" s="144"/>
      <c r="F292" s="144"/>
      <c r="G292" s="144"/>
      <c r="H292" s="144"/>
      <c r="I292" s="330"/>
      <c r="J292" s="330"/>
      <c r="K292" s="144"/>
      <c r="L292" s="144"/>
      <c r="M292" s="144"/>
      <c r="N292" s="331"/>
      <c r="O292" s="144"/>
      <c r="P292" s="144"/>
      <c r="Q292" s="144"/>
      <c r="R292" s="144"/>
      <c r="S292" s="332"/>
      <c r="T292" s="332"/>
      <c r="U292" s="144"/>
      <c r="V292" s="329"/>
      <c r="W292" s="329"/>
      <c r="X292" s="329"/>
      <c r="Y292" s="329"/>
      <c r="Z292" s="329"/>
      <c r="AA292" s="329"/>
      <c r="AB292" s="333"/>
      <c r="AC292" s="333"/>
      <c r="AD292" s="334"/>
      <c r="AE292" s="335"/>
      <c r="AF292" s="329"/>
      <c r="AJ292" s="336"/>
      <c r="AK292" s="336"/>
    </row>
    <row r="293" spans="1:37" x14ac:dyDescent="0.45">
      <c r="A293" s="327"/>
      <c r="B293" s="328"/>
      <c r="D293" s="144"/>
      <c r="E293" s="144"/>
      <c r="F293" s="144"/>
      <c r="G293" s="144"/>
      <c r="H293" s="144"/>
      <c r="I293" s="330"/>
      <c r="J293" s="330"/>
      <c r="K293" s="144"/>
      <c r="L293" s="144"/>
      <c r="M293" s="144"/>
      <c r="N293" s="331"/>
      <c r="O293" s="144"/>
      <c r="P293" s="144"/>
      <c r="Q293" s="144"/>
      <c r="R293" s="144"/>
      <c r="S293" s="332"/>
      <c r="T293" s="332"/>
      <c r="U293" s="144"/>
      <c r="V293" s="329"/>
      <c r="W293" s="329"/>
      <c r="X293" s="329"/>
      <c r="Y293" s="329"/>
      <c r="Z293" s="329"/>
      <c r="AA293" s="329"/>
      <c r="AB293" s="333"/>
      <c r="AC293" s="333"/>
      <c r="AD293" s="334"/>
      <c r="AE293" s="335"/>
      <c r="AF293" s="329"/>
      <c r="AJ293" s="336"/>
      <c r="AK293" s="336"/>
    </row>
    <row r="294" spans="1:37" x14ac:dyDescent="0.45">
      <c r="A294" s="327"/>
      <c r="B294" s="328"/>
      <c r="D294" s="144"/>
      <c r="E294" s="144"/>
      <c r="F294" s="144"/>
      <c r="G294" s="144"/>
      <c r="H294" s="144"/>
      <c r="I294" s="330"/>
      <c r="J294" s="330"/>
      <c r="K294" s="144"/>
      <c r="L294" s="144"/>
      <c r="M294" s="144"/>
      <c r="N294" s="331"/>
      <c r="O294" s="144"/>
      <c r="P294" s="144"/>
      <c r="Q294" s="144"/>
      <c r="R294" s="144"/>
      <c r="S294" s="332"/>
      <c r="T294" s="332"/>
      <c r="U294" s="144"/>
      <c r="V294" s="329"/>
      <c r="W294" s="329"/>
      <c r="X294" s="329"/>
      <c r="Y294" s="329"/>
      <c r="Z294" s="329"/>
      <c r="AA294" s="329"/>
      <c r="AB294" s="333"/>
      <c r="AC294" s="333"/>
      <c r="AD294" s="334"/>
      <c r="AE294" s="335"/>
      <c r="AF294" s="329"/>
      <c r="AJ294" s="336"/>
      <c r="AK294" s="336"/>
    </row>
    <row r="295" spans="1:37" x14ac:dyDescent="0.45">
      <c r="A295" s="327"/>
      <c r="B295" s="328"/>
      <c r="D295" s="144"/>
      <c r="E295" s="144"/>
      <c r="F295" s="144"/>
      <c r="G295" s="144"/>
      <c r="H295" s="144"/>
      <c r="I295" s="330"/>
      <c r="J295" s="330"/>
      <c r="K295" s="144"/>
      <c r="L295" s="144"/>
      <c r="M295" s="144"/>
      <c r="N295" s="331"/>
      <c r="O295" s="144"/>
      <c r="P295" s="144"/>
      <c r="Q295" s="144"/>
      <c r="R295" s="144"/>
      <c r="S295" s="332"/>
      <c r="T295" s="332"/>
      <c r="U295" s="144"/>
      <c r="V295" s="329"/>
      <c r="W295" s="329"/>
      <c r="X295" s="329"/>
      <c r="Y295" s="329"/>
      <c r="Z295" s="329"/>
      <c r="AA295" s="329"/>
      <c r="AB295" s="333"/>
      <c r="AC295" s="333"/>
      <c r="AD295" s="334"/>
      <c r="AE295" s="335"/>
      <c r="AF295" s="329"/>
      <c r="AJ295" s="336"/>
      <c r="AK295" s="336"/>
    </row>
    <row r="296" spans="1:37" x14ac:dyDescent="0.45">
      <c r="A296" s="327"/>
      <c r="B296" s="328"/>
      <c r="D296" s="144"/>
      <c r="E296" s="144"/>
      <c r="F296" s="144"/>
      <c r="G296" s="144"/>
      <c r="H296" s="144"/>
      <c r="I296" s="330"/>
      <c r="J296" s="330"/>
      <c r="K296" s="144"/>
      <c r="L296" s="144"/>
      <c r="M296" s="144"/>
      <c r="N296" s="331"/>
      <c r="O296" s="144"/>
      <c r="P296" s="144"/>
      <c r="Q296" s="144"/>
      <c r="R296" s="144"/>
      <c r="S296" s="332"/>
      <c r="T296" s="332"/>
      <c r="U296" s="144"/>
      <c r="V296" s="329"/>
      <c r="W296" s="329"/>
      <c r="X296" s="329"/>
      <c r="Y296" s="329"/>
      <c r="Z296" s="329"/>
      <c r="AA296" s="329"/>
      <c r="AB296" s="333"/>
      <c r="AC296" s="333"/>
      <c r="AD296" s="334"/>
      <c r="AE296" s="335"/>
      <c r="AF296" s="329"/>
      <c r="AJ296" s="336"/>
      <c r="AK296" s="336"/>
    </row>
    <row r="297" spans="1:37" x14ac:dyDescent="0.45">
      <c r="A297" s="327"/>
      <c r="B297" s="328"/>
      <c r="D297" s="144"/>
      <c r="E297" s="144"/>
      <c r="F297" s="144"/>
      <c r="G297" s="144"/>
      <c r="H297" s="144"/>
      <c r="I297" s="330"/>
      <c r="J297" s="330"/>
      <c r="K297" s="144"/>
      <c r="L297" s="144"/>
      <c r="M297" s="144"/>
      <c r="N297" s="331"/>
      <c r="O297" s="144"/>
      <c r="P297" s="144"/>
      <c r="Q297" s="144"/>
      <c r="R297" s="144"/>
      <c r="S297" s="332"/>
      <c r="T297" s="332"/>
      <c r="U297" s="144"/>
      <c r="V297" s="329"/>
      <c r="W297" s="329"/>
      <c r="X297" s="329"/>
      <c r="Y297" s="329"/>
      <c r="Z297" s="329"/>
      <c r="AA297" s="329"/>
      <c r="AB297" s="333"/>
      <c r="AC297" s="333"/>
      <c r="AD297" s="334"/>
      <c r="AE297" s="335"/>
      <c r="AF297" s="329"/>
      <c r="AJ297" s="336"/>
      <c r="AK297" s="336"/>
    </row>
    <row r="298" spans="1:37" x14ac:dyDescent="0.45">
      <c r="A298" s="327"/>
      <c r="B298" s="328"/>
      <c r="D298" s="144"/>
      <c r="E298" s="144"/>
      <c r="F298" s="144"/>
      <c r="G298" s="144"/>
      <c r="H298" s="144"/>
      <c r="I298" s="330"/>
      <c r="J298" s="330"/>
      <c r="K298" s="144"/>
      <c r="L298" s="144"/>
      <c r="M298" s="144"/>
      <c r="N298" s="331"/>
      <c r="O298" s="144"/>
      <c r="P298" s="144"/>
      <c r="Q298" s="144"/>
      <c r="R298" s="144"/>
      <c r="S298" s="332"/>
      <c r="T298" s="332"/>
      <c r="U298" s="144"/>
      <c r="V298" s="329"/>
      <c r="W298" s="329"/>
      <c r="X298" s="329"/>
      <c r="Y298" s="329"/>
      <c r="Z298" s="329"/>
      <c r="AA298" s="329"/>
      <c r="AB298" s="333"/>
      <c r="AC298" s="333"/>
      <c r="AD298" s="334"/>
      <c r="AE298" s="335"/>
      <c r="AF298" s="329"/>
      <c r="AJ298" s="336"/>
      <c r="AK298" s="336"/>
    </row>
    <row r="299" spans="1:37" x14ac:dyDescent="0.45">
      <c r="A299" s="327"/>
      <c r="B299" s="328"/>
      <c r="D299" s="144"/>
      <c r="E299" s="144"/>
      <c r="F299" s="144"/>
      <c r="G299" s="144"/>
      <c r="H299" s="144"/>
      <c r="I299" s="330"/>
      <c r="J299" s="330"/>
      <c r="K299" s="144"/>
      <c r="L299" s="144"/>
      <c r="M299" s="144"/>
      <c r="N299" s="331"/>
      <c r="O299" s="144"/>
      <c r="P299" s="144"/>
      <c r="Q299" s="144"/>
      <c r="R299" s="144"/>
      <c r="S299" s="332"/>
      <c r="T299" s="332"/>
      <c r="U299" s="144"/>
      <c r="V299" s="329"/>
      <c r="W299" s="329"/>
      <c r="X299" s="329"/>
      <c r="Y299" s="329"/>
      <c r="Z299" s="329"/>
      <c r="AA299" s="329"/>
      <c r="AB299" s="333"/>
      <c r="AC299" s="333"/>
      <c r="AD299" s="334"/>
      <c r="AE299" s="335"/>
      <c r="AF299" s="329"/>
      <c r="AJ299" s="336"/>
      <c r="AK299" s="336"/>
    </row>
    <row r="300" spans="1:37" x14ac:dyDescent="0.45">
      <c r="A300" s="327"/>
      <c r="B300" s="328"/>
      <c r="D300" s="144"/>
      <c r="E300" s="144"/>
      <c r="F300" s="144"/>
      <c r="G300" s="144"/>
      <c r="H300" s="144"/>
      <c r="I300" s="330"/>
      <c r="J300" s="330"/>
      <c r="K300" s="144"/>
      <c r="L300" s="144"/>
      <c r="M300" s="144"/>
      <c r="N300" s="331"/>
      <c r="O300" s="144"/>
      <c r="P300" s="144"/>
      <c r="Q300" s="144"/>
      <c r="R300" s="144"/>
      <c r="S300" s="332"/>
      <c r="T300" s="332"/>
      <c r="U300" s="144"/>
      <c r="V300" s="329"/>
      <c r="W300" s="329"/>
      <c r="X300" s="329"/>
      <c r="Y300" s="329"/>
      <c r="Z300" s="329"/>
      <c r="AA300" s="329"/>
      <c r="AB300" s="333"/>
      <c r="AC300" s="333"/>
      <c r="AD300" s="334"/>
      <c r="AE300" s="335"/>
      <c r="AF300" s="329"/>
      <c r="AJ300" s="336"/>
      <c r="AK300" s="336"/>
    </row>
    <row r="301" spans="1:37" x14ac:dyDescent="0.45">
      <c r="A301" s="327"/>
      <c r="B301" s="328"/>
      <c r="D301" s="144"/>
      <c r="E301" s="144"/>
      <c r="F301" s="144"/>
      <c r="G301" s="144"/>
      <c r="H301" s="144"/>
      <c r="I301" s="330"/>
      <c r="J301" s="330"/>
      <c r="K301" s="144"/>
      <c r="L301" s="144"/>
      <c r="M301" s="144"/>
      <c r="N301" s="331"/>
      <c r="O301" s="144"/>
      <c r="P301" s="144"/>
      <c r="Q301" s="144"/>
      <c r="R301" s="144"/>
      <c r="S301" s="332"/>
      <c r="T301" s="332"/>
      <c r="U301" s="144"/>
      <c r="V301" s="329"/>
      <c r="W301" s="329"/>
      <c r="X301" s="329"/>
      <c r="Y301" s="329"/>
      <c r="Z301" s="329"/>
      <c r="AA301" s="329"/>
      <c r="AB301" s="333"/>
      <c r="AC301" s="333"/>
      <c r="AD301" s="334"/>
      <c r="AE301" s="335"/>
      <c r="AF301" s="329"/>
      <c r="AJ301" s="336"/>
      <c r="AK301" s="336"/>
    </row>
    <row r="302" spans="1:37" x14ac:dyDescent="0.45">
      <c r="A302" s="327"/>
      <c r="B302" s="328"/>
      <c r="D302" s="144"/>
      <c r="E302" s="144"/>
      <c r="F302" s="144"/>
      <c r="G302" s="144"/>
      <c r="H302" s="144"/>
      <c r="I302" s="330"/>
      <c r="J302" s="330"/>
      <c r="K302" s="144"/>
      <c r="L302" s="144"/>
      <c r="M302" s="144"/>
      <c r="N302" s="331"/>
      <c r="O302" s="144"/>
      <c r="P302" s="144"/>
      <c r="Q302" s="144"/>
      <c r="R302" s="144"/>
      <c r="S302" s="332"/>
      <c r="T302" s="332"/>
      <c r="U302" s="144"/>
      <c r="V302" s="329"/>
      <c r="W302" s="329"/>
      <c r="X302" s="329"/>
      <c r="Y302" s="329"/>
      <c r="Z302" s="329"/>
      <c r="AA302" s="329"/>
      <c r="AB302" s="333"/>
      <c r="AC302" s="333"/>
      <c r="AD302" s="334"/>
      <c r="AE302" s="335"/>
      <c r="AF302" s="329"/>
      <c r="AJ302" s="336"/>
      <c r="AK302" s="336"/>
    </row>
    <row r="303" spans="1:37" x14ac:dyDescent="0.45">
      <c r="A303" s="327"/>
      <c r="B303" s="328"/>
      <c r="D303" s="144"/>
      <c r="E303" s="144"/>
      <c r="F303" s="144"/>
      <c r="G303" s="144"/>
      <c r="H303" s="144"/>
      <c r="I303" s="330"/>
      <c r="J303" s="330"/>
      <c r="K303" s="144"/>
      <c r="L303" s="144"/>
      <c r="M303" s="144"/>
      <c r="N303" s="331"/>
      <c r="O303" s="144"/>
      <c r="P303" s="144"/>
      <c r="Q303" s="144"/>
      <c r="R303" s="144"/>
      <c r="S303" s="332"/>
      <c r="T303" s="332"/>
      <c r="U303" s="144"/>
      <c r="V303" s="329"/>
      <c r="W303" s="329"/>
      <c r="X303" s="329"/>
      <c r="Y303" s="329"/>
      <c r="Z303" s="329"/>
      <c r="AA303" s="329"/>
      <c r="AB303" s="333"/>
      <c r="AC303" s="333"/>
      <c r="AD303" s="334"/>
      <c r="AE303" s="335"/>
      <c r="AF303" s="329"/>
      <c r="AJ303" s="336"/>
      <c r="AK303" s="336"/>
    </row>
    <row r="304" spans="1:37" x14ac:dyDescent="0.45">
      <c r="A304" s="327"/>
      <c r="B304" s="328"/>
      <c r="D304" s="144"/>
      <c r="E304" s="144"/>
      <c r="F304" s="144"/>
      <c r="G304" s="144"/>
      <c r="H304" s="144"/>
      <c r="I304" s="330"/>
      <c r="J304" s="330"/>
      <c r="K304" s="144"/>
      <c r="L304" s="144"/>
      <c r="M304" s="144"/>
      <c r="N304" s="331"/>
      <c r="O304" s="144"/>
      <c r="P304" s="144"/>
      <c r="Q304" s="144"/>
      <c r="R304" s="144"/>
      <c r="S304" s="332"/>
      <c r="T304" s="332"/>
      <c r="U304" s="144"/>
      <c r="V304" s="329"/>
      <c r="W304" s="329"/>
      <c r="X304" s="329"/>
      <c r="Y304" s="329"/>
      <c r="Z304" s="329"/>
      <c r="AA304" s="329"/>
      <c r="AB304" s="333"/>
      <c r="AC304" s="333"/>
      <c r="AD304" s="334"/>
      <c r="AE304" s="335"/>
      <c r="AF304" s="329"/>
      <c r="AJ304" s="336"/>
      <c r="AK304" s="336"/>
    </row>
    <row r="305" spans="1:37" x14ac:dyDescent="0.45">
      <c r="A305" s="327"/>
      <c r="B305" s="328"/>
      <c r="D305" s="144"/>
      <c r="E305" s="144"/>
      <c r="F305" s="144"/>
      <c r="G305" s="144"/>
      <c r="H305" s="144"/>
      <c r="I305" s="330"/>
      <c r="J305" s="330"/>
      <c r="K305" s="144"/>
      <c r="L305" s="144"/>
      <c r="M305" s="144"/>
      <c r="N305" s="331"/>
      <c r="O305" s="144"/>
      <c r="P305" s="144"/>
      <c r="Q305" s="144"/>
      <c r="R305" s="144"/>
      <c r="S305" s="332"/>
      <c r="T305" s="332"/>
      <c r="U305" s="144"/>
      <c r="V305" s="329"/>
      <c r="W305" s="329"/>
      <c r="X305" s="329"/>
      <c r="Y305" s="329"/>
      <c r="Z305" s="329"/>
      <c r="AA305" s="329"/>
      <c r="AB305" s="333"/>
      <c r="AC305" s="333"/>
      <c r="AD305" s="334"/>
      <c r="AE305" s="335"/>
      <c r="AF305" s="329"/>
      <c r="AJ305" s="336"/>
      <c r="AK305" s="336"/>
    </row>
    <row r="306" spans="1:37" x14ac:dyDescent="0.45">
      <c r="A306" s="327"/>
      <c r="B306" s="328"/>
      <c r="D306" s="144"/>
      <c r="E306" s="144"/>
      <c r="F306" s="144"/>
      <c r="G306" s="144"/>
      <c r="H306" s="144"/>
      <c r="I306" s="330"/>
      <c r="J306" s="330"/>
      <c r="K306" s="144"/>
      <c r="L306" s="144"/>
      <c r="M306" s="144"/>
      <c r="N306" s="331"/>
      <c r="O306" s="144"/>
      <c r="P306" s="144"/>
      <c r="Q306" s="144"/>
      <c r="R306" s="144"/>
      <c r="S306" s="332"/>
      <c r="T306" s="332"/>
      <c r="U306" s="144"/>
      <c r="V306" s="329"/>
      <c r="W306" s="329"/>
      <c r="X306" s="329"/>
      <c r="Y306" s="329"/>
      <c r="Z306" s="329"/>
      <c r="AA306" s="329"/>
      <c r="AB306" s="333"/>
      <c r="AC306" s="333"/>
      <c r="AD306" s="334"/>
      <c r="AE306" s="335"/>
      <c r="AF306" s="329"/>
      <c r="AJ306" s="336"/>
      <c r="AK306" s="336"/>
    </row>
    <row r="307" spans="1:37" x14ac:dyDescent="0.45">
      <c r="A307" s="327"/>
      <c r="B307" s="328"/>
      <c r="D307" s="144"/>
      <c r="E307" s="144"/>
      <c r="F307" s="144"/>
      <c r="G307" s="144"/>
      <c r="H307" s="144"/>
      <c r="I307" s="330"/>
      <c r="J307" s="330"/>
      <c r="K307" s="144"/>
      <c r="L307" s="144"/>
      <c r="M307" s="144"/>
      <c r="N307" s="331"/>
      <c r="O307" s="144"/>
      <c r="P307" s="144"/>
      <c r="Q307" s="144"/>
      <c r="R307" s="144"/>
      <c r="S307" s="332"/>
      <c r="T307" s="332"/>
      <c r="U307" s="144"/>
      <c r="V307" s="329"/>
      <c r="W307" s="329"/>
      <c r="X307" s="329"/>
      <c r="Y307" s="329"/>
      <c r="Z307" s="329"/>
      <c r="AA307" s="329"/>
      <c r="AB307" s="333"/>
      <c r="AC307" s="333"/>
      <c r="AD307" s="334"/>
      <c r="AE307" s="335"/>
      <c r="AF307" s="329"/>
      <c r="AJ307" s="336"/>
      <c r="AK307" s="336"/>
    </row>
    <row r="308" spans="1:37" x14ac:dyDescent="0.45">
      <c r="A308" s="327"/>
      <c r="B308" s="328"/>
      <c r="D308" s="144"/>
      <c r="E308" s="144"/>
      <c r="F308" s="144"/>
      <c r="G308" s="144"/>
      <c r="H308" s="144"/>
      <c r="I308" s="330"/>
      <c r="J308" s="330"/>
      <c r="K308" s="144"/>
      <c r="L308" s="144"/>
      <c r="M308" s="144"/>
      <c r="N308" s="331"/>
      <c r="O308" s="144"/>
      <c r="P308" s="144"/>
      <c r="Q308" s="144"/>
      <c r="R308" s="144"/>
      <c r="S308" s="332"/>
      <c r="T308" s="332"/>
      <c r="U308" s="144"/>
      <c r="V308" s="329"/>
      <c r="W308" s="329"/>
      <c r="X308" s="329"/>
      <c r="Y308" s="329"/>
      <c r="Z308" s="329"/>
      <c r="AA308" s="329"/>
      <c r="AB308" s="333"/>
      <c r="AC308" s="333"/>
      <c r="AD308" s="334"/>
      <c r="AE308" s="335"/>
      <c r="AF308" s="329"/>
      <c r="AJ308" s="336"/>
      <c r="AK308" s="336"/>
    </row>
  </sheetData>
  <conditionalFormatting sqref="AJ2:AJ265 AJ266:AK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404</v>
      </c>
      <c r="B1" s="29" t="s">
        <v>396</v>
      </c>
      <c r="C1" s="29" t="s">
        <v>397</v>
      </c>
      <c r="D1" s="29" t="s">
        <v>398</v>
      </c>
      <c r="E1" s="29" t="s">
        <v>399</v>
      </c>
      <c r="F1" s="29" t="s">
        <v>400</v>
      </c>
      <c r="G1" s="29" t="s">
        <v>401</v>
      </c>
      <c r="H1" s="29" t="s">
        <v>402</v>
      </c>
      <c r="I1" s="29" t="s">
        <v>403</v>
      </c>
      <c r="J1" s="29" t="s">
        <v>842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62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68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65" t="s">
        <v>691</v>
      </c>
      <c r="C5" s="365">
        <f>60*10^6</f>
        <v>60000000</v>
      </c>
      <c r="D5" s="365">
        <f>4.1*10^6</f>
        <v>4099999.9999999995</v>
      </c>
      <c r="E5" s="365"/>
      <c r="F5" s="365"/>
      <c r="G5" s="368">
        <v>39000000000</v>
      </c>
      <c r="H5" s="365">
        <v>25000</v>
      </c>
      <c r="I5" s="365"/>
      <c r="J5" s="365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68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395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522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538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843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844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845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63" t="s">
        <v>113</v>
      </c>
      <c r="C15" s="363"/>
      <c r="D15" s="363"/>
      <c r="E15" s="363"/>
      <c r="F15" s="363"/>
      <c r="G15" s="363"/>
      <c r="H15" s="363"/>
      <c r="I15" s="363"/>
      <c r="J15" s="363">
        <v>0.8</v>
      </c>
    </row>
    <row r="16" spans="1:10" x14ac:dyDescent="0.45">
      <c r="A16" s="24">
        <v>15</v>
      </c>
      <c r="B16" s="363" t="s">
        <v>846</v>
      </c>
      <c r="C16" s="363"/>
      <c r="D16" s="363"/>
      <c r="E16" s="363"/>
      <c r="F16" s="363"/>
      <c r="G16" s="363"/>
      <c r="H16" s="363"/>
      <c r="I16" s="363"/>
      <c r="J16" s="363">
        <v>1.5</v>
      </c>
    </row>
    <row r="17" spans="1:10" x14ac:dyDescent="0.45">
      <c r="A17" s="24">
        <v>16</v>
      </c>
      <c r="B17" s="363" t="s">
        <v>847</v>
      </c>
      <c r="C17" s="363"/>
      <c r="D17" s="363"/>
      <c r="E17" s="363"/>
      <c r="F17" s="363"/>
      <c r="G17" s="363"/>
      <c r="H17" s="363"/>
      <c r="I17" s="363"/>
      <c r="J17" s="363">
        <v>0.6</v>
      </c>
    </row>
    <row r="18" spans="1:10" x14ac:dyDescent="0.45">
      <c r="A18" s="364"/>
      <c r="B18" s="364"/>
      <c r="C18" s="364"/>
      <c r="D18" s="364"/>
      <c r="E18" s="364"/>
      <c r="F18" s="364"/>
      <c r="G18" s="364"/>
      <c r="H18" s="364"/>
      <c r="I18" s="364"/>
      <c r="J18" s="364"/>
    </row>
    <row r="19" spans="1:10" x14ac:dyDescent="0.45">
      <c r="A19" s="365"/>
      <c r="B19" s="365"/>
      <c r="C19" s="365"/>
      <c r="D19" s="365"/>
      <c r="E19" s="365"/>
      <c r="F19" s="365"/>
      <c r="G19" s="365"/>
      <c r="H19" s="365"/>
      <c r="I19" s="365"/>
      <c r="J19" s="365"/>
    </row>
    <row r="20" spans="1:10" x14ac:dyDescent="0.45">
      <c r="A20" s="366"/>
      <c r="B20" s="366"/>
      <c r="C20" s="366"/>
      <c r="D20" s="366"/>
      <c r="E20" s="366"/>
      <c r="F20" s="366"/>
      <c r="G20" s="366"/>
      <c r="H20" s="366"/>
      <c r="I20" s="366"/>
      <c r="J20" s="366"/>
    </row>
    <row r="24" spans="1:10" x14ac:dyDescent="0.45">
      <c r="G24" s="367"/>
    </row>
    <row r="26" spans="1:10" x14ac:dyDescent="0.45">
      <c r="G26" s="367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E15" sqref="E15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361" t="s">
        <v>841</v>
      </c>
      <c r="I1" s="361" t="s">
        <v>848</v>
      </c>
    </row>
    <row r="2" spans="1:9" x14ac:dyDescent="0.45">
      <c r="A2" s="20"/>
      <c r="B2" s="20" t="s">
        <v>389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390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391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392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60">
        <v>60</v>
      </c>
      <c r="I5">
        <v>30</v>
      </c>
    </row>
    <row r="6" spans="1:9" x14ac:dyDescent="0.45">
      <c r="B6" t="s">
        <v>393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60">
        <v>60</v>
      </c>
      <c r="I6">
        <v>30</v>
      </c>
    </row>
    <row r="7" spans="1:9" x14ac:dyDescent="0.45">
      <c r="B7" t="s">
        <v>394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60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topLeftCell="A15" workbookViewId="0">
      <selection activeCell="O29" sqref="O29"/>
    </sheetView>
  </sheetViews>
  <sheetFormatPr defaultRowHeight="14.25" x14ac:dyDescent="0.45"/>
  <sheetData>
    <row r="2" spans="1:1" ht="23.25" x14ac:dyDescent="0.7">
      <c r="A2" s="162" t="s">
        <v>760</v>
      </c>
    </row>
    <row r="4" spans="1:1" s="164" customFormat="1" x14ac:dyDescent="0.45">
      <c r="A4" s="163" t="s">
        <v>761</v>
      </c>
    </row>
    <row r="5" spans="1:1" x14ac:dyDescent="0.45">
      <c r="A5" t="s">
        <v>768</v>
      </c>
    </row>
    <row r="6" spans="1:1" x14ac:dyDescent="0.45">
      <c r="A6" t="s">
        <v>769</v>
      </c>
    </row>
    <row r="7" spans="1:1" x14ac:dyDescent="0.45">
      <c r="A7" t="s">
        <v>770</v>
      </c>
    </row>
    <row r="8" spans="1:1" x14ac:dyDescent="0.45">
      <c r="A8" t="s">
        <v>840</v>
      </c>
    </row>
    <row r="10" spans="1:1" s="164" customFormat="1" x14ac:dyDescent="0.45">
      <c r="A10" s="163" t="s">
        <v>762</v>
      </c>
    </row>
    <row r="11" spans="1:1" x14ac:dyDescent="0.45">
      <c r="A11" t="s">
        <v>777</v>
      </c>
    </row>
    <row r="12" spans="1:1" x14ac:dyDescent="0.45">
      <c r="A12" t="s">
        <v>778</v>
      </c>
    </row>
    <row r="13" spans="1:1" x14ac:dyDescent="0.45">
      <c r="A13" t="s">
        <v>766</v>
      </c>
    </row>
    <row r="14" spans="1:1" x14ac:dyDescent="0.45">
      <c r="A14" t="s">
        <v>771</v>
      </c>
    </row>
    <row r="15" spans="1:1" x14ac:dyDescent="0.45">
      <c r="A15" t="s">
        <v>772</v>
      </c>
    </row>
    <row r="19" spans="1:1" s="164" customFormat="1" x14ac:dyDescent="0.45">
      <c r="A19" s="163" t="s">
        <v>763</v>
      </c>
    </row>
    <row r="23" spans="1:1" s="164" customFormat="1" x14ac:dyDescent="0.45">
      <c r="A23" s="163" t="s">
        <v>764</v>
      </c>
    </row>
    <row r="24" spans="1:1" x14ac:dyDescent="0.45">
      <c r="A24" t="s">
        <v>766</v>
      </c>
    </row>
    <row r="25" spans="1:1" x14ac:dyDescent="0.45">
      <c r="A25" t="s">
        <v>767</v>
      </c>
    </row>
    <row r="31" spans="1:1" s="164" customFormat="1" x14ac:dyDescent="0.45">
      <c r="A31" s="163" t="s">
        <v>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2026-05-21T12:56:30Z</dcterms:modified>
</cp:coreProperties>
</file>