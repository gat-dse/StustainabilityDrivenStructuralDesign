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izlindzus/Desktop/STUDIUM MASTER/WS 2026:27/JobETHIBK/"/>
    </mc:Choice>
  </mc:AlternateContent>
  <xr:revisionPtr revIDLastSave="0" documentId="13_ncr:1_{DB933326-DB0A-064F-B2E7-531583485AC9}" xr6:coauthVersionLast="47" xr6:coauthVersionMax="47" xr10:uidLastSave="{00000000-0000-0000-0000-000000000000}"/>
  <bookViews>
    <workbookView xWindow="0" yWindow="660" windowWidth="30240" windowHeight="16960" activeTab="1" xr2:uid="{58B6788A-438B-478E-898A-D53025B55ED1}"/>
  </bookViews>
  <sheets>
    <sheet name="clarification" sheetId="5" r:id="rId1"/>
    <sheet name="products" sheetId="7" r:id="rId2"/>
    <sheet name="material_prop" sheetId="2" r:id="rId3"/>
    <sheet name="floor_struc_prop" sheetId="4" r:id="rId4"/>
    <sheet name="notes" sheetId="6" r:id="rId5"/>
  </sheets>
  <externalReferences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99" i="7" l="1"/>
  <c r="V98" i="7"/>
  <c r="AH99" i="7"/>
  <c r="AI99" i="7"/>
  <c r="AH98" i="7"/>
  <c r="AH82" i="7"/>
  <c r="AH81" i="7"/>
  <c r="AH75" i="7"/>
  <c r="AH76" i="7"/>
  <c r="AH77" i="7"/>
  <c r="AH78" i="7"/>
  <c r="AH79" i="7"/>
  <c r="AH80" i="7"/>
  <c r="AH83" i="7"/>
  <c r="AH84" i="7"/>
  <c r="AH85" i="7"/>
  <c r="AH86" i="7"/>
  <c r="AH87" i="7"/>
  <c r="AH88" i="7"/>
  <c r="AH89" i="7"/>
  <c r="AH90" i="7"/>
  <c r="AH91" i="7"/>
  <c r="AH92" i="7"/>
  <c r="AH93" i="7"/>
  <c r="AH94" i="7"/>
  <c r="AH95" i="7"/>
  <c r="AH96" i="7"/>
  <c r="AH97" i="7"/>
  <c r="AH74" i="7"/>
  <c r="AH73" i="7"/>
  <c r="AH72" i="7"/>
  <c r="AH70" i="7"/>
  <c r="AH69" i="7"/>
  <c r="AH63" i="7"/>
  <c r="AH64" i="7"/>
  <c r="AH65" i="7"/>
  <c r="AH66" i="7"/>
  <c r="AH67" i="7"/>
  <c r="AH68" i="7"/>
  <c r="AH137" i="7"/>
  <c r="AH136" i="7"/>
  <c r="AH135" i="7"/>
  <c r="AH134" i="7"/>
  <c r="AH133" i="7"/>
  <c r="AH132" i="7"/>
  <c r="AH131" i="7"/>
  <c r="AH225" i="7"/>
  <c r="AI63" i="7"/>
  <c r="AI64" i="7"/>
  <c r="AI65" i="7"/>
  <c r="AI66" i="7"/>
  <c r="AI67" i="7"/>
  <c r="AI68" i="7"/>
  <c r="AI69" i="7"/>
  <c r="AI70" i="7"/>
  <c r="AI71" i="7"/>
  <c r="AI72" i="7"/>
  <c r="AI73" i="7"/>
  <c r="AI74" i="7"/>
  <c r="AI75" i="7"/>
  <c r="AI76" i="7"/>
  <c r="AI77" i="7"/>
  <c r="AI78" i="7"/>
  <c r="AI79" i="7"/>
  <c r="AI80" i="7"/>
  <c r="AI81" i="7"/>
  <c r="AI82" i="7"/>
  <c r="AI83" i="7"/>
  <c r="AI84" i="7"/>
  <c r="AI85" i="7"/>
  <c r="AI86" i="7"/>
  <c r="AI87" i="7"/>
  <c r="AI88" i="7"/>
  <c r="AI89" i="7"/>
  <c r="AI90" i="7"/>
  <c r="AI91" i="7"/>
  <c r="AI92" i="7"/>
  <c r="AI93" i="7"/>
  <c r="AI94" i="7"/>
  <c r="AI95" i="7"/>
  <c r="AI96" i="7"/>
  <c r="AI97" i="7"/>
  <c r="AI98" i="7"/>
  <c r="AI131" i="7"/>
  <c r="AI132" i="7"/>
  <c r="AI133" i="7"/>
  <c r="AI134" i="7"/>
  <c r="AI135" i="7"/>
  <c r="AI136" i="7"/>
  <c r="AI137" i="7"/>
  <c r="AI225" i="7"/>
  <c r="AI289" i="7"/>
  <c r="AH284" i="7"/>
  <c r="AI284" i="7" s="1"/>
  <c r="AH285" i="7"/>
  <c r="AI285" i="7" s="1"/>
  <c r="AH286" i="7"/>
  <c r="AI286" i="7" s="1"/>
  <c r="AH287" i="7"/>
  <c r="AH288" i="7"/>
  <c r="AH289" i="7"/>
  <c r="AH290" i="7"/>
  <c r="AI290" i="7" s="1"/>
  <c r="AH291" i="7"/>
  <c r="AI291" i="7" s="1"/>
  <c r="AH292" i="7"/>
  <c r="AI292" i="7" s="1"/>
  <c r="AH293" i="7"/>
  <c r="AI293" i="7" s="1"/>
  <c r="AH294" i="7"/>
  <c r="AI294" i="7" s="1"/>
  <c r="AH295" i="7"/>
  <c r="AI295" i="7" s="1"/>
  <c r="AF63" i="7"/>
  <c r="AF64" i="7"/>
  <c r="AF65" i="7"/>
  <c r="AF66" i="7"/>
  <c r="AF67" i="7"/>
  <c r="AF68" i="7"/>
  <c r="AF69" i="7"/>
  <c r="AF70" i="7"/>
  <c r="AF72" i="7"/>
  <c r="AF73" i="7"/>
  <c r="AF74" i="7"/>
  <c r="AF75" i="7"/>
  <c r="AF76" i="7"/>
  <c r="AF77" i="7"/>
  <c r="AF78" i="7"/>
  <c r="AF79" i="7"/>
  <c r="AF80" i="7"/>
  <c r="AF81" i="7"/>
  <c r="AF82" i="7"/>
  <c r="AF83" i="7"/>
  <c r="AF84" i="7"/>
  <c r="AF85" i="7"/>
  <c r="AF86" i="7"/>
  <c r="AF87" i="7"/>
  <c r="AF88" i="7"/>
  <c r="AF89" i="7"/>
  <c r="AF90" i="7"/>
  <c r="AF91" i="7"/>
  <c r="AF92" i="7"/>
  <c r="AF93" i="7"/>
  <c r="AF94" i="7"/>
  <c r="AF95" i="7"/>
  <c r="AF96" i="7"/>
  <c r="AF97" i="7"/>
  <c r="AG63" i="7"/>
  <c r="AF98" i="7"/>
  <c r="AF99" i="7"/>
  <c r="AF131" i="7"/>
  <c r="AF132" i="7"/>
  <c r="AF133" i="7"/>
  <c r="AF134" i="7"/>
  <c r="AF135" i="7"/>
  <c r="AF136" i="7"/>
  <c r="AG136" i="7" s="1"/>
  <c r="AF137" i="7"/>
  <c r="AF225" i="7"/>
  <c r="AF295" i="7"/>
  <c r="AG295" i="7" s="1"/>
  <c r="AF294" i="7"/>
  <c r="AG294" i="7" s="1"/>
  <c r="AF293" i="7"/>
  <c r="AG293" i="7" s="1"/>
  <c r="AF292" i="7"/>
  <c r="AG292" i="7" s="1"/>
  <c r="AF291" i="7"/>
  <c r="AG291" i="7" s="1"/>
  <c r="AF290" i="7"/>
  <c r="AG290" i="7" s="1"/>
  <c r="AF289" i="7"/>
  <c r="AG289" i="7" s="1"/>
  <c r="AG284" i="7"/>
  <c r="AG64" i="7"/>
  <c r="AG65" i="7"/>
  <c r="AG66" i="7"/>
  <c r="AG67" i="7"/>
  <c r="AG68" i="7"/>
  <c r="AG69" i="7"/>
  <c r="AG70" i="7"/>
  <c r="AG71" i="7"/>
  <c r="AG72" i="7"/>
  <c r="AG73" i="7"/>
  <c r="AG74" i="7"/>
  <c r="AG75" i="7"/>
  <c r="AG76" i="7"/>
  <c r="AG77" i="7"/>
  <c r="AG78" i="7"/>
  <c r="AG79" i="7"/>
  <c r="AG80" i="7"/>
  <c r="AG81" i="7"/>
  <c r="AG82" i="7"/>
  <c r="AG83" i="7"/>
  <c r="AG84" i="7"/>
  <c r="AG85" i="7"/>
  <c r="AG86" i="7"/>
  <c r="AG87" i="7"/>
  <c r="AG88" i="7"/>
  <c r="AG89" i="7"/>
  <c r="AG90" i="7"/>
  <c r="AG91" i="7"/>
  <c r="AG92" i="7"/>
  <c r="AG93" i="7"/>
  <c r="AG94" i="7"/>
  <c r="AG95" i="7"/>
  <c r="AG96" i="7"/>
  <c r="AG97" i="7"/>
  <c r="AG98" i="7"/>
  <c r="AG99" i="7"/>
  <c r="AG131" i="7"/>
  <c r="AG132" i="7"/>
  <c r="AG133" i="7"/>
  <c r="AG134" i="7"/>
  <c r="AG135" i="7"/>
  <c r="AG137" i="7"/>
  <c r="AG225" i="7"/>
  <c r="AG285" i="7"/>
  <c r="AG286" i="7"/>
  <c r="AF288" i="7"/>
  <c r="AF287" i="7"/>
  <c r="AF286" i="7"/>
  <c r="AF285" i="7"/>
  <c r="AF284" i="7"/>
  <c r="V63" i="7"/>
  <c r="V74" i="7"/>
  <c r="V73" i="7"/>
  <c r="Y73" i="7" s="1"/>
  <c r="AJ73" i="7"/>
  <c r="AL73" i="7" s="1"/>
  <c r="AM73" i="7" s="1" a="1"/>
  <c r="V75" i="7"/>
  <c r="V76" i="7"/>
  <c r="V77" i="7"/>
  <c r="V78" i="7"/>
  <c r="V137" i="7"/>
  <c r="Y137" i="7" s="1"/>
  <c r="V97" i="7"/>
  <c r="Y97" i="7" s="1"/>
  <c r="V96" i="7"/>
  <c r="Y96" i="7" s="1"/>
  <c r="V95" i="7"/>
  <c r="AJ95" i="7" s="1"/>
  <c r="AL95" i="7" s="1"/>
  <c r="AE157" i="7"/>
  <c r="AD157" i="7"/>
  <c r="AA157" i="7"/>
  <c r="Z157" i="7"/>
  <c r="AE155" i="7"/>
  <c r="AD155" i="7"/>
  <c r="AA155" i="7"/>
  <c r="Z155" i="7"/>
  <c r="AE152" i="7"/>
  <c r="AD152" i="7"/>
  <c r="AA152" i="7"/>
  <c r="Z152" i="7"/>
  <c r="AE150" i="7"/>
  <c r="AD150" i="7"/>
  <c r="AA150" i="7"/>
  <c r="Z150" i="7"/>
  <c r="V150" i="7" s="1"/>
  <c r="Y150" i="7" s="1"/>
  <c r="AE146" i="7"/>
  <c r="AD146" i="7"/>
  <c r="AA146" i="7"/>
  <c r="Z146" i="7"/>
  <c r="AE144" i="7"/>
  <c r="AD144" i="7"/>
  <c r="AA144" i="7"/>
  <c r="Z144" i="7"/>
  <c r="AB141" i="7"/>
  <c r="AC141" i="7" s="1"/>
  <c r="AA141" i="7"/>
  <c r="Z141" i="7"/>
  <c r="AB139" i="7"/>
  <c r="AC139" i="7" s="1"/>
  <c r="AA139" i="7"/>
  <c r="Z139" i="7"/>
  <c r="L15" i="2"/>
  <c r="L14" i="2"/>
  <c r="F15" i="2"/>
  <c r="F14" i="2"/>
  <c r="M12" i="2"/>
  <c r="L12" i="2"/>
  <c r="M13" i="2"/>
  <c r="L13" i="2"/>
  <c r="K13" i="2"/>
  <c r="M11" i="2"/>
  <c r="L11" i="2"/>
  <c r="M10" i="2"/>
  <c r="L10" i="2"/>
  <c r="M9" i="2"/>
  <c r="L8" i="2"/>
  <c r="L7" i="2"/>
  <c r="M7" i="2"/>
  <c r="M8" i="2"/>
  <c r="L9" i="2"/>
  <c r="K9" i="2"/>
  <c r="G9" i="2"/>
  <c r="F9" i="2"/>
  <c r="E9" i="2"/>
  <c r="Y75" i="7" l="1"/>
  <c r="AJ75" i="7"/>
  <c r="AL75" i="7" s="1"/>
  <c r="AM75" i="7" s="1" a="1"/>
  <c r="AJ74" i="7"/>
  <c r="AL74" i="7" s="1"/>
  <c r="AM74" i="7" s="1" a="1"/>
  <c r="Y74" i="7"/>
  <c r="AB152" i="7"/>
  <c r="AC152" i="7" s="1"/>
  <c r="Y77" i="7"/>
  <c r="AJ77" i="7"/>
  <c r="AL77" i="7" s="1"/>
  <c r="AM77" i="7" s="1" a="1"/>
  <c r="Y78" i="7"/>
  <c r="AJ78" i="7"/>
  <c r="AL78" i="7" s="1"/>
  <c r="AM78" i="7" s="1" a="1"/>
  <c r="Y76" i="7"/>
  <c r="AJ76" i="7"/>
  <c r="AL76" i="7" s="1"/>
  <c r="AM76" i="7" s="1" a="1"/>
  <c r="V157" i="7"/>
  <c r="AB155" i="7"/>
  <c r="AC155" i="7" s="1"/>
  <c r="V152" i="7"/>
  <c r="AJ152" i="7" s="1"/>
  <c r="AL152" i="7" s="1"/>
  <c r="AJ97" i="7"/>
  <c r="AL97" i="7" s="1"/>
  <c r="AJ137" i="7"/>
  <c r="AL137" i="7" s="1"/>
  <c r="AM137" i="7" s="1" a="1"/>
  <c r="AJ96" i="7"/>
  <c r="AL96" i="7" s="1"/>
  <c r="Y95" i="7"/>
  <c r="AB150" i="7"/>
  <c r="AC150" i="7" s="1"/>
  <c r="V155" i="7"/>
  <c r="V146" i="7"/>
  <c r="V139" i="7"/>
  <c r="X139" i="7" s="1"/>
  <c r="AB144" i="7"/>
  <c r="AC144" i="7" s="1"/>
  <c r="AB157" i="7"/>
  <c r="AC157" i="7" s="1"/>
  <c r="W150" i="7"/>
  <c r="X150" i="7"/>
  <c r="AJ150" i="7"/>
  <c r="AL150" i="7" s="1"/>
  <c r="AB146" i="7"/>
  <c r="AC146" i="7" s="1"/>
  <c r="V144" i="7"/>
  <c r="Y144" i="7" s="1"/>
  <c r="V141" i="7"/>
  <c r="K8" i="2"/>
  <c r="K7" i="2"/>
  <c r="Y146" i="7" l="1"/>
  <c r="W146" i="7"/>
  <c r="Y155" i="7"/>
  <c r="W155" i="7"/>
  <c r="Y157" i="7"/>
  <c r="AJ157" i="7"/>
  <c r="AL157" i="7" s="1"/>
  <c r="AM157" i="7" s="1" a="1"/>
  <c r="W157" i="7"/>
  <c r="X157" i="7"/>
  <c r="X141" i="7"/>
  <c r="Y141" i="7"/>
  <c r="Y152" i="7"/>
  <c r="W152" i="7"/>
  <c r="X152" i="7"/>
  <c r="Y139" i="7"/>
  <c r="AJ146" i="7"/>
  <c r="AL146" i="7" s="1"/>
  <c r="X146" i="7"/>
  <c r="AJ139" i="7"/>
  <c r="AL139" i="7" s="1"/>
  <c r="AM139" i="7" s="1" a="1"/>
  <c r="W139" i="7"/>
  <c r="AJ155" i="7"/>
  <c r="AL155" i="7" s="1"/>
  <c r="AM155" i="7" s="1" a="1"/>
  <c r="X155" i="7"/>
  <c r="AJ144" i="7"/>
  <c r="AL144" i="7" s="1"/>
  <c r="X144" i="7"/>
  <c r="W144" i="7"/>
  <c r="AJ141" i="7"/>
  <c r="AL141" i="7" s="1"/>
  <c r="AM141" i="7" s="1" a="1"/>
  <c r="W141" i="7"/>
  <c r="AA298" i="7"/>
  <c r="Z298" i="7"/>
  <c r="AA297" i="7"/>
  <c r="AA296" i="7"/>
  <c r="Z297" i="7"/>
  <c r="Z296" i="7"/>
  <c r="Q297" i="7"/>
  <c r="Q296" i="7"/>
  <c r="AA124" i="7"/>
  <c r="V124" i="7" s="1"/>
  <c r="Y124" i="7" s="1"/>
  <c r="AA121" i="7"/>
  <c r="V121" i="7" s="1"/>
  <c r="Y121" i="7" s="1"/>
  <c r="S2" i="4"/>
  <c r="R12" i="4"/>
  <c r="T11" i="4"/>
  <c r="T10" i="4"/>
  <c r="S10" i="4"/>
  <c r="T9" i="4"/>
  <c r="S9" i="4"/>
  <c r="T8" i="4"/>
  <c r="S8" i="4"/>
  <c r="T7" i="4"/>
  <c r="S7" i="4"/>
  <c r="T6" i="4"/>
  <c r="S6" i="4"/>
  <c r="T5" i="4"/>
  <c r="S5" i="4"/>
  <c r="T4" i="4"/>
  <c r="S4" i="4"/>
  <c r="R3" i="4"/>
  <c r="T3" i="4" s="1"/>
  <c r="R2" i="4"/>
  <c r="Q3" i="4"/>
  <c r="Q4" i="4"/>
  <c r="Q5" i="4"/>
  <c r="Q6" i="4"/>
  <c r="Q7" i="4"/>
  <c r="Q8" i="4"/>
  <c r="Q9" i="4"/>
  <c r="Q10" i="4"/>
  <c r="Q11" i="4"/>
  <c r="Q12" i="4"/>
  <c r="Q2" i="4"/>
  <c r="F6" i="4"/>
  <c r="G6" i="4"/>
  <c r="F4" i="4"/>
  <c r="G3" i="4"/>
  <c r="G8" i="4"/>
  <c r="G9" i="4"/>
  <c r="G10" i="4"/>
  <c r="G11" i="4"/>
  <c r="F2" i="4"/>
  <c r="G2" i="4" s="1"/>
  <c r="L3" i="4"/>
  <c r="M3" i="4" s="1"/>
  <c r="L2" i="4"/>
  <c r="V298" i="7" l="1"/>
  <c r="AJ298" i="7" s="1"/>
  <c r="AL298" i="7" s="1"/>
  <c r="V296" i="7"/>
  <c r="AJ296" i="7" s="1"/>
  <c r="AL296" i="7" s="1"/>
  <c r="V297" i="7"/>
  <c r="AJ297" i="7" s="1"/>
  <c r="AL297" i="7" s="1"/>
  <c r="W121" i="7"/>
  <c r="X124" i="7"/>
  <c r="AJ124" i="7"/>
  <c r="AL124" i="7" s="1"/>
  <c r="W124" i="7"/>
  <c r="X121" i="7"/>
  <c r="AJ121" i="7"/>
  <c r="AL121" i="7" s="1"/>
  <c r="T2" i="4"/>
  <c r="T12" i="4" s="1"/>
  <c r="S3" i="4"/>
  <c r="G4" i="4"/>
  <c r="M4" i="4" s="1"/>
  <c r="N2" i="4"/>
  <c r="M2" i="4"/>
  <c r="H2" i="4"/>
  <c r="I2" i="4" s="1"/>
  <c r="I7" i="4"/>
  <c r="F7" i="4"/>
  <c r="P10" i="4"/>
  <c r="M10" i="4"/>
  <c r="P9" i="4"/>
  <c r="M9" i="4"/>
  <c r="I9" i="4"/>
  <c r="N9" i="4" s="1"/>
  <c r="I10" i="4"/>
  <c r="N10" i="4" s="1"/>
  <c r="M8" i="4"/>
  <c r="F5" i="4"/>
  <c r="P4" i="4"/>
  <c r="I3" i="4"/>
  <c r="N3" i="4" s="1"/>
  <c r="I5" i="4"/>
  <c r="I6" i="4"/>
  <c r="N6" i="4" s="1"/>
  <c r="I8" i="4"/>
  <c r="N8" i="4" s="1"/>
  <c r="I11" i="4"/>
  <c r="N11" i="4" s="1"/>
  <c r="V295" i="7"/>
  <c r="Y295" i="7" s="1"/>
  <c r="V294" i="7"/>
  <c r="Y294" i="7" s="1"/>
  <c r="V293" i="7"/>
  <c r="Y293" i="7" s="1"/>
  <c r="V292" i="7"/>
  <c r="AJ292" i="7" s="1"/>
  <c r="AL292" i="7" s="1"/>
  <c r="AM292" i="7" s="1" a="1"/>
  <c r="V291" i="7"/>
  <c r="Y291" i="7" s="1"/>
  <c r="V290" i="7"/>
  <c r="Y290" i="7" s="1"/>
  <c r="V289" i="7"/>
  <c r="Y289" i="7" s="1"/>
  <c r="V288" i="7"/>
  <c r="AJ288" i="7" s="1"/>
  <c r="AL288" i="7" s="1"/>
  <c r="AM288" i="7" s="1" a="1"/>
  <c r="V287" i="7"/>
  <c r="V286" i="7"/>
  <c r="Y286" i="7" s="1"/>
  <c r="Q288" i="7"/>
  <c r="Q287" i="7"/>
  <c r="V285" i="7"/>
  <c r="Y285" i="7" s="1"/>
  <c r="V284" i="7"/>
  <c r="Y284" i="7" s="1"/>
  <c r="O2" i="4"/>
  <c r="O3" i="4"/>
  <c r="AA283" i="7"/>
  <c r="AA282" i="7"/>
  <c r="AA281" i="7"/>
  <c r="AA280" i="7"/>
  <c r="AA279" i="7"/>
  <c r="Z283" i="7"/>
  <c r="Z282" i="7"/>
  <c r="Z281" i="7"/>
  <c r="Z280" i="7"/>
  <c r="Z279" i="7"/>
  <c r="AG288" i="7" l="1"/>
  <c r="AI288" i="7"/>
  <c r="AG287" i="7"/>
  <c r="AI287" i="7"/>
  <c r="S12" i="4"/>
  <c r="G5" i="4"/>
  <c r="M5" i="4" s="1"/>
  <c r="N5" i="4"/>
  <c r="G7" i="4"/>
  <c r="P7" i="4" s="1"/>
  <c r="N7" i="4"/>
  <c r="P8" i="4"/>
  <c r="L12" i="4"/>
  <c r="O12" i="4"/>
  <c r="P5" i="4"/>
  <c r="M6" i="4"/>
  <c r="P6" i="4"/>
  <c r="P3" i="4"/>
  <c r="Y287" i="7"/>
  <c r="AJ295" i="7"/>
  <c r="AL295" i="7" s="1"/>
  <c r="AM295" i="7" s="1" a="1"/>
  <c r="AJ287" i="7"/>
  <c r="AL287" i="7" s="1"/>
  <c r="AM287" i="7" s="1" a="1"/>
  <c r="AJ294" i="7"/>
  <c r="AL294" i="7" s="1"/>
  <c r="AM294" i="7" s="1" a="1"/>
  <c r="AJ293" i="7"/>
  <c r="AL293" i="7" s="1"/>
  <c r="AM293" i="7" s="1" a="1"/>
  <c r="AJ286" i="7"/>
  <c r="AL286" i="7" s="1"/>
  <c r="AM286" i="7" s="1" a="1"/>
  <c r="AJ291" i="7"/>
  <c r="AL291" i="7" s="1"/>
  <c r="AM291" i="7" s="1" a="1"/>
  <c r="Y288" i="7"/>
  <c r="Y292" i="7"/>
  <c r="AJ289" i="7"/>
  <c r="AL289" i="7" s="1"/>
  <c r="AM289" i="7" s="1" a="1"/>
  <c r="AJ290" i="7"/>
  <c r="AL290" i="7" s="1"/>
  <c r="AM290" i="7" s="1" a="1"/>
  <c r="AJ285" i="7"/>
  <c r="AL285" i="7" s="1"/>
  <c r="AM285" i="7" s="1" a="1"/>
  <c r="AJ284" i="7"/>
  <c r="AL284" i="7" s="1"/>
  <c r="AM284" i="7" s="1" a="1"/>
  <c r="V282" i="7"/>
  <c r="V283" i="7"/>
  <c r="V280" i="7"/>
  <c r="V281" i="7"/>
  <c r="V279" i="7"/>
  <c r="W279" i="7" s="1"/>
  <c r="M7" i="4" l="1"/>
  <c r="W283" i="7"/>
  <c r="W281" i="7"/>
  <c r="W280" i="7"/>
  <c r="W282" i="7"/>
  <c r="X282" i="7"/>
  <c r="Y282" i="7"/>
  <c r="Y280" i="7"/>
  <c r="X280" i="7"/>
  <c r="Y283" i="7"/>
  <c r="X283" i="7"/>
  <c r="Y281" i="7"/>
  <c r="X281" i="7"/>
  <c r="Y279" i="7"/>
  <c r="X279" i="7"/>
  <c r="AJ279" i="7" l="1"/>
  <c r="AJ280" i="7"/>
  <c r="AJ281" i="7"/>
  <c r="AJ282" i="7"/>
  <c r="AJ283" i="7"/>
  <c r="P282" i="7"/>
  <c r="P281" i="7"/>
  <c r="P280" i="7"/>
  <c r="P279" i="7"/>
  <c r="AL283" i="7" l="1"/>
  <c r="AM283" i="7" s="1" a="1"/>
  <c r="AL280" i="7"/>
  <c r="AM280" i="7" s="1" a="1"/>
  <c r="AL279" i="7"/>
  <c r="AM279" i="7" s="1" a="1"/>
  <c r="AL282" i="7"/>
  <c r="AM282" i="7" s="1" a="1"/>
  <c r="AL281" i="7"/>
  <c r="AM281" i="7" s="1" a="1"/>
  <c r="AJ48" i="7"/>
  <c r="AJ99" i="7"/>
  <c r="AJ208" i="7"/>
  <c r="AJ7" i="7"/>
  <c r="AJ8" i="7"/>
  <c r="AJ9" i="7"/>
  <c r="AJ10" i="7"/>
  <c r="AJ11" i="7"/>
  <c r="Q278" i="7"/>
  <c r="AA278" i="7" s="1"/>
  <c r="Q277" i="7"/>
  <c r="AA277" i="7" s="1"/>
  <c r="AA276" i="7"/>
  <c r="V276" i="7" s="1"/>
  <c r="AA275" i="7"/>
  <c r="V275" i="7" s="1"/>
  <c r="Z274" i="7"/>
  <c r="V274" i="7" s="1"/>
  <c r="AA273" i="7"/>
  <c r="Z273" i="7"/>
  <c r="AA272" i="7"/>
  <c r="Z272" i="7"/>
  <c r="AA271" i="7"/>
  <c r="Z271" i="7"/>
  <c r="AA270" i="7"/>
  <c r="Z270" i="7"/>
  <c r="Z269" i="7"/>
  <c r="V269" i="7" s="1"/>
  <c r="Z268" i="7"/>
  <c r="V268" i="7" s="1"/>
  <c r="AA267" i="7"/>
  <c r="V267" i="7" s="1"/>
  <c r="AA266" i="7"/>
  <c r="V266" i="7" s="1"/>
  <c r="AA265" i="7"/>
  <c r="Z265" i="7"/>
  <c r="AA264" i="7"/>
  <c r="V264" i="7" s="1"/>
  <c r="AA263" i="7"/>
  <c r="V263" i="7" s="1"/>
  <c r="AA262" i="7"/>
  <c r="V262" i="7" s="1"/>
  <c r="AA261" i="7"/>
  <c r="V261" i="7" s="1"/>
  <c r="AA260" i="7"/>
  <c r="V260" i="7" s="1"/>
  <c r="AJ260" i="7" s="1"/>
  <c r="AA259" i="7"/>
  <c r="V259" i="7" s="1"/>
  <c r="AA258" i="7"/>
  <c r="V258" i="7" s="1"/>
  <c r="AA257" i="7"/>
  <c r="V257" i="7" s="1"/>
  <c r="AA256" i="7"/>
  <c r="V256" i="7" s="1"/>
  <c r="AA255" i="7"/>
  <c r="V255" i="7" s="1"/>
  <c r="AA254" i="7"/>
  <c r="Z254" i="7"/>
  <c r="AA253" i="7"/>
  <c r="Z253" i="7"/>
  <c r="AA252" i="7"/>
  <c r="Z252" i="7"/>
  <c r="V251" i="7"/>
  <c r="V250" i="7"/>
  <c r="V249" i="7"/>
  <c r="V248" i="7"/>
  <c r="V247" i="7"/>
  <c r="V246" i="7"/>
  <c r="V245" i="7"/>
  <c r="AA244" i="7"/>
  <c r="Z244" i="7"/>
  <c r="AA243" i="7"/>
  <c r="Z243" i="7"/>
  <c r="V242" i="7"/>
  <c r="V241" i="7"/>
  <c r="V240" i="7"/>
  <c r="V239" i="7"/>
  <c r="AA238" i="7"/>
  <c r="V238" i="7" s="1"/>
  <c r="AA237" i="7"/>
  <c r="V237" i="7" s="1"/>
  <c r="AA236" i="7"/>
  <c r="V236" i="7" s="1"/>
  <c r="AA235" i="7"/>
  <c r="V235" i="7" s="1"/>
  <c r="AA234" i="7"/>
  <c r="V234" i="7" s="1"/>
  <c r="AA233" i="7"/>
  <c r="V233" i="7" s="1"/>
  <c r="AA232" i="7"/>
  <c r="V232" i="7" s="1"/>
  <c r="AA231" i="7"/>
  <c r="V231" i="7" s="1"/>
  <c r="Z230" i="7"/>
  <c r="V230" i="7" s="1"/>
  <c r="V229" i="7"/>
  <c r="V228" i="7"/>
  <c r="V227" i="7"/>
  <c r="V226" i="7"/>
  <c r="V225" i="7"/>
  <c r="Q224" i="7"/>
  <c r="Q223" i="7"/>
  <c r="AE223" i="7" s="1"/>
  <c r="Q222" i="7"/>
  <c r="Q221" i="7"/>
  <c r="AE221" i="7" s="1"/>
  <c r="AE220" i="7"/>
  <c r="AD220" i="7"/>
  <c r="AA220" i="7"/>
  <c r="Z220" i="7"/>
  <c r="AE219" i="7"/>
  <c r="AD219" i="7"/>
  <c r="AA219" i="7"/>
  <c r="Z219" i="7"/>
  <c r="AE218" i="7"/>
  <c r="AD218" i="7"/>
  <c r="AA218" i="7"/>
  <c r="Z218" i="7"/>
  <c r="AE217" i="7"/>
  <c r="AD217" i="7"/>
  <c r="AA217" i="7"/>
  <c r="Z217" i="7"/>
  <c r="AE216" i="7"/>
  <c r="AD216" i="7"/>
  <c r="AA216" i="7"/>
  <c r="Z216" i="7"/>
  <c r="AE215" i="7"/>
  <c r="AD215" i="7"/>
  <c r="AA215" i="7"/>
  <c r="Z215" i="7"/>
  <c r="AE214" i="7"/>
  <c r="AD214" i="7"/>
  <c r="AA214" i="7"/>
  <c r="Z214" i="7"/>
  <c r="AE213" i="7"/>
  <c r="AD213" i="7"/>
  <c r="AA213" i="7"/>
  <c r="Z213" i="7"/>
  <c r="AE212" i="7"/>
  <c r="AD212" i="7"/>
  <c r="AA212" i="7"/>
  <c r="Z212" i="7"/>
  <c r="AE211" i="7"/>
  <c r="AD211" i="7"/>
  <c r="AA211" i="7"/>
  <c r="Z211" i="7"/>
  <c r="Q210" i="7"/>
  <c r="AE210" i="7" s="1"/>
  <c r="Q209" i="7"/>
  <c r="Z209" i="7" s="1"/>
  <c r="AA208" i="7"/>
  <c r="Z208" i="7"/>
  <c r="X208" i="7"/>
  <c r="W208" i="7"/>
  <c r="Q207" i="7"/>
  <c r="Z207" i="7" s="1"/>
  <c r="Q206" i="7"/>
  <c r="AE205" i="7"/>
  <c r="AD205" i="7"/>
  <c r="AA205" i="7"/>
  <c r="Z205" i="7"/>
  <c r="AE204" i="7"/>
  <c r="AD204" i="7"/>
  <c r="AA204" i="7"/>
  <c r="Z204" i="7"/>
  <c r="AE203" i="7"/>
  <c r="AD203" i="7"/>
  <c r="AA203" i="7"/>
  <c r="Z203" i="7"/>
  <c r="AE202" i="7"/>
  <c r="AD202" i="7"/>
  <c r="AA202" i="7"/>
  <c r="Z202" i="7"/>
  <c r="AE201" i="7"/>
  <c r="AD201" i="7"/>
  <c r="AA201" i="7"/>
  <c r="Z201" i="7"/>
  <c r="AE200" i="7"/>
  <c r="AD200" i="7"/>
  <c r="AA200" i="7"/>
  <c r="Z200" i="7"/>
  <c r="AE199" i="7"/>
  <c r="AD199" i="7"/>
  <c r="AA199" i="7"/>
  <c r="Z199" i="7"/>
  <c r="AE198" i="7"/>
  <c r="AD198" i="7"/>
  <c r="AA198" i="7"/>
  <c r="Z198" i="7"/>
  <c r="AE197" i="7"/>
  <c r="AD197" i="7"/>
  <c r="AA197" i="7"/>
  <c r="Z197" i="7"/>
  <c r="AE196" i="7"/>
  <c r="AD196" i="7"/>
  <c r="AA196" i="7"/>
  <c r="Z196" i="7"/>
  <c r="AB195" i="7"/>
  <c r="AC195" i="7" s="1"/>
  <c r="AA195" i="7"/>
  <c r="Z195" i="7"/>
  <c r="AB194" i="7"/>
  <c r="AC194" i="7" s="1"/>
  <c r="AA194" i="7"/>
  <c r="Z194" i="7"/>
  <c r="AB193" i="7"/>
  <c r="AC193" i="7" s="1"/>
  <c r="AA193" i="7"/>
  <c r="Z193" i="7"/>
  <c r="AE192" i="7"/>
  <c r="AD192" i="7"/>
  <c r="AA192" i="7"/>
  <c r="Z192" i="7"/>
  <c r="AE191" i="7"/>
  <c r="AD191" i="7"/>
  <c r="AA191" i="7"/>
  <c r="Z191" i="7"/>
  <c r="AB190" i="7"/>
  <c r="AC190" i="7" s="1"/>
  <c r="AA190" i="7"/>
  <c r="Z190" i="7"/>
  <c r="AB189" i="7"/>
  <c r="AC189" i="7" s="1"/>
  <c r="AA189" i="7"/>
  <c r="Z189" i="7"/>
  <c r="AB188" i="7"/>
  <c r="AC188" i="7" s="1"/>
  <c r="AA188" i="7"/>
  <c r="Z188" i="7"/>
  <c r="AB187" i="7"/>
  <c r="AC187" i="7" s="1"/>
  <c r="Z187" i="7"/>
  <c r="V187" i="7" s="1"/>
  <c r="AE186" i="7"/>
  <c r="AD186" i="7"/>
  <c r="AA186" i="7"/>
  <c r="Z186" i="7"/>
  <c r="AB185" i="7"/>
  <c r="AC185" i="7" s="1"/>
  <c r="AA185" i="7"/>
  <c r="Z185" i="7"/>
  <c r="AD184" i="7"/>
  <c r="AB184" i="7" s="1"/>
  <c r="AC184" i="7" s="1"/>
  <c r="Z184" i="7"/>
  <c r="V184" i="7" s="1"/>
  <c r="AE183" i="7"/>
  <c r="AD183" i="7"/>
  <c r="AA183" i="7"/>
  <c r="Z183" i="7"/>
  <c r="AB182" i="7"/>
  <c r="AC182" i="7" s="1"/>
  <c r="AA182" i="7"/>
  <c r="Z182" i="7"/>
  <c r="AB181" i="7"/>
  <c r="AC181" i="7" s="1"/>
  <c r="AA181" i="7"/>
  <c r="Z181" i="7"/>
  <c r="AB180" i="7"/>
  <c r="AC180" i="7" s="1"/>
  <c r="AA180" i="7"/>
  <c r="Z180" i="7"/>
  <c r="AE179" i="7"/>
  <c r="AD179" i="7"/>
  <c r="AA179" i="7"/>
  <c r="Z179" i="7"/>
  <c r="AE178" i="7"/>
  <c r="AD178" i="7"/>
  <c r="AA178" i="7"/>
  <c r="Z178" i="7"/>
  <c r="AE177" i="7"/>
  <c r="AD177" i="7"/>
  <c r="AA177" i="7"/>
  <c r="Z177" i="7"/>
  <c r="AE176" i="7"/>
  <c r="AD176" i="7"/>
  <c r="AA176" i="7"/>
  <c r="Z176" i="7"/>
  <c r="AE175" i="7"/>
  <c r="AD175" i="7"/>
  <c r="AA175" i="7"/>
  <c r="Z175" i="7"/>
  <c r="AE174" i="7"/>
  <c r="AD174" i="7"/>
  <c r="AA174" i="7"/>
  <c r="Z174" i="7"/>
  <c r="AE173" i="7"/>
  <c r="AD173" i="7"/>
  <c r="AA173" i="7"/>
  <c r="Z173" i="7"/>
  <c r="AB172" i="7"/>
  <c r="AC172" i="7" s="1"/>
  <c r="AA172" i="7"/>
  <c r="Z172" i="7"/>
  <c r="AE171" i="7"/>
  <c r="AD171" i="7"/>
  <c r="AA171" i="7"/>
  <c r="Z171" i="7"/>
  <c r="AE170" i="7"/>
  <c r="AD170" i="7"/>
  <c r="AA170" i="7"/>
  <c r="Z170" i="7"/>
  <c r="AE169" i="7"/>
  <c r="AD169" i="7"/>
  <c r="AA169" i="7"/>
  <c r="Z169" i="7"/>
  <c r="AE168" i="7"/>
  <c r="AD168" i="7"/>
  <c r="AA168" i="7"/>
  <c r="Z168" i="7"/>
  <c r="AE167" i="7"/>
  <c r="AD167" i="7"/>
  <c r="AA167" i="7"/>
  <c r="Z167" i="7"/>
  <c r="AE166" i="7"/>
  <c r="AD166" i="7"/>
  <c r="AA166" i="7"/>
  <c r="Z166" i="7"/>
  <c r="AE165" i="7"/>
  <c r="AD165" i="7"/>
  <c r="AA165" i="7"/>
  <c r="Z165" i="7"/>
  <c r="AE164" i="7"/>
  <c r="AD164" i="7"/>
  <c r="AA164" i="7"/>
  <c r="Z164" i="7"/>
  <c r="AB163" i="7"/>
  <c r="AC163" i="7" s="1"/>
  <c r="AA163" i="7"/>
  <c r="Z163" i="7"/>
  <c r="AB162" i="7"/>
  <c r="AC162" i="7" s="1"/>
  <c r="AA162" i="7"/>
  <c r="Z162" i="7"/>
  <c r="AB161" i="7"/>
  <c r="AC161" i="7" s="1"/>
  <c r="AA161" i="7"/>
  <c r="Z161" i="7"/>
  <c r="AB160" i="7"/>
  <c r="AC160" i="7" s="1"/>
  <c r="AA160" i="7"/>
  <c r="Z160" i="7"/>
  <c r="AE159" i="7"/>
  <c r="AD159" i="7"/>
  <c r="AA159" i="7"/>
  <c r="Z159" i="7"/>
  <c r="AE158" i="7"/>
  <c r="AD158" i="7"/>
  <c r="AA158" i="7"/>
  <c r="Z158" i="7"/>
  <c r="AE156" i="7"/>
  <c r="AD156" i="7"/>
  <c r="AA156" i="7"/>
  <c r="Z156" i="7"/>
  <c r="AE154" i="7"/>
  <c r="AD154" i="7"/>
  <c r="AA154" i="7"/>
  <c r="Z154" i="7"/>
  <c r="AE153" i="7"/>
  <c r="AD153" i="7"/>
  <c r="AA153" i="7"/>
  <c r="Z153" i="7"/>
  <c r="AE151" i="7"/>
  <c r="AD151" i="7"/>
  <c r="AA151" i="7"/>
  <c r="Z151" i="7"/>
  <c r="AE149" i="7"/>
  <c r="AD149" i="7"/>
  <c r="AA149" i="7"/>
  <c r="Z149" i="7"/>
  <c r="AB148" i="7"/>
  <c r="AC148" i="7" s="1"/>
  <c r="AA148" i="7"/>
  <c r="Z148" i="7"/>
  <c r="AE147" i="7"/>
  <c r="AD147" i="7"/>
  <c r="AA147" i="7"/>
  <c r="Z147" i="7"/>
  <c r="AE145" i="7"/>
  <c r="AD145" i="7"/>
  <c r="AA145" i="7"/>
  <c r="Z145" i="7"/>
  <c r="AE143" i="7"/>
  <c r="AD143" i="7"/>
  <c r="AA143" i="7"/>
  <c r="Z143" i="7"/>
  <c r="AB142" i="7"/>
  <c r="AC142" i="7" s="1"/>
  <c r="AA142" i="7"/>
  <c r="Z142" i="7"/>
  <c r="AB140" i="7"/>
  <c r="AC140" i="7" s="1"/>
  <c r="AA140" i="7"/>
  <c r="Z140" i="7"/>
  <c r="AB138" i="7"/>
  <c r="AC138" i="7" s="1"/>
  <c r="AA138" i="7"/>
  <c r="Z138" i="7"/>
  <c r="V136" i="7"/>
  <c r="V135" i="7"/>
  <c r="V134" i="7"/>
  <c r="V133" i="7"/>
  <c r="V132" i="7"/>
  <c r="V131" i="7"/>
  <c r="Z130" i="7"/>
  <c r="V130" i="7" s="1"/>
  <c r="Z129" i="7"/>
  <c r="V129" i="7" s="1"/>
  <c r="Z128" i="7"/>
  <c r="V128" i="7" s="1"/>
  <c r="Z127" i="7"/>
  <c r="V127" i="7" s="1"/>
  <c r="Z126" i="7"/>
  <c r="V126" i="7" s="1"/>
  <c r="Z125" i="7"/>
  <c r="V125" i="7" s="1"/>
  <c r="AA123" i="7"/>
  <c r="V123" i="7" s="1"/>
  <c r="AA122" i="7"/>
  <c r="V122" i="7" s="1"/>
  <c r="AA120" i="7"/>
  <c r="V120" i="7" s="1"/>
  <c r="AA119" i="7"/>
  <c r="V119" i="7" s="1"/>
  <c r="AA118" i="7"/>
  <c r="V118" i="7" s="1"/>
  <c r="AA117" i="7"/>
  <c r="V117" i="7" s="1"/>
  <c r="Z116" i="7"/>
  <c r="V116" i="7" s="1"/>
  <c r="AA115" i="7"/>
  <c r="V115" i="7" s="1"/>
  <c r="W115" i="7" s="1"/>
  <c r="AA114" i="7"/>
  <c r="V114" i="7" s="1"/>
  <c r="X114" i="7" s="1"/>
  <c r="AA113" i="7"/>
  <c r="Z113" i="7"/>
  <c r="AA112" i="7"/>
  <c r="Z112" i="7"/>
  <c r="AA111" i="7"/>
  <c r="Z111" i="7"/>
  <c r="AA110" i="7"/>
  <c r="Z110" i="7"/>
  <c r="AA109" i="7"/>
  <c r="V109" i="7" s="1"/>
  <c r="AJ109" i="7" s="1"/>
  <c r="AA108" i="7"/>
  <c r="V108" i="7" s="1"/>
  <c r="AJ108" i="7" s="1"/>
  <c r="AA107" i="7"/>
  <c r="V107" i="7" s="1"/>
  <c r="AJ107" i="7" s="1"/>
  <c r="AA106" i="7"/>
  <c r="Z106" i="7"/>
  <c r="AA105" i="7"/>
  <c r="Z105" i="7"/>
  <c r="AA104" i="7"/>
  <c r="V104" i="7" s="1"/>
  <c r="X104" i="7" s="1"/>
  <c r="AA103" i="7"/>
  <c r="Z103" i="7"/>
  <c r="AA102" i="7"/>
  <c r="Z102" i="7"/>
  <c r="AA101" i="7"/>
  <c r="V101" i="7" s="1"/>
  <c r="AA100" i="7"/>
  <c r="Z100" i="7"/>
  <c r="Y99" i="7"/>
  <c r="Y98" i="7"/>
  <c r="V94" i="7"/>
  <c r="V93" i="7"/>
  <c r="V92" i="7"/>
  <c r="V91" i="7"/>
  <c r="V90" i="7"/>
  <c r="V89" i="7"/>
  <c r="V88" i="7"/>
  <c r="V87" i="7"/>
  <c r="V86" i="7"/>
  <c r="V85" i="7"/>
  <c r="V84" i="7"/>
  <c r="V83" i="7"/>
  <c r="V82" i="7"/>
  <c r="V81" i="7"/>
  <c r="V80" i="7"/>
  <c r="V79" i="7"/>
  <c r="V72" i="7"/>
  <c r="V71" i="7"/>
  <c r="V70" i="7"/>
  <c r="V69" i="7"/>
  <c r="V68" i="7"/>
  <c r="V67" i="7"/>
  <c r="V66" i="7"/>
  <c r="V65" i="7"/>
  <c r="V64" i="7"/>
  <c r="AE62" i="7"/>
  <c r="AD62" i="7"/>
  <c r="AA62" i="7"/>
  <c r="Z62" i="7"/>
  <c r="AE61" i="7"/>
  <c r="AD61" i="7"/>
  <c r="AA61" i="7"/>
  <c r="Z61" i="7"/>
  <c r="AE60" i="7"/>
  <c r="AD60" i="7"/>
  <c r="AA60" i="7"/>
  <c r="Z60" i="7"/>
  <c r="AE59" i="7"/>
  <c r="AD59" i="7"/>
  <c r="AA59" i="7"/>
  <c r="Z59" i="7"/>
  <c r="AE58" i="7"/>
  <c r="AD58" i="7"/>
  <c r="AA58" i="7"/>
  <c r="Z58" i="7"/>
  <c r="AE57" i="7"/>
  <c r="AD57" i="7"/>
  <c r="AA57" i="7"/>
  <c r="Z57" i="7"/>
  <c r="AE56" i="7"/>
  <c r="AD56" i="7"/>
  <c r="AA56" i="7"/>
  <c r="Z56" i="7"/>
  <c r="AE55" i="7"/>
  <c r="AD55" i="7"/>
  <c r="AA55" i="7"/>
  <c r="Z55" i="7"/>
  <c r="AE54" i="7"/>
  <c r="AD54" i="7"/>
  <c r="AA54" i="7"/>
  <c r="Z54" i="7"/>
  <c r="AE53" i="7"/>
  <c r="AD53" i="7"/>
  <c r="AA53" i="7"/>
  <c r="Z53" i="7"/>
  <c r="AE52" i="7"/>
  <c r="AD52" i="7"/>
  <c r="AA52" i="7"/>
  <c r="Z52" i="7"/>
  <c r="AE51" i="7"/>
  <c r="AD51" i="7"/>
  <c r="AA51" i="7"/>
  <c r="Z51" i="7"/>
  <c r="AE50" i="7"/>
  <c r="AD50" i="7"/>
  <c r="AA50" i="7"/>
  <c r="Z50" i="7"/>
  <c r="AE49" i="7"/>
  <c r="AD49" i="7"/>
  <c r="AA49" i="7"/>
  <c r="Z49" i="7"/>
  <c r="AE47" i="7"/>
  <c r="AD47" i="7"/>
  <c r="AA47" i="7"/>
  <c r="Z47" i="7"/>
  <c r="AE46" i="7"/>
  <c r="AD46" i="7"/>
  <c r="AA46" i="7"/>
  <c r="Z46" i="7"/>
  <c r="AE45" i="7"/>
  <c r="AD45" i="7"/>
  <c r="AA45" i="7"/>
  <c r="Z45" i="7"/>
  <c r="AE44" i="7"/>
  <c r="AD44" i="7"/>
  <c r="AA44" i="7"/>
  <c r="Z44" i="7"/>
  <c r="AE43" i="7"/>
  <c r="AD43" i="7"/>
  <c r="AA43" i="7"/>
  <c r="Z43" i="7"/>
  <c r="AE42" i="7"/>
  <c r="AD42" i="7"/>
  <c r="AA42" i="7"/>
  <c r="Z42" i="7"/>
  <c r="AE41" i="7"/>
  <c r="AD41" i="7"/>
  <c r="AA41" i="7"/>
  <c r="Z41" i="7"/>
  <c r="AE40" i="7"/>
  <c r="AD40" i="7"/>
  <c r="AA40" i="7"/>
  <c r="Z40" i="7"/>
  <c r="AE39" i="7"/>
  <c r="AD39" i="7"/>
  <c r="AA39" i="7"/>
  <c r="Z39" i="7"/>
  <c r="AE38" i="7"/>
  <c r="AD38" i="7"/>
  <c r="AA38" i="7"/>
  <c r="Z38" i="7"/>
  <c r="AE37" i="7"/>
  <c r="AD37" i="7"/>
  <c r="AA37" i="7"/>
  <c r="Z37" i="7"/>
  <c r="AE36" i="7"/>
  <c r="AD36" i="7"/>
  <c r="AA36" i="7"/>
  <c r="Z36" i="7"/>
  <c r="AE35" i="7"/>
  <c r="AD35" i="7"/>
  <c r="AA35" i="7"/>
  <c r="Z35" i="7"/>
  <c r="AE34" i="7"/>
  <c r="AD34" i="7"/>
  <c r="AA34" i="7"/>
  <c r="Z34" i="7"/>
  <c r="AE33" i="7"/>
  <c r="AD33" i="7"/>
  <c r="AA33" i="7"/>
  <c r="Z33" i="7"/>
  <c r="AE32" i="7"/>
  <c r="AD32" i="7"/>
  <c r="AA32" i="7"/>
  <c r="Z32" i="7"/>
  <c r="AE31" i="7"/>
  <c r="AD31" i="7"/>
  <c r="AA31" i="7"/>
  <c r="Z31" i="7"/>
  <c r="AA30" i="7"/>
  <c r="Z30" i="7"/>
  <c r="AA29" i="7"/>
  <c r="Z29" i="7"/>
  <c r="AA28" i="7"/>
  <c r="Z28" i="7"/>
  <c r="AA27" i="7"/>
  <c r="Z27" i="7"/>
  <c r="AA26" i="7"/>
  <c r="Z26" i="7"/>
  <c r="AA25" i="7"/>
  <c r="Z25" i="7"/>
  <c r="AA24" i="7"/>
  <c r="Z24" i="7"/>
  <c r="AA23" i="7"/>
  <c r="Z23" i="7"/>
  <c r="AA22" i="7"/>
  <c r="Z22" i="7"/>
  <c r="AA21" i="7"/>
  <c r="Z21" i="7"/>
  <c r="AA20" i="7"/>
  <c r="Z20" i="7"/>
  <c r="AA19" i="7"/>
  <c r="Z19" i="7"/>
  <c r="AA18" i="7"/>
  <c r="Z18" i="7"/>
  <c r="AA17" i="7"/>
  <c r="Z17" i="7"/>
  <c r="AA16" i="7"/>
  <c r="Z16" i="7"/>
  <c r="AA15" i="7"/>
  <c r="Z15" i="7"/>
  <c r="AA14" i="7"/>
  <c r="Z14" i="7"/>
  <c r="AA13" i="7"/>
  <c r="Z13" i="7"/>
  <c r="Z12" i="7"/>
  <c r="V12" i="7" s="1"/>
  <c r="Z6" i="7"/>
  <c r="V6" i="7" s="1"/>
  <c r="Z5" i="7"/>
  <c r="V5" i="7" s="1"/>
  <c r="Z4" i="7"/>
  <c r="V4" i="7" s="1"/>
  <c r="Z3" i="7"/>
  <c r="V3" i="7" s="1"/>
  <c r="Z2" i="7"/>
  <c r="V2" i="7" s="1"/>
  <c r="D5" i="2"/>
  <c r="C5" i="2"/>
  <c r="X101" i="7" l="1"/>
  <c r="W101" i="7"/>
  <c r="AL7" i="7"/>
  <c r="AM7" i="7" s="1" a="1"/>
  <c r="AL8" i="7"/>
  <c r="AM8" i="7" s="1" a="1"/>
  <c r="AL208" i="7"/>
  <c r="AM208" i="7" s="1" a="1"/>
  <c r="AL99" i="7"/>
  <c r="AM99" i="7" s="1" a="1"/>
  <c r="AL107" i="7"/>
  <c r="AM107" i="7" s="1" a="1"/>
  <c r="AL11" i="7"/>
  <c r="AM11" i="7" s="1" a="1"/>
  <c r="AL48" i="7"/>
  <c r="AM48" i="7" s="1" a="1"/>
  <c r="AL108" i="7"/>
  <c r="AL10" i="7"/>
  <c r="AM10" i="7" s="1" a="1"/>
  <c r="AL109" i="7"/>
  <c r="AL9" i="7"/>
  <c r="AM9" i="7" s="1" a="1"/>
  <c r="AJ4" i="7"/>
  <c r="Y67" i="7"/>
  <c r="AJ83" i="7"/>
  <c r="AJ91" i="7"/>
  <c r="Y117" i="7"/>
  <c r="AJ127" i="7"/>
  <c r="Y135" i="7"/>
  <c r="AJ232" i="7"/>
  <c r="AJ240" i="7"/>
  <c r="AJ246" i="7"/>
  <c r="Y259" i="7"/>
  <c r="AJ5" i="7"/>
  <c r="Y68" i="7"/>
  <c r="Y84" i="7"/>
  <c r="Y92" i="7"/>
  <c r="Y118" i="7"/>
  <c r="AJ128" i="7"/>
  <c r="Y136" i="7"/>
  <c r="AJ225" i="7"/>
  <c r="AJ233" i="7"/>
  <c r="AJ241" i="7"/>
  <c r="W247" i="7"/>
  <c r="AJ266" i="7"/>
  <c r="Y6" i="7"/>
  <c r="AJ69" i="7"/>
  <c r="AJ85" i="7"/>
  <c r="AJ93" i="7"/>
  <c r="AJ119" i="7"/>
  <c r="AJ129" i="7"/>
  <c r="AJ226" i="7"/>
  <c r="AJ234" i="7"/>
  <c r="Y242" i="7"/>
  <c r="AJ248" i="7"/>
  <c r="AJ261" i="7"/>
  <c r="AJ267" i="7"/>
  <c r="Y12" i="7"/>
  <c r="Y70" i="7"/>
  <c r="Y86" i="7"/>
  <c r="Y94" i="7"/>
  <c r="Y120" i="7"/>
  <c r="AJ130" i="7"/>
  <c r="AJ227" i="7"/>
  <c r="AJ235" i="7"/>
  <c r="AJ249" i="7"/>
  <c r="AJ262" i="7"/>
  <c r="AJ268" i="7"/>
  <c r="AJ63" i="7"/>
  <c r="AJ71" i="7"/>
  <c r="AJ79" i="7"/>
  <c r="AJ87" i="7"/>
  <c r="X122" i="7"/>
  <c r="AJ131" i="7"/>
  <c r="AJ228" i="7"/>
  <c r="X236" i="7"/>
  <c r="W250" i="7"/>
  <c r="Y255" i="7"/>
  <c r="AJ263" i="7"/>
  <c r="AJ269" i="7"/>
  <c r="Y64" i="7"/>
  <c r="Y72" i="7"/>
  <c r="Y80" i="7"/>
  <c r="AJ88" i="7"/>
  <c r="Y123" i="7"/>
  <c r="AJ132" i="7"/>
  <c r="AJ229" i="7"/>
  <c r="Y237" i="7"/>
  <c r="X251" i="7"/>
  <c r="AJ256" i="7"/>
  <c r="AJ274" i="7"/>
  <c r="AJ65" i="7"/>
  <c r="AJ81" i="7"/>
  <c r="AJ89" i="7"/>
  <c r="AJ125" i="7"/>
  <c r="AJ133" i="7"/>
  <c r="AJ184" i="7"/>
  <c r="AJ230" i="7"/>
  <c r="AJ238" i="7"/>
  <c r="W257" i="7"/>
  <c r="Y264" i="7"/>
  <c r="AJ275" i="7"/>
  <c r="AJ3" i="7"/>
  <c r="Y66" i="7"/>
  <c r="Y82" i="7"/>
  <c r="AJ90" i="7"/>
  <c r="AJ116" i="7"/>
  <c r="AJ126" i="7"/>
  <c r="AJ134" i="7"/>
  <c r="Y187" i="7"/>
  <c r="AJ231" i="7"/>
  <c r="Y239" i="7"/>
  <c r="AJ245" i="7"/>
  <c r="AJ258" i="7"/>
  <c r="AJ276" i="7"/>
  <c r="AJ2" i="7"/>
  <c r="V272" i="7"/>
  <c r="Y2" i="7"/>
  <c r="V106" i="7"/>
  <c r="V113" i="7"/>
  <c r="AJ113" i="7" s="1"/>
  <c r="V15" i="7"/>
  <c r="V19" i="7"/>
  <c r="V52" i="7"/>
  <c r="AB151" i="7"/>
  <c r="AC151" i="7" s="1"/>
  <c r="V111" i="7"/>
  <c r="X111" i="7" s="1"/>
  <c r="V244" i="7"/>
  <c r="V112" i="7"/>
  <c r="AJ112" i="7" s="1"/>
  <c r="V243" i="7"/>
  <c r="V143" i="7"/>
  <c r="V166" i="7"/>
  <c r="V103" i="7"/>
  <c r="W103" i="7" s="1"/>
  <c r="AB179" i="7"/>
  <c r="AC179" i="7" s="1"/>
  <c r="V197" i="7"/>
  <c r="V199" i="7"/>
  <c r="V201" i="7"/>
  <c r="V205" i="7"/>
  <c r="AB219" i="7"/>
  <c r="AC219" i="7" s="1"/>
  <c r="V271" i="7"/>
  <c r="AA223" i="7"/>
  <c r="V110" i="7"/>
  <c r="AJ110" i="7" s="1"/>
  <c r="AD223" i="7"/>
  <c r="AB223" i="7" s="1"/>
  <c r="AC223" i="7" s="1"/>
  <c r="V102" i="7"/>
  <c r="AJ98" i="7"/>
  <c r="V149" i="7"/>
  <c r="V153" i="7"/>
  <c r="V156" i="7"/>
  <c r="V159" i="7"/>
  <c r="V164" i="7"/>
  <c r="V22" i="7"/>
  <c r="V26" i="7"/>
  <c r="AB32" i="7"/>
  <c r="AC32" i="7" s="1"/>
  <c r="AB34" i="7"/>
  <c r="AC34" i="7" s="1"/>
  <c r="AB36" i="7"/>
  <c r="AC36" i="7" s="1"/>
  <c r="V154" i="7"/>
  <c r="V158" i="7"/>
  <c r="V173" i="7"/>
  <c r="AB173" i="7"/>
  <c r="AC173" i="7" s="1"/>
  <c r="AB55" i="7"/>
  <c r="AC55" i="7" s="1"/>
  <c r="AB154" i="7"/>
  <c r="AC154" i="7" s="1"/>
  <c r="AB165" i="7"/>
  <c r="AC165" i="7" s="1"/>
  <c r="V182" i="7"/>
  <c r="V29" i="7"/>
  <c r="V32" i="7"/>
  <c r="V34" i="7"/>
  <c r="V36" i="7"/>
  <c r="V40" i="7"/>
  <c r="V42" i="7"/>
  <c r="V44" i="7"/>
  <c r="V49" i="7"/>
  <c r="V57" i="7"/>
  <c r="V59" i="7"/>
  <c r="V61" i="7"/>
  <c r="V183" i="7"/>
  <c r="AB39" i="7"/>
  <c r="AC39" i="7" s="1"/>
  <c r="V140" i="7"/>
  <c r="AB153" i="7"/>
  <c r="AC153" i="7" s="1"/>
  <c r="AB159" i="7"/>
  <c r="AC159" i="7" s="1"/>
  <c r="AB164" i="7"/>
  <c r="AC164" i="7" s="1"/>
  <c r="AB192" i="7"/>
  <c r="AC192" i="7" s="1"/>
  <c r="AB46" i="7"/>
  <c r="AC46" i="7" s="1"/>
  <c r="AB51" i="7"/>
  <c r="AC51" i="7" s="1"/>
  <c r="V218" i="7"/>
  <c r="V56" i="7"/>
  <c r="V16" i="7"/>
  <c r="V28" i="7"/>
  <c r="AB31" i="7"/>
  <c r="AC31" i="7" s="1"/>
  <c r="AB33" i="7"/>
  <c r="AC33" i="7" s="1"/>
  <c r="AB62" i="7"/>
  <c r="AC62" i="7" s="1"/>
  <c r="Y107" i="7"/>
  <c r="AB145" i="7"/>
  <c r="AC145" i="7" s="1"/>
  <c r="V161" i="7"/>
  <c r="AB175" i="7"/>
  <c r="AC175" i="7" s="1"/>
  <c r="AB177" i="7"/>
  <c r="AC177" i="7" s="1"/>
  <c r="V194" i="7"/>
  <c r="AB200" i="7"/>
  <c r="AC200" i="7" s="1"/>
  <c r="AB54" i="7"/>
  <c r="AC54" i="7" s="1"/>
  <c r="V13" i="7"/>
  <c r="V24" i="7"/>
  <c r="AB43" i="7"/>
  <c r="AC43" i="7" s="1"/>
  <c r="AB45" i="7"/>
  <c r="AC45" i="7" s="1"/>
  <c r="AB47" i="7"/>
  <c r="AC47" i="7" s="1"/>
  <c r="AB50" i="7"/>
  <c r="AC50" i="7" s="1"/>
  <c r="AB183" i="7"/>
  <c r="AC183" i="7" s="1"/>
  <c r="V196" i="7"/>
  <c r="V198" i="7"/>
  <c r="V200" i="7"/>
  <c r="AB216" i="7"/>
  <c r="AC216" i="7" s="1"/>
  <c r="V215" i="7"/>
  <c r="V53" i="7"/>
  <c r="AB40" i="7"/>
  <c r="AC40" i="7" s="1"/>
  <c r="V203" i="7"/>
  <c r="AB38" i="7"/>
  <c r="AC38" i="7" s="1"/>
  <c r="V35" i="7"/>
  <c r="V43" i="7"/>
  <c r="V47" i="7"/>
  <c r="AB57" i="7"/>
  <c r="AC57" i="7" s="1"/>
  <c r="V180" i="7"/>
  <c r="AB201" i="7"/>
  <c r="AC201" i="7" s="1"/>
  <c r="V212" i="7"/>
  <c r="V216" i="7"/>
  <c r="AB58" i="7"/>
  <c r="AC58" i="7" s="1"/>
  <c r="AJ104" i="7"/>
  <c r="V14" i="7"/>
  <c r="V18" i="7"/>
  <c r="V25" i="7"/>
  <c r="V39" i="7"/>
  <c r="V145" i="7"/>
  <c r="V167" i="7"/>
  <c r="AJ167" i="7" s="1"/>
  <c r="V169" i="7"/>
  <c r="V175" i="7"/>
  <c r="V179" i="7"/>
  <c r="V181" i="7"/>
  <c r="V186" i="7"/>
  <c r="V191" i="7"/>
  <c r="V193" i="7"/>
  <c r="AB213" i="7"/>
  <c r="AC213" i="7" s="1"/>
  <c r="AB215" i="7"/>
  <c r="AC215" i="7" s="1"/>
  <c r="AB217" i="7"/>
  <c r="AC217" i="7" s="1"/>
  <c r="AJ101" i="7"/>
  <c r="AB37" i="7"/>
  <c r="AC37" i="7" s="1"/>
  <c r="V20" i="7"/>
  <c r="AB41" i="7"/>
  <c r="AC41" i="7" s="1"/>
  <c r="V54" i="7"/>
  <c r="Y104" i="7"/>
  <c r="V147" i="7"/>
  <c r="V168" i="7"/>
  <c r="V170" i="7"/>
  <c r="V204" i="7"/>
  <c r="V214" i="7"/>
  <c r="V220" i="7"/>
  <c r="AJ115" i="7"/>
  <c r="AJ114" i="7"/>
  <c r="AB61" i="7"/>
  <c r="AC61" i="7" s="1"/>
  <c r="AB147" i="7"/>
  <c r="AC147" i="7" s="1"/>
  <c r="AB168" i="7"/>
  <c r="AC168" i="7" s="1"/>
  <c r="AB174" i="7"/>
  <c r="AC174" i="7" s="1"/>
  <c r="V190" i="7"/>
  <c r="AB202" i="7"/>
  <c r="AC202" i="7" s="1"/>
  <c r="AB204" i="7"/>
  <c r="AC204" i="7" s="1"/>
  <c r="AJ123" i="7"/>
  <c r="AJ242" i="7"/>
  <c r="AJ250" i="7"/>
  <c r="AJ236" i="7"/>
  <c r="AJ259" i="7"/>
  <c r="AJ251" i="7"/>
  <c r="AJ187" i="7"/>
  <c r="AJ122" i="7"/>
  <c r="AJ94" i="7"/>
  <c r="AJ86" i="7"/>
  <c r="AJ70" i="7"/>
  <c r="AJ120" i="7"/>
  <c r="AJ257" i="7"/>
  <c r="AJ136" i="7"/>
  <c r="AJ92" i="7"/>
  <c r="AJ84" i="7"/>
  <c r="AJ68" i="7"/>
  <c r="AJ264" i="7"/>
  <c r="AJ135" i="7"/>
  <c r="AJ118" i="7"/>
  <c r="AJ67" i="7"/>
  <c r="AJ255" i="7"/>
  <c r="AJ247" i="7"/>
  <c r="AJ239" i="7"/>
  <c r="AJ117" i="7"/>
  <c r="AJ82" i="7"/>
  <c r="AJ66" i="7"/>
  <c r="AJ237" i="7"/>
  <c r="AJ80" i="7"/>
  <c r="AJ72" i="7"/>
  <c r="AJ64" i="7"/>
  <c r="AJ6" i="7"/>
  <c r="AJ12" i="7"/>
  <c r="Z210" i="7"/>
  <c r="AB203" i="7"/>
  <c r="AC203" i="7" s="1"/>
  <c r="AA210" i="7"/>
  <c r="V45" i="7"/>
  <c r="AD210" i="7"/>
  <c r="AB210" i="7" s="1"/>
  <c r="AC210" i="7" s="1"/>
  <c r="V38" i="7"/>
  <c r="AB35" i="7"/>
  <c r="AC35" i="7" s="1"/>
  <c r="AB49" i="7"/>
  <c r="AC49" i="7" s="1"/>
  <c r="V51" i="7"/>
  <c r="Y81" i="7"/>
  <c r="AA209" i="7"/>
  <c r="V209" i="7" s="1"/>
  <c r="V270" i="7"/>
  <c r="Z278" i="7"/>
  <c r="V278" i="7" s="1"/>
  <c r="AE209" i="7"/>
  <c r="AB44" i="7"/>
  <c r="AC44" i="7" s="1"/>
  <c r="V60" i="7"/>
  <c r="V105" i="7"/>
  <c r="V142" i="7"/>
  <c r="AB156" i="7"/>
  <c r="AC156" i="7" s="1"/>
  <c r="AB170" i="7"/>
  <c r="AC170" i="7" s="1"/>
  <c r="V172" i="7"/>
  <c r="AB178" i="7"/>
  <c r="AC178" i="7" s="1"/>
  <c r="V185" i="7"/>
  <c r="AB218" i="7"/>
  <c r="AC218" i="7" s="1"/>
  <c r="V273" i="7"/>
  <c r="X229" i="7"/>
  <c r="X255" i="7"/>
  <c r="Y85" i="7"/>
  <c r="Y229" i="7"/>
  <c r="X259" i="7"/>
  <c r="Y122" i="7"/>
  <c r="W261" i="7"/>
  <c r="Y261" i="7"/>
  <c r="Y83" i="7"/>
  <c r="Y91" i="7"/>
  <c r="Y250" i="7"/>
  <c r="W123" i="7"/>
  <c r="X123" i="7"/>
  <c r="X248" i="7"/>
  <c r="Y248" i="7"/>
  <c r="W248" i="7"/>
  <c r="X264" i="7"/>
  <c r="W264" i="7"/>
  <c r="Y130" i="7"/>
  <c r="W276" i="7"/>
  <c r="X231" i="7"/>
  <c r="W231" i="7"/>
  <c r="Y225" i="7"/>
  <c r="Y133" i="7"/>
  <c r="X245" i="7"/>
  <c r="W245" i="7"/>
  <c r="Y245" i="7"/>
  <c r="AB52" i="7"/>
  <c r="AC52" i="7" s="1"/>
  <c r="Y89" i="7"/>
  <c r="V46" i="7"/>
  <c r="V50" i="7"/>
  <c r="V55" i="7"/>
  <c r="AB143" i="7"/>
  <c r="AC143" i="7" s="1"/>
  <c r="AB169" i="7"/>
  <c r="AC169" i="7" s="1"/>
  <c r="V171" i="7"/>
  <c r="V174" i="7"/>
  <c r="AB196" i="7"/>
  <c r="AC196" i="7" s="1"/>
  <c r="Y4" i="7"/>
  <c r="Y79" i="7"/>
  <c r="X109" i="7"/>
  <c r="Y109" i="7"/>
  <c r="W109" i="7"/>
  <c r="Y131" i="7"/>
  <c r="V33" i="7"/>
  <c r="AB42" i="7"/>
  <c r="AC42" i="7" s="1"/>
  <c r="Y65" i="7"/>
  <c r="W122" i="7"/>
  <c r="Y125" i="7"/>
  <c r="V176" i="7"/>
  <c r="V195" i="7"/>
  <c r="AB211" i="7"/>
  <c r="AC211" i="7" s="1"/>
  <c r="Y247" i="7"/>
  <c r="X247" i="7"/>
  <c r="W266" i="7"/>
  <c r="V23" i="7"/>
  <c r="X228" i="7"/>
  <c r="V30" i="7"/>
  <c r="Y71" i="7"/>
  <c r="Y87" i="7"/>
  <c r="Y134" i="7"/>
  <c r="AB191" i="7"/>
  <c r="AC191" i="7" s="1"/>
  <c r="AB220" i="7"/>
  <c r="AC220" i="7" s="1"/>
  <c r="W240" i="7"/>
  <c r="V17" i="7"/>
  <c r="V31" i="7"/>
  <c r="V41" i="7"/>
  <c r="AB53" i="7"/>
  <c r="AC53" i="7" s="1"/>
  <c r="V58" i="7"/>
  <c r="V62" i="7"/>
  <c r="Y69" i="7"/>
  <c r="AB158" i="7"/>
  <c r="AC158" i="7" s="1"/>
  <c r="V165" i="7"/>
  <c r="AB166" i="7"/>
  <c r="AC166" i="7" s="1"/>
  <c r="AB186" i="7"/>
  <c r="AC186" i="7" s="1"/>
  <c r="AB197" i="7"/>
  <c r="AC197" i="7" s="1"/>
  <c r="V202" i="7"/>
  <c r="AB214" i="7"/>
  <c r="AC214" i="7" s="1"/>
  <c r="V217" i="7"/>
  <c r="W229" i="7"/>
  <c r="W233" i="7"/>
  <c r="Y240" i="7"/>
  <c r="W259" i="7"/>
  <c r="X276" i="7"/>
  <c r="W242" i="7"/>
  <c r="W251" i="7"/>
  <c r="AB56" i="7"/>
  <c r="AC56" i="7" s="1"/>
  <c r="AB198" i="7"/>
  <c r="AC198" i="7" s="1"/>
  <c r="V213" i="7"/>
  <c r="V219" i="7"/>
  <c r="X242" i="7"/>
  <c r="AB60" i="7"/>
  <c r="AC60" i="7" s="1"/>
  <c r="Y63" i="7"/>
  <c r="V27" i="7"/>
  <c r="AB59" i="7"/>
  <c r="AC59" i="7" s="1"/>
  <c r="V160" i="7"/>
  <c r="V162" i="7"/>
  <c r="V188" i="7"/>
  <c r="V192" i="7"/>
  <c r="AB205" i="7"/>
  <c r="AC205" i="7" s="1"/>
  <c r="V211" i="7"/>
  <c r="AB212" i="7"/>
  <c r="AC212" i="7" s="1"/>
  <c r="X233" i="7"/>
  <c r="W255" i="7"/>
  <c r="W117" i="7"/>
  <c r="X117" i="7"/>
  <c r="W120" i="7"/>
  <c r="X120" i="7"/>
  <c r="Y3" i="7"/>
  <c r="Y5" i="7"/>
  <c r="V21" i="7"/>
  <c r="Y90" i="7"/>
  <c r="V37" i="7"/>
  <c r="Y126" i="7"/>
  <c r="Y101" i="7"/>
  <c r="Y116" i="7"/>
  <c r="X116" i="7"/>
  <c r="W116" i="7"/>
  <c r="Y119" i="7"/>
  <c r="X119" i="7"/>
  <c r="W119" i="7"/>
  <c r="W108" i="7"/>
  <c r="Y108" i="7"/>
  <c r="X108" i="7"/>
  <c r="Y128" i="7"/>
  <c r="Y93" i="7"/>
  <c r="Y129" i="7"/>
  <c r="Y132" i="7"/>
  <c r="Y88" i="7"/>
  <c r="X107" i="7"/>
  <c r="W107" i="7"/>
  <c r="X115" i="7"/>
  <c r="Y115" i="7"/>
  <c r="V100" i="7"/>
  <c r="W104" i="7"/>
  <c r="Y114" i="7"/>
  <c r="W114" i="7"/>
  <c r="X118" i="7"/>
  <c r="W118" i="7"/>
  <c r="V138" i="7"/>
  <c r="V148" i="7"/>
  <c r="V177" i="7"/>
  <c r="V178" i="7"/>
  <c r="W184" i="7"/>
  <c r="Y184" i="7"/>
  <c r="X184" i="7"/>
  <c r="V163" i="7"/>
  <c r="AB167" i="7"/>
  <c r="AC167" i="7" s="1"/>
  <c r="Y127" i="7"/>
  <c r="AB171" i="7"/>
  <c r="AC171" i="7" s="1"/>
  <c r="AB176" i="7"/>
  <c r="AC176" i="7" s="1"/>
  <c r="V151" i="7"/>
  <c r="AB149" i="7"/>
  <c r="AC149" i="7" s="1"/>
  <c r="AA207" i="7"/>
  <c r="V207" i="7" s="1"/>
  <c r="V189" i="7"/>
  <c r="Z206" i="7"/>
  <c r="AA206" i="7"/>
  <c r="AD222" i="7"/>
  <c r="AA222" i="7"/>
  <c r="Z222" i="7"/>
  <c r="Z224" i="7"/>
  <c r="AD224" i="7"/>
  <c r="AA224" i="7"/>
  <c r="AE222" i="7"/>
  <c r="AE224" i="7"/>
  <c r="W230" i="7"/>
  <c r="Y230" i="7"/>
  <c r="X230" i="7"/>
  <c r="AB199" i="7"/>
  <c r="AC199" i="7" s="1"/>
  <c r="AD209" i="7"/>
  <c r="W238" i="7"/>
  <c r="Y238" i="7"/>
  <c r="X238" i="7"/>
  <c r="W226" i="7"/>
  <c r="Y226" i="7"/>
  <c r="Y236" i="7"/>
  <c r="W236" i="7"/>
  <c r="X249" i="7"/>
  <c r="Y249" i="7"/>
  <c r="W263" i="7"/>
  <c r="Y263" i="7"/>
  <c r="W275" i="7"/>
  <c r="X275" i="7"/>
  <c r="Z221" i="7"/>
  <c r="X226" i="7"/>
  <c r="Y227" i="7"/>
  <c r="W227" i="7"/>
  <c r="Y231" i="7"/>
  <c r="Y232" i="7"/>
  <c r="X232" i="7"/>
  <c r="W232" i="7"/>
  <c r="W234" i="7"/>
  <c r="Y234" i="7"/>
  <c r="X235" i="7"/>
  <c r="W235" i="7"/>
  <c r="Y235" i="7"/>
  <c r="W237" i="7"/>
  <c r="X237" i="7"/>
  <c r="W249" i="7"/>
  <c r="W256" i="7"/>
  <c r="Y256" i="7"/>
  <c r="X256" i="7"/>
  <c r="X261" i="7"/>
  <c r="X263" i="7"/>
  <c r="AA221" i="7"/>
  <c r="Z223" i="7"/>
  <c r="X227" i="7"/>
  <c r="W228" i="7"/>
  <c r="Y233" i="7"/>
  <c r="X234" i="7"/>
  <c r="Y246" i="7"/>
  <c r="X246" i="7"/>
  <c r="W246" i="7"/>
  <c r="V252" i="7"/>
  <c r="Y260" i="7"/>
  <c r="X260" i="7"/>
  <c r="W260" i="7"/>
  <c r="V265" i="7"/>
  <c r="W269" i="7"/>
  <c r="X269" i="7"/>
  <c r="Y241" i="7"/>
  <c r="X241" i="7"/>
  <c r="X267" i="7"/>
  <c r="W267" i="7"/>
  <c r="AD221" i="7"/>
  <c r="AB221" i="7" s="1"/>
  <c r="AC221" i="7" s="1"/>
  <c r="Y228" i="7"/>
  <c r="W241" i="7"/>
  <c r="X239" i="7"/>
  <c r="W239" i="7"/>
  <c r="Y258" i="7"/>
  <c r="X258" i="7"/>
  <c r="W258" i="7"/>
  <c r="Y262" i="7"/>
  <c r="X262" i="7"/>
  <c r="W262" i="7"/>
  <c r="X274" i="7"/>
  <c r="W274" i="7"/>
  <c r="X257" i="7"/>
  <c r="Y257" i="7"/>
  <c r="X268" i="7"/>
  <c r="W268" i="7"/>
  <c r="Y251" i="7"/>
  <c r="X266" i="7"/>
  <c r="V254" i="7"/>
  <c r="Z277" i="7"/>
  <c r="V277" i="7" s="1"/>
  <c r="X240" i="7"/>
  <c r="X250" i="7"/>
  <c r="V253" i="7"/>
  <c r="W253" i="7" s="1"/>
  <c r="Y106" i="7" l="1"/>
  <c r="AJ106" i="7"/>
  <c r="AL106" i="7" s="1"/>
  <c r="AJ100" i="7"/>
  <c r="AL100" i="7" s="1"/>
  <c r="X100" i="7"/>
  <c r="W100" i="7"/>
  <c r="X102" i="7"/>
  <c r="W102" i="7"/>
  <c r="AL6" i="7"/>
  <c r="AM6" i="7" s="1" a="1"/>
  <c r="AL117" i="7"/>
  <c r="AL68" i="7"/>
  <c r="AL250" i="7"/>
  <c r="AM250" i="7" s="1" a="1"/>
  <c r="AL104" i="7"/>
  <c r="AL98" i="7"/>
  <c r="AM98" i="7" s="1" a="1"/>
  <c r="AL112" i="7"/>
  <c r="AL231" i="7"/>
  <c r="AL133" i="7"/>
  <c r="AM133" i="7" s="1" a="1"/>
  <c r="AL235" i="7"/>
  <c r="AL119" i="7"/>
  <c r="AL64" i="7"/>
  <c r="AL239" i="7"/>
  <c r="AM239" i="7" s="1" a="1"/>
  <c r="AL86" i="7"/>
  <c r="AM86" i="7" s="1" a="1"/>
  <c r="AL242" i="7"/>
  <c r="AM242" i="7" s="1" a="1"/>
  <c r="AL3" i="7"/>
  <c r="AM3" i="7" s="1" a="1"/>
  <c r="AL125" i="7"/>
  <c r="AM125" i="7" s="1" a="1"/>
  <c r="AL269" i="7"/>
  <c r="AM269" i="7" s="1" a="1"/>
  <c r="AL87" i="7"/>
  <c r="AM87" i="7" s="1" a="1"/>
  <c r="AL227" i="7"/>
  <c r="AM227" i="7" s="1" a="1"/>
  <c r="AL267" i="7"/>
  <c r="AL93" i="7"/>
  <c r="AM93" i="7" s="1" a="1"/>
  <c r="AL241" i="7"/>
  <c r="AM241" i="7" s="1" a="1"/>
  <c r="AL127" i="7"/>
  <c r="AM127" i="7" s="1" a="1"/>
  <c r="AL72" i="7"/>
  <c r="AM72" i="7" s="1" a="1"/>
  <c r="AL247" i="7"/>
  <c r="AL84" i="7"/>
  <c r="AM84" i="7" s="1" a="1"/>
  <c r="AL94" i="7"/>
  <c r="AL123" i="7"/>
  <c r="AL114" i="7"/>
  <c r="AM114" i="7" s="1" a="1"/>
  <c r="AL134" i="7"/>
  <c r="AM134" i="7" s="1" a="1"/>
  <c r="AL275" i="7"/>
  <c r="AL89" i="7"/>
  <c r="AM89" i="7" s="1" a="1"/>
  <c r="AL229" i="7"/>
  <c r="AM229" i="7" s="1" a="1"/>
  <c r="AL263" i="7"/>
  <c r="AL79" i="7"/>
  <c r="AM79" i="7" s="1" a="1"/>
  <c r="AL130" i="7"/>
  <c r="AM130" i="7" s="1" a="1"/>
  <c r="AL261" i="7"/>
  <c r="AM261" i="7" s="1" a="1"/>
  <c r="AL85" i="7"/>
  <c r="AM85" i="7" s="1" a="1"/>
  <c r="AL233" i="7"/>
  <c r="AL80" i="7"/>
  <c r="AM80" i="7" s="1" a="1"/>
  <c r="AL255" i="7"/>
  <c r="AL92" i="7"/>
  <c r="AM92" i="7" s="1" a="1"/>
  <c r="AL122" i="7"/>
  <c r="AL115" i="7"/>
  <c r="AM115" i="7" s="1" a="1"/>
  <c r="AL110" i="7"/>
  <c r="AL126" i="7"/>
  <c r="AM126" i="7" s="1" a="1"/>
  <c r="AL81" i="7"/>
  <c r="AM81" i="7" s="1" a="1"/>
  <c r="AL132" i="7"/>
  <c r="AM132" i="7" s="1" a="1"/>
  <c r="AL71" i="7"/>
  <c r="AM71" i="7" s="1" a="1"/>
  <c r="AL248" i="7"/>
  <c r="AL225" i="7"/>
  <c r="AM225" i="7" s="1" a="1"/>
  <c r="AL5" i="7"/>
  <c r="AM5" i="7" s="1" a="1"/>
  <c r="AL91" i="7"/>
  <c r="AM91" i="7" s="1" a="1"/>
  <c r="AL237" i="7"/>
  <c r="AL67" i="7"/>
  <c r="AL136" i="7"/>
  <c r="AM136" i="7" s="1" a="1"/>
  <c r="AL187" i="7"/>
  <c r="AM187" i="7" s="1" a="1"/>
  <c r="AL276" i="7"/>
  <c r="AL116" i="7"/>
  <c r="AM116" i="7" s="1" a="1"/>
  <c r="AL63" i="7"/>
  <c r="AL69" i="7"/>
  <c r="AL83" i="7"/>
  <c r="AM83" i="7" s="1" a="1"/>
  <c r="AL66" i="7"/>
  <c r="AL118" i="7"/>
  <c r="AL257" i="7"/>
  <c r="AM257" i="7" s="1" a="1"/>
  <c r="AL251" i="7"/>
  <c r="AM251" i="7" s="1" a="1"/>
  <c r="AL258" i="7"/>
  <c r="AM258" i="7" s="1" a="1"/>
  <c r="AL90" i="7"/>
  <c r="AM90" i="7" s="1" a="1"/>
  <c r="AL238" i="7"/>
  <c r="AL65" i="7"/>
  <c r="AL88" i="7"/>
  <c r="AM88" i="7" s="1" a="1"/>
  <c r="AL268" i="7"/>
  <c r="AM268" i="7" s="1" a="1"/>
  <c r="AL234" i="7"/>
  <c r="AM234" i="7" s="1" a="1"/>
  <c r="AL128" i="7"/>
  <c r="AM128" i="7" s="1" a="1"/>
  <c r="AL246" i="7"/>
  <c r="AL135" i="7"/>
  <c r="AM135" i="7" s="1" a="1"/>
  <c r="AL120" i="7"/>
  <c r="AL259" i="7"/>
  <c r="AL245" i="7"/>
  <c r="AL230" i="7"/>
  <c r="AM230" i="7" s="1" a="1"/>
  <c r="AL274" i="7"/>
  <c r="AM274" i="7" s="1" a="1"/>
  <c r="AL228" i="7"/>
  <c r="AM228" i="7" s="1" a="1"/>
  <c r="AL262" i="7"/>
  <c r="AM262" i="7" s="1" a="1"/>
  <c r="AL226" i="7"/>
  <c r="AM226" i="7" s="1" a="1"/>
  <c r="AL266" i="7"/>
  <c r="AL240" i="7"/>
  <c r="AM240" i="7" s="1" a="1"/>
  <c r="AL12" i="7"/>
  <c r="AM12" i="7" s="1" a="1"/>
  <c r="AL82" i="7"/>
  <c r="AM82" i="7" s="1" a="1"/>
  <c r="AL264" i="7"/>
  <c r="AL70" i="7"/>
  <c r="AL236" i="7"/>
  <c r="AL101" i="7"/>
  <c r="AL113" i="7"/>
  <c r="AM113" i="7" s="1" a="1"/>
  <c r="AL184" i="7"/>
  <c r="AM184" i="7" s="1" a="1"/>
  <c r="AL256" i="7"/>
  <c r="AM256" i="7" s="1" a="1"/>
  <c r="AL131" i="7"/>
  <c r="AM131" i="7" s="1" a="1"/>
  <c r="AL249" i="7"/>
  <c r="AM249" i="7" s="1" a="1"/>
  <c r="AL129" i="7"/>
  <c r="AM129" i="7" s="1" a="1"/>
  <c r="AL260" i="7"/>
  <c r="AM260" i="7" s="1" a="1"/>
  <c r="AL232" i="7"/>
  <c r="AL4" i="7"/>
  <c r="AM4" i="7" s="1" a="1"/>
  <c r="AL2" i="7"/>
  <c r="AJ252" i="7"/>
  <c r="AJ162" i="7"/>
  <c r="AJ213" i="7"/>
  <c r="AJ165" i="7"/>
  <c r="AJ31" i="7"/>
  <c r="AJ176" i="7"/>
  <c r="AJ45" i="7"/>
  <c r="AJ173" i="7"/>
  <c r="AJ164" i="7"/>
  <c r="AJ178" i="7"/>
  <c r="AJ160" i="7"/>
  <c r="AJ209" i="7"/>
  <c r="AJ220" i="7"/>
  <c r="AJ191" i="7"/>
  <c r="AJ254" i="7"/>
  <c r="AJ21" i="7"/>
  <c r="AJ53" i="7"/>
  <c r="AJ28" i="7"/>
  <c r="AJ57" i="7"/>
  <c r="AJ29" i="7"/>
  <c r="AJ154" i="7"/>
  <c r="AJ156" i="7"/>
  <c r="AJ271" i="7"/>
  <c r="W166" i="7"/>
  <c r="Y19" i="7"/>
  <c r="AJ148" i="7"/>
  <c r="AJ27" i="7"/>
  <c r="AJ18" i="7"/>
  <c r="AJ49" i="7"/>
  <c r="AJ265" i="7"/>
  <c r="AJ211" i="7"/>
  <c r="AJ202" i="7"/>
  <c r="AJ62" i="7"/>
  <c r="AJ60" i="7"/>
  <c r="Y170" i="7"/>
  <c r="AJ179" i="7"/>
  <c r="AJ14" i="7"/>
  <c r="AJ161" i="7"/>
  <c r="AJ56" i="7"/>
  <c r="Y44" i="7"/>
  <c r="AJ149" i="7"/>
  <c r="AJ205" i="7"/>
  <c r="AJ243" i="7"/>
  <c r="AJ207" i="7"/>
  <c r="AJ163" i="7"/>
  <c r="AJ33" i="7"/>
  <c r="AJ253" i="7"/>
  <c r="AJ171" i="7"/>
  <c r="AJ147" i="7"/>
  <c r="AJ169" i="7"/>
  <c r="AJ35" i="7"/>
  <c r="AJ151" i="7"/>
  <c r="AJ37" i="7"/>
  <c r="AJ30" i="7"/>
  <c r="AJ270" i="7"/>
  <c r="Y54" i="7"/>
  <c r="AJ193" i="7"/>
  <c r="W145" i="7"/>
  <c r="AJ212" i="7"/>
  <c r="Y203" i="7"/>
  <c r="Y61" i="7"/>
  <c r="AJ277" i="7"/>
  <c r="AJ17" i="7"/>
  <c r="AJ55" i="7"/>
  <c r="AJ194" i="7"/>
  <c r="AJ59" i="7"/>
  <c r="AJ32" i="7"/>
  <c r="Y158" i="7"/>
  <c r="AJ159" i="7"/>
  <c r="AJ52" i="7"/>
  <c r="AJ177" i="7"/>
  <c r="AJ217" i="7"/>
  <c r="AJ50" i="7"/>
  <c r="AJ142" i="7"/>
  <c r="Y190" i="7"/>
  <c r="X214" i="7"/>
  <c r="AJ20" i="7"/>
  <c r="X186" i="7"/>
  <c r="AJ273" i="7"/>
  <c r="AJ51" i="7"/>
  <c r="Y204" i="7"/>
  <c r="AJ181" i="7"/>
  <c r="AJ215" i="7"/>
  <c r="AJ16" i="7"/>
  <c r="AJ182" i="7"/>
  <c r="X153" i="7"/>
  <c r="W143" i="7"/>
  <c r="AJ15" i="7"/>
  <c r="AJ189" i="7"/>
  <c r="AJ138" i="7"/>
  <c r="AJ58" i="7"/>
  <c r="AJ174" i="7"/>
  <c r="AJ185" i="7"/>
  <c r="AJ168" i="7"/>
  <c r="AJ175" i="7"/>
  <c r="AJ43" i="7"/>
  <c r="Y200" i="7"/>
  <c r="AJ24" i="7"/>
  <c r="Y140" i="7"/>
  <c r="W201" i="7"/>
  <c r="AJ192" i="7"/>
  <c r="X198" i="7"/>
  <c r="AJ13" i="7"/>
  <c r="X218" i="7"/>
  <c r="Y40" i="7"/>
  <c r="AJ26" i="7"/>
  <c r="AJ199" i="7"/>
  <c r="AJ244" i="7"/>
  <c r="AJ188" i="7"/>
  <c r="AJ219" i="7"/>
  <c r="AJ195" i="7"/>
  <c r="AJ172" i="7"/>
  <c r="AJ278" i="7"/>
  <c r="Y167" i="7"/>
  <c r="AJ216" i="7"/>
  <c r="AJ196" i="7"/>
  <c r="AJ183" i="7"/>
  <c r="AJ22" i="7"/>
  <c r="X197" i="7"/>
  <c r="X272" i="7"/>
  <c r="Y34" i="7"/>
  <c r="AJ47" i="7"/>
  <c r="AJ41" i="7"/>
  <c r="AJ42" i="7"/>
  <c r="Y39" i="7"/>
  <c r="AJ38" i="7"/>
  <c r="AJ36" i="7"/>
  <c r="AJ25" i="7"/>
  <c r="W113" i="7"/>
  <c r="Y22" i="7"/>
  <c r="AJ272" i="7"/>
  <c r="W272" i="7"/>
  <c r="W106" i="7"/>
  <c r="Y197" i="7"/>
  <c r="X166" i="7"/>
  <c r="AJ180" i="7"/>
  <c r="X112" i="7"/>
  <c r="X106" i="7"/>
  <c r="X113" i="7"/>
  <c r="Y15" i="7"/>
  <c r="W197" i="7"/>
  <c r="AJ19" i="7"/>
  <c r="W111" i="7"/>
  <c r="W218" i="7"/>
  <c r="Y113" i="7"/>
  <c r="X199" i="7"/>
  <c r="Y199" i="7"/>
  <c r="Y36" i="7"/>
  <c r="Y111" i="7"/>
  <c r="Y52" i="7"/>
  <c r="W244" i="7"/>
  <c r="Y244" i="7"/>
  <c r="X244" i="7"/>
  <c r="Y102" i="7"/>
  <c r="AJ197" i="7"/>
  <c r="AJ111" i="7"/>
  <c r="X243" i="7"/>
  <c r="Y149" i="7"/>
  <c r="W112" i="7"/>
  <c r="X201" i="7"/>
  <c r="Y201" i="7"/>
  <c r="Y198" i="7"/>
  <c r="Y166" i="7"/>
  <c r="X143" i="7"/>
  <c r="X271" i="7"/>
  <c r="AJ166" i="7"/>
  <c r="W243" i="7"/>
  <c r="X216" i="7"/>
  <c r="X205" i="7"/>
  <c r="W156" i="7"/>
  <c r="Y243" i="7"/>
  <c r="W199" i="7"/>
  <c r="Y112" i="7"/>
  <c r="X149" i="7"/>
  <c r="W271" i="7"/>
  <c r="Y29" i="7"/>
  <c r="X154" i="7"/>
  <c r="X156" i="7"/>
  <c r="Y156" i="7"/>
  <c r="W159" i="7"/>
  <c r="W154" i="7"/>
  <c r="W205" i="7"/>
  <c r="Y180" i="7"/>
  <c r="Y24" i="7"/>
  <c r="AJ143" i="7"/>
  <c r="X169" i="7"/>
  <c r="AJ201" i="7"/>
  <c r="X147" i="7"/>
  <c r="Y143" i="7"/>
  <c r="Y205" i="7"/>
  <c r="Y110" i="7"/>
  <c r="W158" i="7"/>
  <c r="Y196" i="7"/>
  <c r="W193" i="7"/>
  <c r="V223" i="7"/>
  <c r="Y159" i="7"/>
  <c r="X103" i="7"/>
  <c r="AJ103" i="7"/>
  <c r="X159" i="7"/>
  <c r="X168" i="7"/>
  <c r="W149" i="7"/>
  <c r="Y103" i="7"/>
  <c r="Y164" i="7"/>
  <c r="X110" i="7"/>
  <c r="X164" i="7"/>
  <c r="W110" i="7"/>
  <c r="Y193" i="7"/>
  <c r="AJ40" i="7"/>
  <c r="AJ198" i="7"/>
  <c r="X175" i="7"/>
  <c r="Y147" i="7"/>
  <c r="Y153" i="7"/>
  <c r="W182" i="7"/>
  <c r="Y14" i="7"/>
  <c r="W153" i="7"/>
  <c r="AJ102" i="7"/>
  <c r="Y42" i="7"/>
  <c r="W164" i="7"/>
  <c r="X140" i="7"/>
  <c r="Y216" i="7"/>
  <c r="Y182" i="7"/>
  <c r="Y13" i="7"/>
  <c r="Y35" i="7"/>
  <c r="AJ140" i="7"/>
  <c r="AJ200" i="7"/>
  <c r="AJ153" i="7"/>
  <c r="X215" i="7"/>
  <c r="Y168" i="7"/>
  <c r="Y49" i="7"/>
  <c r="W194" i="7"/>
  <c r="X194" i="7"/>
  <c r="Y194" i="7"/>
  <c r="X170" i="7"/>
  <c r="Y59" i="7"/>
  <c r="W180" i="7"/>
  <c r="X158" i="7"/>
  <c r="X180" i="7"/>
  <c r="W170" i="7"/>
  <c r="Y25" i="7"/>
  <c r="Y218" i="7"/>
  <c r="W215" i="7"/>
  <c r="Y53" i="7"/>
  <c r="AJ54" i="7"/>
  <c r="AJ158" i="7"/>
  <c r="AB209" i="7"/>
  <c r="AC209" i="7" s="1"/>
  <c r="X172" i="7"/>
  <c r="W216" i="7"/>
  <c r="X193" i="7"/>
  <c r="W147" i="7"/>
  <c r="W172" i="7"/>
  <c r="Y56" i="7"/>
  <c r="Y32" i="7"/>
  <c r="Y16" i="7"/>
  <c r="W140" i="7"/>
  <c r="Y154" i="7"/>
  <c r="X182" i="7"/>
  <c r="Y169" i="7"/>
  <c r="Y18" i="7"/>
  <c r="W179" i="7"/>
  <c r="Y57" i="7"/>
  <c r="Y175" i="7"/>
  <c r="W200" i="7"/>
  <c r="X161" i="7"/>
  <c r="Y47" i="7"/>
  <c r="X200" i="7"/>
  <c r="Y161" i="7"/>
  <c r="W169" i="7"/>
  <c r="X179" i="7"/>
  <c r="W175" i="7"/>
  <c r="Y43" i="7"/>
  <c r="AJ44" i="7"/>
  <c r="AJ218" i="7"/>
  <c r="W161" i="7"/>
  <c r="W198" i="7"/>
  <c r="W168" i="7"/>
  <c r="Y26" i="7"/>
  <c r="Y28" i="7"/>
  <c r="Y215" i="7"/>
  <c r="W173" i="7"/>
  <c r="Y173" i="7"/>
  <c r="X173" i="7"/>
  <c r="AJ190" i="7"/>
  <c r="X145" i="7"/>
  <c r="W203" i="7"/>
  <c r="AJ203" i="7"/>
  <c r="W214" i="7"/>
  <c r="X203" i="7"/>
  <c r="X212" i="7"/>
  <c r="X273" i="7"/>
  <c r="Y212" i="7"/>
  <c r="W183" i="7"/>
  <c r="X190" i="7"/>
  <c r="W190" i="7"/>
  <c r="W186" i="7"/>
  <c r="X183" i="7"/>
  <c r="Y145" i="7"/>
  <c r="W196" i="7"/>
  <c r="W212" i="7"/>
  <c r="AJ61" i="7"/>
  <c r="AJ34" i="7"/>
  <c r="Y20" i="7"/>
  <c r="Y183" i="7"/>
  <c r="X196" i="7"/>
  <c r="AJ186" i="7"/>
  <c r="Y214" i="7"/>
  <c r="AJ145" i="7"/>
  <c r="Y186" i="7"/>
  <c r="AJ39" i="7"/>
  <c r="X181" i="7"/>
  <c r="Y181" i="7"/>
  <c r="V222" i="7"/>
  <c r="X204" i="7"/>
  <c r="W181" i="7"/>
  <c r="W204" i="7"/>
  <c r="Y179" i="7"/>
  <c r="Y105" i="7"/>
  <c r="AJ105" i="7"/>
  <c r="AJ204" i="7"/>
  <c r="Y45" i="7"/>
  <c r="W191" i="7"/>
  <c r="Y30" i="7"/>
  <c r="W220" i="7"/>
  <c r="X191" i="7"/>
  <c r="Y220" i="7"/>
  <c r="AJ170" i="7"/>
  <c r="X220" i="7"/>
  <c r="Y191" i="7"/>
  <c r="X270" i="7"/>
  <c r="AJ214" i="7"/>
  <c r="Y172" i="7"/>
  <c r="Y38" i="7"/>
  <c r="Y142" i="7"/>
  <c r="X142" i="7"/>
  <c r="Y60" i="7"/>
  <c r="Y185" i="7"/>
  <c r="W162" i="7"/>
  <c r="X160" i="7"/>
  <c r="Y202" i="7"/>
  <c r="X174" i="7"/>
  <c r="W219" i="7"/>
  <c r="W195" i="7"/>
  <c r="W171" i="7"/>
  <c r="X185" i="7"/>
  <c r="X213" i="7"/>
  <c r="Y58" i="7"/>
  <c r="Y211" i="7"/>
  <c r="Y165" i="7"/>
  <c r="W185" i="7"/>
  <c r="W142" i="7"/>
  <c r="W270" i="7"/>
  <c r="Y51" i="7"/>
  <c r="W273" i="7"/>
  <c r="X188" i="7"/>
  <c r="Y217" i="7"/>
  <c r="Y23" i="7"/>
  <c r="AJ23" i="7"/>
  <c r="Y46" i="7"/>
  <c r="AJ46" i="7"/>
  <c r="Y209" i="7"/>
  <c r="X209" i="7"/>
  <c r="W209" i="7"/>
  <c r="W105" i="7"/>
  <c r="X105" i="7"/>
  <c r="Y27" i="7"/>
  <c r="V210" i="7"/>
  <c r="X171" i="7"/>
  <c r="Y219" i="7"/>
  <c r="W176" i="7"/>
  <c r="X211" i="7"/>
  <c r="W174" i="7"/>
  <c r="Y171" i="7"/>
  <c r="W202" i="7"/>
  <c r="Y213" i="7"/>
  <c r="Y174" i="7"/>
  <c r="X195" i="7"/>
  <c r="Y195" i="7"/>
  <c r="Y278" i="7"/>
  <c r="W217" i="7"/>
  <c r="X162" i="7"/>
  <c r="Y160" i="7"/>
  <c r="Y162" i="7"/>
  <c r="Y31" i="7"/>
  <c r="X202" i="7"/>
  <c r="X192" i="7"/>
  <c r="X176" i="7"/>
  <c r="Y188" i="7"/>
  <c r="Y55" i="7"/>
  <c r="Y192" i="7"/>
  <c r="Y176" i="7"/>
  <c r="Y50" i="7"/>
  <c r="W192" i="7"/>
  <c r="Y41" i="7"/>
  <c r="W213" i="7"/>
  <c r="AB222" i="7"/>
  <c r="AC222" i="7" s="1"/>
  <c r="X165" i="7"/>
  <c r="Y17" i="7"/>
  <c r="X217" i="7"/>
  <c r="W188" i="7"/>
  <c r="W160" i="7"/>
  <c r="Y33" i="7"/>
  <c r="Y62" i="7"/>
  <c r="W165" i="7"/>
  <c r="W211" i="7"/>
  <c r="X219" i="7"/>
  <c r="AB224" i="7"/>
  <c r="AC224" i="7" s="1"/>
  <c r="Y138" i="7"/>
  <c r="X138" i="7"/>
  <c r="W138" i="7"/>
  <c r="Y37" i="7"/>
  <c r="X252" i="7"/>
  <c r="W252" i="7"/>
  <c r="Y252" i="7"/>
  <c r="V224" i="7"/>
  <c r="V206" i="7"/>
  <c r="Y207" i="7"/>
  <c r="W207" i="7"/>
  <c r="X207" i="7"/>
  <c r="Y163" i="7"/>
  <c r="X163" i="7"/>
  <c r="W163" i="7"/>
  <c r="Y253" i="7"/>
  <c r="X253" i="7"/>
  <c r="Y21" i="7"/>
  <c r="V221" i="7"/>
  <c r="Y178" i="7"/>
  <c r="X178" i="7"/>
  <c r="W178" i="7"/>
  <c r="W148" i="7"/>
  <c r="Y148" i="7"/>
  <c r="X148" i="7"/>
  <c r="W189" i="7"/>
  <c r="Y189" i="7"/>
  <c r="X189" i="7"/>
  <c r="Y177" i="7"/>
  <c r="X177" i="7"/>
  <c r="W177" i="7"/>
  <c r="Y265" i="7"/>
  <c r="X265" i="7"/>
  <c r="W265" i="7"/>
  <c r="Y100" i="7"/>
  <c r="Y277" i="7"/>
  <c r="Y254" i="7"/>
  <c r="W254" i="7"/>
  <c r="X254" i="7"/>
  <c r="Y151" i="7"/>
  <c r="X151" i="7"/>
  <c r="W151" i="7"/>
  <c r="AM2" i="7" l="1" a="1"/>
  <c r="AL46" i="7"/>
  <c r="AL44" i="7"/>
  <c r="AL180" i="7"/>
  <c r="AM180" i="7" s="1" a="1"/>
  <c r="AL25" i="7"/>
  <c r="AL172" i="7"/>
  <c r="AM172" i="7" s="1" a="1"/>
  <c r="AL43" i="7"/>
  <c r="AL51" i="7"/>
  <c r="AL55" i="7"/>
  <c r="AL171" i="7"/>
  <c r="AL21" i="7"/>
  <c r="AM21" i="7" s="1" a="1"/>
  <c r="AL204" i="7"/>
  <c r="AM204" i="7" s="1" a="1"/>
  <c r="AL103" i="7"/>
  <c r="AM103" i="7" s="1" a="1"/>
  <c r="AL13" i="7"/>
  <c r="AM13" i="7" s="1" a="1"/>
  <c r="AL177" i="7"/>
  <c r="AL270" i="7"/>
  <c r="AL56" i="7"/>
  <c r="AL211" i="7"/>
  <c r="AL254" i="7"/>
  <c r="AL45" i="7"/>
  <c r="AL23" i="7"/>
  <c r="AM23" i="7" s="1" a="1"/>
  <c r="AL167" i="7"/>
  <c r="AM167" i="7" s="1" a="1"/>
  <c r="AL203" i="7"/>
  <c r="AL38" i="7"/>
  <c r="AL219" i="7"/>
  <c r="AL168" i="7"/>
  <c r="AL277" i="7"/>
  <c r="AM277" i="7" s="1" a="1"/>
  <c r="AL33" i="7"/>
  <c r="AL156" i="7"/>
  <c r="AL176" i="7"/>
  <c r="AL34" i="7"/>
  <c r="AL183" i="7"/>
  <c r="AM183" i="7" s="1" a="1"/>
  <c r="AL188" i="7"/>
  <c r="AL185" i="7"/>
  <c r="AL182" i="7"/>
  <c r="AM182" i="7" s="1" a="1"/>
  <c r="AL20" i="7"/>
  <c r="AM20" i="7" s="1" a="1"/>
  <c r="AL37" i="7"/>
  <c r="AL163" i="7"/>
  <c r="AM163" i="7" s="1" a="1"/>
  <c r="AL14" i="7"/>
  <c r="AM14" i="7" s="1" a="1"/>
  <c r="AL49" i="7"/>
  <c r="AL154" i="7"/>
  <c r="AL220" i="7"/>
  <c r="AL31" i="7"/>
  <c r="AL61" i="7"/>
  <c r="AL54" i="7"/>
  <c r="AM54" i="7" s="1" a="1"/>
  <c r="AL201" i="7"/>
  <c r="AM201" i="7" s="1" a="1"/>
  <c r="AL196" i="7"/>
  <c r="AM196" i="7" s="1" a="1"/>
  <c r="AL174" i="7"/>
  <c r="AL214" i="7"/>
  <c r="AL190" i="7"/>
  <c r="AL200" i="7"/>
  <c r="AL198" i="7"/>
  <c r="AM198" i="7" s="1" a="1"/>
  <c r="AL143" i="7"/>
  <c r="AL47" i="7"/>
  <c r="AL26" i="7"/>
  <c r="AL24" i="7"/>
  <c r="AL138" i="7"/>
  <c r="AM138" i="7" s="1" a="1"/>
  <c r="AL181" i="7"/>
  <c r="AM181" i="7" s="1" a="1"/>
  <c r="AL142" i="7"/>
  <c r="AM142" i="7" s="1" a="1"/>
  <c r="AL59" i="7"/>
  <c r="AL169" i="7"/>
  <c r="AM169" i="7" s="1" a="1"/>
  <c r="AL205" i="7"/>
  <c r="AL60" i="7"/>
  <c r="AL148" i="7"/>
  <c r="AM148" i="7" s="1" a="1"/>
  <c r="AL28" i="7"/>
  <c r="AM28" i="7" s="1" a="1"/>
  <c r="AL178" i="7"/>
  <c r="AL162" i="7"/>
  <c r="AM162" i="7" s="1" a="1"/>
  <c r="AL186" i="7"/>
  <c r="AL218" i="7"/>
  <c r="AL140" i="7"/>
  <c r="AM140" i="7" s="1" a="1"/>
  <c r="AL102" i="7"/>
  <c r="AM102" i="7" s="1" a="1"/>
  <c r="AL40" i="7"/>
  <c r="AL278" i="7"/>
  <c r="AM278" i="7" s="1" a="1"/>
  <c r="AL189" i="7"/>
  <c r="AL50" i="7"/>
  <c r="AL194" i="7"/>
  <c r="AM194" i="7" s="1" a="1"/>
  <c r="AL193" i="7"/>
  <c r="AM193" i="7" s="1" a="1"/>
  <c r="AL147" i="7"/>
  <c r="AL149" i="7"/>
  <c r="AL62" i="7"/>
  <c r="AL53" i="7"/>
  <c r="AL164" i="7"/>
  <c r="AL252" i="7"/>
  <c r="AL15" i="7"/>
  <c r="AM15" i="7" s="1" a="1"/>
  <c r="AL217" i="7"/>
  <c r="AL202" i="7"/>
  <c r="AM202" i="7" s="1" a="1"/>
  <c r="AL173" i="7"/>
  <c r="AL170" i="7"/>
  <c r="AM170" i="7" s="1" a="1"/>
  <c r="AL166" i="7"/>
  <c r="AL36" i="7"/>
  <c r="AL195" i="7"/>
  <c r="AM195" i="7" s="1" a="1"/>
  <c r="AL175" i="7"/>
  <c r="AL273" i="7"/>
  <c r="AM273" i="7" s="1" a="1"/>
  <c r="AL17" i="7"/>
  <c r="AM17" i="7" s="1" a="1"/>
  <c r="AL253" i="7"/>
  <c r="AL271" i="7"/>
  <c r="AL105" i="7"/>
  <c r="AM105" i="7" s="1" a="1"/>
  <c r="AL19" i="7"/>
  <c r="AM19" i="7" s="1" a="1"/>
  <c r="AL22" i="7"/>
  <c r="AM22" i="7" s="1" a="1"/>
  <c r="AL52" i="7"/>
  <c r="AL30" i="7"/>
  <c r="AM30" i="7" s="1" a="1"/>
  <c r="AL161" i="7"/>
  <c r="AM161" i="7" s="1" a="1"/>
  <c r="AL265" i="7"/>
  <c r="AM265" i="7" s="1" a="1"/>
  <c r="AL191" i="7"/>
  <c r="AL39" i="7"/>
  <c r="AL158" i="7"/>
  <c r="AL192" i="7"/>
  <c r="AL159" i="7"/>
  <c r="AL111" i="7"/>
  <c r="AL42" i="7"/>
  <c r="AL244" i="7"/>
  <c r="AL16" i="7"/>
  <c r="AM16" i="7" s="1" a="1"/>
  <c r="AL151" i="7"/>
  <c r="AL207" i="7"/>
  <c r="AL179" i="7"/>
  <c r="AL18" i="7"/>
  <c r="AM18" i="7" s="1" a="1"/>
  <c r="AL29" i="7"/>
  <c r="AM29" i="7" s="1" a="1"/>
  <c r="AL209" i="7"/>
  <c r="AL165" i="7"/>
  <c r="AL145" i="7"/>
  <c r="AL153" i="7"/>
  <c r="AL197" i="7"/>
  <c r="AM197" i="7" s="1" a="1"/>
  <c r="AL272" i="7"/>
  <c r="AM272" i="7" s="1" a="1"/>
  <c r="AL41" i="7"/>
  <c r="AL216" i="7"/>
  <c r="AL199" i="7"/>
  <c r="AM199" i="7" s="1" a="1"/>
  <c r="AL58" i="7"/>
  <c r="AL215" i="7"/>
  <c r="AL32" i="7"/>
  <c r="AL212" i="7"/>
  <c r="AL35" i="7"/>
  <c r="AL243" i="7"/>
  <c r="AL27" i="7"/>
  <c r="AM27" i="7" s="1" a="1"/>
  <c r="AL57" i="7"/>
  <c r="AL160" i="7"/>
  <c r="AM160" i="7" s="1" a="1"/>
  <c r="AL213" i="7"/>
  <c r="AJ223" i="7"/>
  <c r="AJ206" i="7"/>
  <c r="AJ222" i="7"/>
  <c r="AJ224" i="7"/>
  <c r="AJ210" i="7"/>
  <c r="AJ221" i="7"/>
  <c r="X223" i="7"/>
  <c r="Y223" i="7"/>
  <c r="W223" i="7"/>
  <c r="W222" i="7"/>
  <c r="X222" i="7"/>
  <c r="Y222" i="7"/>
  <c r="Y210" i="7"/>
  <c r="W210" i="7"/>
  <c r="X210" i="7"/>
  <c r="X206" i="7"/>
  <c r="W206" i="7"/>
  <c r="Y206" i="7"/>
  <c r="Y224" i="7"/>
  <c r="X224" i="7"/>
  <c r="W224" i="7"/>
  <c r="Y221" i="7"/>
  <c r="X221" i="7"/>
  <c r="W221" i="7"/>
  <c r="AL206" i="7" l="1"/>
  <c r="AL223" i="7"/>
  <c r="AL221" i="7"/>
  <c r="AL210" i="7"/>
  <c r="AL224" i="7"/>
  <c r="AL222" i="7"/>
  <c r="H4" i="4"/>
  <c r="I4" i="4" s="1"/>
  <c r="AM110" i="7" l="1" a="1"/>
  <c r="AM150" i="7" a="1"/>
  <c r="AM152" i="7" a="1"/>
  <c r="AM146" i="7" a="1"/>
  <c r="AM144" i="7" a="1"/>
  <c r="AM224" i="7" a="1"/>
  <c r="AM154" i="7" a="1"/>
  <c r="AM143" i="7" a="1"/>
  <c r="AM100" i="7" a="1"/>
  <c r="AM255" i="7" a="1"/>
  <c r="AM61" i="7" a="1"/>
  <c r="AM47" i="7" a="1"/>
  <c r="AM174" i="7" a="1"/>
  <c r="AM117" i="7" a="1"/>
  <c r="AM121" i="7" a="1"/>
  <c r="AM217" i="7" a="1"/>
  <c r="AM246" i="7" a="1"/>
  <c r="AM297" i="7" a="1"/>
  <c r="AM59" i="7" a="1"/>
  <c r="AM147" i="7" a="1"/>
  <c r="AM40" i="7" a="1"/>
  <c r="AM221" i="7" a="1"/>
  <c r="AM56" i="7" a="1"/>
  <c r="AM171" i="7" a="1"/>
  <c r="AM237" i="7" a="1"/>
  <c r="AM156" i="7" a="1"/>
  <c r="AM244" i="7" a="1"/>
  <c r="AM271" i="7" a="1"/>
  <c r="AM211" i="7" a="1"/>
  <c r="AM254" i="7" a="1"/>
  <c r="AM275" i="7" a="1"/>
  <c r="AM188" i="7" a="1"/>
  <c r="AM238" i="7" a="1"/>
  <c r="AM218" i="7" a="1"/>
  <c r="AM58" i="7" a="1"/>
  <c r="AM206" i="7" a="1"/>
  <c r="AM123" i="7" a="1"/>
  <c r="AM26" i="7" a="1"/>
  <c r="AM214" i="7" a="1"/>
  <c r="AM112" i="7" a="1"/>
  <c r="AM111" i="7" a="1"/>
  <c r="AM104" i="7" a="1"/>
  <c r="AM53" i="7" a="1"/>
  <c r="AM109" i="7" a="1"/>
  <c r="AM245" i="7" a="1"/>
  <c r="AM149" i="7" a="1"/>
  <c r="AM166" i="7" a="1"/>
  <c r="AM259" i="7" a="1"/>
  <c r="AM216" i="7" a="1"/>
  <c r="AM124" i="7" a="1"/>
  <c r="AM39" i="7" a="1"/>
  <c r="AM235" i="7" a="1"/>
  <c r="AM50" i="7" a="1"/>
  <c r="AM25" i="7" a="1"/>
  <c r="AM42" i="7" a="1"/>
  <c r="AM253" i="7" a="1"/>
  <c r="AM62" i="7" a="1"/>
  <c r="AM151" i="7" a="1"/>
  <c r="AM164" i="7" a="1"/>
  <c r="AM45" i="7" a="1"/>
  <c r="AM41" i="7" a="1"/>
  <c r="AM267" i="7" a="1"/>
  <c r="AM177" i="7" a="1"/>
  <c r="AM51" i="7" a="1"/>
  <c r="AM247" i="7" a="1"/>
  <c r="AM153" i="7" a="1"/>
  <c r="AM36" i="7" a="1"/>
  <c r="AM192" i="7" a="1"/>
  <c r="AM248" i="7" a="1"/>
  <c r="AM298" i="7" a="1"/>
  <c r="AM212" i="7" a="1"/>
  <c r="AM233" i="7" a="1"/>
  <c r="AM60" i="7" a="1"/>
  <c r="AM231" i="7" a="1"/>
  <c r="AM210" i="7" a="1"/>
  <c r="AM179" i="7" a="1"/>
  <c r="AM296" i="7" a="1"/>
  <c r="AM108" i="7" a="1"/>
  <c r="AM266" i="7" a="1"/>
  <c r="AM118" i="7" a="1"/>
  <c r="AM173" i="7" a="1"/>
  <c r="AM55" i="7" a="1"/>
  <c r="AM46" i="7" a="1"/>
  <c r="AM44" i="7" a="1"/>
  <c r="AM35" i="7" a="1"/>
  <c r="AM263" i="7" a="1"/>
  <c r="AM43" i="7" a="1"/>
  <c r="AM106" i="7" a="1"/>
  <c r="AM186" i="7" a="1"/>
  <c r="AM209" i="7" a="1"/>
  <c r="AM219" i="7" a="1"/>
  <c r="AM223" i="7" a="1"/>
  <c r="AM243" i="7" a="1"/>
  <c r="AM203" i="7" a="1"/>
  <c r="AM270" i="7" a="1"/>
  <c r="AM168" i="7" a="1"/>
  <c r="AM175" i="7" a="1"/>
  <c r="AM232" i="7" a="1"/>
  <c r="AM145" i="7" a="1"/>
  <c r="AM185" i="7" a="1"/>
  <c r="AM31" i="7" a="1"/>
  <c r="AM176" i="7" a="1"/>
  <c r="AM49" i="7" a="1"/>
  <c r="AM220" i="7" a="1"/>
  <c r="AM52" i="7" a="1"/>
  <c r="AM264" i="7" a="1"/>
  <c r="AM215" i="7" a="1"/>
  <c r="AM190" i="7" a="1"/>
  <c r="AM200" i="7" a="1"/>
  <c r="AM205" i="7" a="1"/>
  <c r="AM24" i="7" a="1"/>
  <c r="AM178" i="7" a="1"/>
  <c r="AM159" i="7" a="1"/>
  <c r="AM122" i="7" a="1"/>
  <c r="AM213" i="7" a="1"/>
  <c r="AM189" i="7" a="1"/>
  <c r="AM222" i="7" a="1"/>
  <c r="AM119" i="7" a="1"/>
  <c r="AM252" i="7" a="1"/>
  <c r="AM37" i="7" a="1"/>
  <c r="AM57" i="7" a="1"/>
  <c r="AM165" i="7" a="1"/>
  <c r="AM191" i="7" a="1"/>
  <c r="AM32" i="7" a="1"/>
  <c r="AM158" i="7" a="1"/>
  <c r="AM33" i="7" a="1"/>
  <c r="AM120" i="7" a="1"/>
  <c r="AM276" i="7" a="1"/>
  <c r="AM34" i="7" a="1"/>
  <c r="AM38" i="7" a="1"/>
  <c r="AM101" i="7" a="1"/>
  <c r="AM236" i="7" a="1"/>
  <c r="AM207" i="7" a="1"/>
  <c r="N4" i="4"/>
  <c r="N12" i="4" s="1"/>
  <c r="M12" i="4" l="1"/>
  <c r="P2" i="4"/>
  <c r="P12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Hohenwarter  Johanna</author>
  </authors>
  <commentList>
    <comment ref="Q296" authorId="0" shapeId="0" xr:uid="{54A3AD05-5449-44BC-AD12-EFD12506938E}">
      <text>
        <r>
          <rPr>
            <b/>
            <sz val="9"/>
            <color indexed="81"/>
            <rFont val="Tahoma"/>
            <family val="2"/>
          </rPr>
          <t>Hohenwarter  Johanna:</t>
        </r>
        <r>
          <rPr>
            <sz val="9"/>
            <color indexed="81"/>
            <rFont val="Tahoma"/>
            <family val="2"/>
          </rPr>
          <t xml:space="preserve">
kg/m2</t>
        </r>
      </text>
    </comment>
    <comment ref="V296" authorId="0" shapeId="0" xr:uid="{98470BD7-3422-4CCD-98F3-D2F37E32DAD0}">
      <text>
        <r>
          <rPr>
            <b/>
            <sz val="9"/>
            <color indexed="81"/>
            <rFont val="Tahoma"/>
            <family val="2"/>
          </rPr>
          <t>Hohenwarter  Johanna:</t>
        </r>
        <r>
          <rPr>
            <sz val="9"/>
            <color indexed="81"/>
            <rFont val="Tahoma"/>
            <family val="2"/>
          </rPr>
          <t xml:space="preserve">
per m2</t>
        </r>
      </text>
    </comment>
    <comment ref="Q297" authorId="0" shapeId="0" xr:uid="{AB415DB1-575D-4663-B2E4-5B69B6A735D9}">
      <text>
        <r>
          <rPr>
            <b/>
            <sz val="9"/>
            <color indexed="81"/>
            <rFont val="Tahoma"/>
            <family val="2"/>
          </rPr>
          <t>Hohenwarter  Johanna:</t>
        </r>
        <r>
          <rPr>
            <sz val="9"/>
            <color indexed="81"/>
            <rFont val="Tahoma"/>
            <family val="2"/>
          </rPr>
          <t xml:space="preserve">
kg/m2</t>
        </r>
      </text>
    </comment>
    <comment ref="V297" authorId="0" shapeId="0" xr:uid="{1EECCD5D-1282-4B63-ACA9-9B4109C9A4C3}">
      <text>
        <r>
          <rPr>
            <b/>
            <sz val="9"/>
            <color indexed="81"/>
            <rFont val="Tahoma"/>
            <family val="2"/>
          </rPr>
          <t>Hohenwarter  Johanna:</t>
        </r>
        <r>
          <rPr>
            <sz val="9"/>
            <color indexed="81"/>
            <rFont val="Tahoma"/>
            <family val="2"/>
          </rPr>
          <t xml:space="preserve">
per m2</t>
        </r>
      </text>
    </comment>
    <comment ref="Q298" authorId="0" shapeId="0" xr:uid="{E139213B-83E8-41EC-AD29-D17AF44141A4}">
      <text>
        <r>
          <rPr>
            <b/>
            <sz val="9"/>
            <color indexed="81"/>
            <rFont val="Tahoma"/>
            <family val="2"/>
          </rPr>
          <t>Hohenwarter  Johanna:</t>
        </r>
        <r>
          <rPr>
            <sz val="9"/>
            <color indexed="81"/>
            <rFont val="Tahoma"/>
            <family val="2"/>
          </rPr>
          <t xml:space="preserve">
kg/m2</t>
        </r>
      </text>
    </comment>
    <comment ref="V298" authorId="0" shapeId="0" xr:uid="{E5AC014A-8069-46B1-BC95-B6660A57D6D2}">
      <text>
        <r>
          <rPr>
            <b/>
            <sz val="9"/>
            <color indexed="81"/>
            <rFont val="Tahoma"/>
            <family val="2"/>
          </rPr>
          <t>Hohenwarter  Johanna:</t>
        </r>
        <r>
          <rPr>
            <sz val="9"/>
            <color indexed="81"/>
            <rFont val="Tahoma"/>
            <family val="2"/>
          </rPr>
          <t xml:space="preserve">
per m2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Buss  Christian</author>
  </authors>
  <commentList>
    <comment ref="H1" authorId="0" shapeId="0" xr:uid="{040EB4E1-88A8-418C-B4D6-D4214F7ED5FE}">
      <text>
        <r>
          <rPr>
            <b/>
            <sz val="9"/>
            <color indexed="81"/>
            <rFont val="Tahoma"/>
            <family val="2"/>
          </rPr>
          <t>Buss  Christian:</t>
        </r>
        <r>
          <rPr>
            <sz val="9"/>
            <color indexed="81"/>
            <rFont val="Tahoma"/>
            <family val="2"/>
          </rPr>
          <t xml:space="preserve">
Anpassen auf kg/kg um der eigenen Konvention für einheitliche Einheiten zu entsprechen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<sst xmlns="http://schemas.openxmlformats.org/spreadsheetml/2006/main" count="4865" uniqueCount="986">
  <si>
    <t>B500B</t>
  </si>
  <si>
    <t>GL24h</t>
  </si>
  <si>
    <t>CEM II/B CH-Mix</t>
  </si>
  <si>
    <t>Betonsortenrechner</t>
  </si>
  <si>
    <t>Brettschichtholz KBOB, CH</t>
  </si>
  <si>
    <t>NPK B, RC-C50</t>
  </si>
  <si>
    <t>C25/30</t>
  </si>
  <si>
    <t>mat_ID [Integer]</t>
  </si>
  <si>
    <t>name[string]</t>
  </si>
  <si>
    <t>Ecoinvent</t>
  </si>
  <si>
    <t>Cement Portland</t>
  </si>
  <si>
    <t>C30/37</t>
  </si>
  <si>
    <t>ZN/D 50% RC-C</t>
  </si>
  <si>
    <t>ZN/D 35% RC-C</t>
  </si>
  <si>
    <t>CEM II/A CH-Mix</t>
  </si>
  <si>
    <t>3.10-cutoff-13129</t>
  </si>
  <si>
    <t>3.10-cutoff-14008</t>
  </si>
  <si>
    <t>3.10-cutoff-25454</t>
  </si>
  <si>
    <t>3.10-cutoff-25876</t>
  </si>
  <si>
    <t>3.10-cutoff-25970</t>
  </si>
  <si>
    <t>3.10-cutoff-26060</t>
  </si>
  <si>
    <t>ZN/D 30% RC-M</t>
  </si>
  <si>
    <t>3.10-cutoff-26251</t>
  </si>
  <si>
    <t>ZN/D &lt;30% RC-M</t>
  </si>
  <si>
    <t>3.10-cutoff-27242</t>
  </si>
  <si>
    <t>3.10-cutoff-27344</t>
  </si>
  <si>
    <t>CEMII/B CH-Mix</t>
  </si>
  <si>
    <t>C20/25</t>
  </si>
  <si>
    <t>3.10-cutoff-26270</t>
  </si>
  <si>
    <t>ZN/D CH-Mix</t>
  </si>
  <si>
    <t>NPK A</t>
  </si>
  <si>
    <t>FSKB-Sorte A-2023-1-ECOINVENT</t>
  </si>
  <si>
    <t>FSKB-Sorte B 2023-1-ECOINVENT</t>
  </si>
  <si>
    <t>NPK B</t>
  </si>
  <si>
    <t>FSKB-Sorte C 2023-1-ECOINVENT</t>
  </si>
  <si>
    <t>NPK C</t>
  </si>
  <si>
    <t>NPK A, RC-C25</t>
  </si>
  <si>
    <t>NPK A, RC-C50</t>
  </si>
  <si>
    <t>Hochbaubeton KBOB</t>
  </si>
  <si>
    <t xml:space="preserve">3.10-cutoff-14125 </t>
  </si>
  <si>
    <t>NPK B, RC-C25</t>
  </si>
  <si>
    <t>CEM II/B-LL CH-Mix</t>
  </si>
  <si>
    <t>FSKB</t>
  </si>
  <si>
    <t>XC1 (CH), XC2 (CH)</t>
  </si>
  <si>
    <t>C3</t>
  </si>
  <si>
    <t>S-P-05247</t>
  </si>
  <si>
    <t>Stahl Geralfingen AG -  AFV Beltrame Group</t>
  </si>
  <si>
    <t xml:space="preserve">Betonstahl </t>
  </si>
  <si>
    <t>EPD-BSW-20210265-CBA1-DE</t>
  </si>
  <si>
    <t>Baustahlgewebe GmbH</t>
  </si>
  <si>
    <t>Betonstahl</t>
  </si>
  <si>
    <t>CH</t>
  </si>
  <si>
    <t>Feralpi Siderurgica SPA</t>
  </si>
  <si>
    <t>EPDtondo_2020</t>
  </si>
  <si>
    <t>Ferriere Nord S.p.A.</t>
  </si>
  <si>
    <t>Lamines Merchands Europèens S.A.</t>
  </si>
  <si>
    <t>S-P-11714</t>
  </si>
  <si>
    <t>EPDITALY0015</t>
  </si>
  <si>
    <t>Alfa Acciai</t>
  </si>
  <si>
    <t>EPD-LSW-237-DE</t>
  </si>
  <si>
    <t>Lech-Stahlwerke GmbH</t>
  </si>
  <si>
    <t xml:space="preserve"> S-P-00306</t>
  </si>
  <si>
    <t>Celsa Steel Service AS</t>
  </si>
  <si>
    <t>S-P-07498</t>
  </si>
  <si>
    <t>Celsea Steel UK</t>
  </si>
  <si>
    <t>UK</t>
  </si>
  <si>
    <t>Celsea Barcelona</t>
  </si>
  <si>
    <t>S-P-08917</t>
  </si>
  <si>
    <t>EPD-ESF Elbe-Stahlwerke Feralpi-310-DE</t>
  </si>
  <si>
    <t>ESF Elbe-Stahlwerke Feralpi GmbH</t>
  </si>
  <si>
    <t>EPD-ESF Elbe-Stahlwerke Feralpi 309-DE</t>
  </si>
  <si>
    <t>S-P-00256</t>
  </si>
  <si>
    <t>EPD-RIVA ACIER-197-EN</t>
  </si>
  <si>
    <t>Riva Acier S.A.S.</t>
  </si>
  <si>
    <t>EPD-RIVA-132-DE</t>
  </si>
  <si>
    <t xml:space="preserve">RIVA Stahl GmbH </t>
  </si>
  <si>
    <t>000126</t>
  </si>
  <si>
    <t>ALPA Acierie et Laminoirs de Paris</t>
  </si>
  <si>
    <t>000137</t>
  </si>
  <si>
    <t>Magesa Siderurgica S.L.</t>
  </si>
  <si>
    <t>XC3 (CH)</t>
  </si>
  <si>
    <t>XC4 (CH), XF1 (CH)</t>
  </si>
  <si>
    <t>C3/F4</t>
  </si>
  <si>
    <t>FSKB-Sorte D 2023-1-ECOINVENT</t>
  </si>
  <si>
    <t>NPK D</t>
  </si>
  <si>
    <t>XC4 (CH), XD1 (CH), XF2 (CH)</t>
  </si>
  <si>
    <t>FSKB-Sorte E 2023-1-ECOINVENT</t>
  </si>
  <si>
    <t xml:space="preserve">NPK E </t>
  </si>
  <si>
    <t>XC4 (CH), XD1 (CH), XF4 (CH)</t>
  </si>
  <si>
    <t>FSKB-Sorte F 2023-1-ECOINVENT</t>
  </si>
  <si>
    <t>NPK F</t>
  </si>
  <si>
    <t>XC4 (CH), XD3 (CH), XF2 (CH)</t>
  </si>
  <si>
    <t>FSKB-Sorte G 2023-1-ECOINVENT</t>
  </si>
  <si>
    <t>NPK G</t>
  </si>
  <si>
    <t>XC4 (CH), XD3 (CH), XF4 (CH)</t>
  </si>
  <si>
    <t>EPD­­SLH­­20180066­­IBC1­­EN</t>
  </si>
  <si>
    <t>Schilliger Holz AG</t>
  </si>
  <si>
    <t>EPD-SLH-20230514-IBC3-DE</t>
  </si>
  <si>
    <t>BSH</t>
  </si>
  <si>
    <t>EPD-WIG-20240079-IBB1-DE</t>
  </si>
  <si>
    <t>Wiehag Timber Construction GmbH</t>
  </si>
  <si>
    <t>EPD­HAS­20210171­IBD1­DE</t>
  </si>
  <si>
    <t>Hasslacher Holding GmbH</t>
  </si>
  <si>
    <t>EPD-RUB-20230230-IBC1-DE</t>
  </si>
  <si>
    <t>Rubner Holding AG</t>
  </si>
  <si>
    <t>Binderholz GmbH</t>
  </si>
  <si>
    <t>EPD-BBS-20190164-IBA1-DE</t>
  </si>
  <si>
    <t>EPD­HAS­20210170­IBD1­DE</t>
  </si>
  <si>
    <t>KVH</t>
  </si>
  <si>
    <t>Holzwerk Gebr. Schneider GmbH</t>
  </si>
  <si>
    <t>EPD-HWS-20240044-IBA2-DE</t>
  </si>
  <si>
    <t>EPD-HWS-20240043-IBA2-DE</t>
  </si>
  <si>
    <t>CLT</t>
  </si>
  <si>
    <t>C24</t>
  </si>
  <si>
    <t>EPD­SLH­20200098­IBC1­DE</t>
  </si>
  <si>
    <t>Balkenschichtholz</t>
  </si>
  <si>
    <t>in Verifizierung</t>
  </si>
  <si>
    <t>S-P-04195</t>
  </si>
  <si>
    <t>KLH Massivholz GmbH</t>
  </si>
  <si>
    <t>EPD_ID</t>
  </si>
  <si>
    <t>Cost</t>
  </si>
  <si>
    <t>A1toA3_GWP</t>
  </si>
  <si>
    <t>Total_GWP</t>
  </si>
  <si>
    <t>C1toC4_GWP</t>
  </si>
  <si>
    <t>EPD­BFS­20180116­IBG2­DE</t>
  </si>
  <si>
    <t>bauforumstahl e.V.</t>
  </si>
  <si>
    <t>SZS-EPD-2014-01</t>
  </si>
  <si>
    <t>SZS</t>
  </si>
  <si>
    <t>Baustahl</t>
  </si>
  <si>
    <t>EPD-STH-20230471-IAB1-EN</t>
  </si>
  <si>
    <t>Stahlwerk Thüringen</t>
  </si>
  <si>
    <t>EPD-ARC-20210132-CBB1-EN</t>
  </si>
  <si>
    <t>ArcelorMittal Europe</t>
  </si>
  <si>
    <t>Baustahl Xcarb</t>
  </si>
  <si>
    <t>Baustahl green steel</t>
  </si>
  <si>
    <t>EPD-BFS-20230271-IBG1-EN</t>
  </si>
  <si>
    <t>bauforumstahl e.V</t>
  </si>
  <si>
    <t>bauforumstahl e.V. &amp; Industrieverband Feuerverzinken e.V</t>
  </si>
  <si>
    <t>EPD-BFS-20180167-IBG1-DE</t>
  </si>
  <si>
    <t>Baustahl feuerverzinkt</t>
  </si>
  <si>
    <t>3.10-cutoff-22626</t>
  </si>
  <si>
    <t>BSH PUR glue</t>
  </si>
  <si>
    <t>BSH MUF glue</t>
  </si>
  <si>
    <t>3.10-cutoff-23391</t>
  </si>
  <si>
    <t>3.10-cutoff-22422</t>
  </si>
  <si>
    <t>Europe w/o CH</t>
  </si>
  <si>
    <t>3.10-cutoff-22512</t>
  </si>
  <si>
    <t>RER</t>
  </si>
  <si>
    <t>Brettsperrholz KBOB, CH</t>
  </si>
  <si>
    <t>Brettsperrholz KBOB</t>
  </si>
  <si>
    <t>3.10-cutoff-23396</t>
  </si>
  <si>
    <t>3.10-cutoff-23733</t>
  </si>
  <si>
    <t>structural timber</t>
  </si>
  <si>
    <t>Nedri Spanstaal BV</t>
  </si>
  <si>
    <t>1.1.00653.2024</t>
  </si>
  <si>
    <t>NL</t>
  </si>
  <si>
    <t>Spannstahl</t>
  </si>
  <si>
    <t>prestressing steel</t>
  </si>
  <si>
    <t>S-P- 01959</t>
  </si>
  <si>
    <t>ND</t>
  </si>
  <si>
    <t>S-P-13304</t>
  </si>
  <si>
    <t>PT</t>
  </si>
  <si>
    <t>original: per kg</t>
  </si>
  <si>
    <t>S-P-02401</t>
  </si>
  <si>
    <t>Hjulsbro Steel</t>
  </si>
  <si>
    <t>1.1.00267.2021</t>
  </si>
  <si>
    <t>Fnsteel Hjulsbro AB</t>
  </si>
  <si>
    <t>Tycsa PSC</t>
  </si>
  <si>
    <t>GlobalEPD 001-006</t>
  </si>
  <si>
    <t>ES</t>
  </si>
  <si>
    <t>GlobalEPD 001-005</t>
  </si>
  <si>
    <t>S-P-02400</t>
  </si>
  <si>
    <t>PC_001</t>
  </si>
  <si>
    <t>PC_002</t>
  </si>
  <si>
    <t>PC_003</t>
  </si>
  <si>
    <t>PC_004</t>
  </si>
  <si>
    <t>PC_005</t>
  </si>
  <si>
    <t>PC_006</t>
  </si>
  <si>
    <t>PC_007</t>
  </si>
  <si>
    <t>PC_008</t>
  </si>
  <si>
    <t>PC_009</t>
  </si>
  <si>
    <t>CPC_01</t>
  </si>
  <si>
    <t>CPC_02</t>
  </si>
  <si>
    <t>Holcim Deutschland GmbH</t>
  </si>
  <si>
    <t>1 m2 mit 4 cm</t>
  </si>
  <si>
    <t>1 m2 mit 7 cm</t>
  </si>
  <si>
    <t>EPC CPC 40</t>
  </si>
  <si>
    <t>EPD CPC 70</t>
  </si>
  <si>
    <t>concrete element</t>
  </si>
  <si>
    <t>S_999</t>
  </si>
  <si>
    <t>S_001</t>
  </si>
  <si>
    <t>C_999</t>
  </si>
  <si>
    <t>C_001</t>
  </si>
  <si>
    <t>C_002</t>
  </si>
  <si>
    <t>C_003</t>
  </si>
  <si>
    <t>C_004</t>
  </si>
  <si>
    <t>C_005</t>
  </si>
  <si>
    <t>C_006</t>
  </si>
  <si>
    <t>C_007</t>
  </si>
  <si>
    <t>S_003</t>
  </si>
  <si>
    <t>S_005</t>
  </si>
  <si>
    <t>S_006</t>
  </si>
  <si>
    <t>S_007</t>
  </si>
  <si>
    <t>S_002</t>
  </si>
  <si>
    <t>S_008</t>
  </si>
  <si>
    <t>S_009</t>
  </si>
  <si>
    <t>S_010</t>
  </si>
  <si>
    <t>S_011</t>
  </si>
  <si>
    <t>S_012</t>
  </si>
  <si>
    <t>S_016</t>
  </si>
  <si>
    <t>S_004</t>
  </si>
  <si>
    <t>S_014</t>
  </si>
  <si>
    <t>S_015</t>
  </si>
  <si>
    <t>S_013</t>
  </si>
  <si>
    <t>S_017</t>
  </si>
  <si>
    <t>S-P-00253</t>
  </si>
  <si>
    <t>Ferriera Valsabbia</t>
  </si>
  <si>
    <t>Fapricela-Industria de Trefilaria S.A.</t>
  </si>
  <si>
    <t>W_999</t>
  </si>
  <si>
    <t>W_998</t>
  </si>
  <si>
    <t>W_997</t>
  </si>
  <si>
    <t>W_996</t>
  </si>
  <si>
    <t>W_003</t>
  </si>
  <si>
    <t>W_004</t>
  </si>
  <si>
    <t>W_006</t>
  </si>
  <si>
    <t>W_009</t>
  </si>
  <si>
    <t>W_010</t>
  </si>
  <si>
    <t>W_012</t>
  </si>
  <si>
    <t>W_002</t>
  </si>
  <si>
    <t>W_001</t>
  </si>
  <si>
    <t>NEPD-2587-1314-EN</t>
  </si>
  <si>
    <t>W_013</t>
  </si>
  <si>
    <t>Södra Skogsägarna ekonomisk förening</t>
  </si>
  <si>
    <t>NEPD-3329-1967-EN</t>
  </si>
  <si>
    <t>Setra Trävor AB</t>
  </si>
  <si>
    <t>W_014</t>
  </si>
  <si>
    <t>Stora Enso</t>
  </si>
  <si>
    <t>S-P-09949</t>
  </si>
  <si>
    <t>SE</t>
  </si>
  <si>
    <t>AT, SE, CZ</t>
  </si>
  <si>
    <t>AT</t>
  </si>
  <si>
    <t>W_015</t>
  </si>
  <si>
    <t>W_016</t>
  </si>
  <si>
    <t>EPD-BBS-20190021-IBB1-EN</t>
  </si>
  <si>
    <t>AT, DE</t>
  </si>
  <si>
    <t>CLT BBS</t>
  </si>
  <si>
    <t>EPD­HAS­20210172­IBD1­EN</t>
  </si>
  <si>
    <t>W_017</t>
  </si>
  <si>
    <t>NEPD-3794-2722-EN</t>
  </si>
  <si>
    <t>Cross Timber Systems SIA</t>
  </si>
  <si>
    <t>W_018</t>
  </si>
  <si>
    <t>W_019</t>
  </si>
  <si>
    <t xml:space="preserve"> EPD-SHL-20180035-IBG1-EN</t>
  </si>
  <si>
    <t>NEPD-2042-902-NO</t>
  </si>
  <si>
    <t>Splitikon AS</t>
  </si>
  <si>
    <t>W_020</t>
  </si>
  <si>
    <t>W_021</t>
  </si>
  <si>
    <t>Artuso Legnami</t>
  </si>
  <si>
    <t>S-P-01408</t>
  </si>
  <si>
    <t>W_007</t>
  </si>
  <si>
    <t>W_005</t>
  </si>
  <si>
    <t>W_022</t>
  </si>
  <si>
    <t>Derix Gmbh</t>
  </si>
  <si>
    <t>1.1.00280.2022</t>
  </si>
  <si>
    <t>DE</t>
  </si>
  <si>
    <t>NEPD-6853-6154-EN</t>
  </si>
  <si>
    <t>W_023</t>
  </si>
  <si>
    <t>NEPD-1662-655-EN</t>
  </si>
  <si>
    <t>W_024</t>
  </si>
  <si>
    <t>W_025</t>
  </si>
  <si>
    <t>EPD-HLG-20220052-IBC1-DE</t>
  </si>
  <si>
    <t>Holzwerke Ladenburger GmbH</t>
  </si>
  <si>
    <t>MD-22038-EN</t>
  </si>
  <si>
    <t>W_026</t>
  </si>
  <si>
    <t>Lilleheden A/S</t>
  </si>
  <si>
    <t>DK</t>
  </si>
  <si>
    <t>W_027</t>
  </si>
  <si>
    <t>NEPD-3736-2685-SE</t>
  </si>
  <si>
    <t>Moelven Töreboda AB</t>
  </si>
  <si>
    <t>29.29.2022</t>
  </si>
  <si>
    <t>W_028</t>
  </si>
  <si>
    <t>EPD-SHL-20180027-IBG1-EN</t>
  </si>
  <si>
    <t>Studiengemeinschaft Holzleimbau e.V.</t>
  </si>
  <si>
    <t>S-P-04453</t>
  </si>
  <si>
    <t>W_029</t>
  </si>
  <si>
    <t>ZAZA Tiimber Production</t>
  </si>
  <si>
    <t>LT</t>
  </si>
  <si>
    <t>LV</t>
  </si>
  <si>
    <t>NEPD-2764-1460-EN</t>
  </si>
  <si>
    <t>Jures Glulam</t>
  </si>
  <si>
    <t>W_030</t>
  </si>
  <si>
    <t>FR</t>
  </si>
  <si>
    <t>IT</t>
  </si>
  <si>
    <t>NO</t>
  </si>
  <si>
    <t>-</t>
  </si>
  <si>
    <t>S-P-02537</t>
  </si>
  <si>
    <t>W_031</t>
  </si>
  <si>
    <t>Svenskt Trä</t>
  </si>
  <si>
    <t>NEPD-2546-1284-EN</t>
  </si>
  <si>
    <t>S-P-06869</t>
  </si>
  <si>
    <t>W_032</t>
  </si>
  <si>
    <t>W_033</t>
  </si>
  <si>
    <t>Jordeson Timber</t>
  </si>
  <si>
    <t>EPD-EGG-20200248-IBC1-EN</t>
  </si>
  <si>
    <t>Egger Sägewerk Brilon GmbH</t>
  </si>
  <si>
    <t>W_034</t>
  </si>
  <si>
    <t>S-P-02150</t>
  </si>
  <si>
    <t>W_035</t>
  </si>
  <si>
    <t>W_036</t>
  </si>
  <si>
    <t>S-P-07215</t>
  </si>
  <si>
    <t>UPM</t>
  </si>
  <si>
    <t>FI</t>
  </si>
  <si>
    <t>PRO_ID</t>
  </si>
  <si>
    <t>wood</t>
  </si>
  <si>
    <t>mineral_building_products</t>
  </si>
  <si>
    <t>ready_mixed_concrete</t>
  </si>
  <si>
    <t>metals</t>
  </si>
  <si>
    <t>Steel_reinforcing_bar</t>
  </si>
  <si>
    <t>Structural_steel_profile</t>
  </si>
  <si>
    <t>Glue_laminated_timber</t>
  </si>
  <si>
    <t>Solid_structural_timber</t>
  </si>
  <si>
    <t>Duo_Trio_Laminated_Beams</t>
  </si>
  <si>
    <t>1.4.01</t>
  </si>
  <si>
    <t>4.1.01</t>
  </si>
  <si>
    <t>4.1.03</t>
  </si>
  <si>
    <t>Anmerkung</t>
  </si>
  <si>
    <t>3.1.04</t>
  </si>
  <si>
    <t>3.1.02</t>
  </si>
  <si>
    <t>3.1.03</t>
  </si>
  <si>
    <t>ID</t>
  </si>
  <si>
    <t>C_901</t>
  </si>
  <si>
    <t>C_902</t>
  </si>
  <si>
    <t>C_903</t>
  </si>
  <si>
    <t>C_904</t>
  </si>
  <si>
    <t>C_905</t>
  </si>
  <si>
    <t>C_906</t>
  </si>
  <si>
    <t>C_907</t>
  </si>
  <si>
    <t>C_908</t>
  </si>
  <si>
    <t>C_909</t>
  </si>
  <si>
    <t>C_910</t>
  </si>
  <si>
    <t>C_911</t>
  </si>
  <si>
    <t>C_801</t>
  </si>
  <si>
    <t>C_802</t>
  </si>
  <si>
    <t>C_803</t>
  </si>
  <si>
    <t>C_804</t>
  </si>
  <si>
    <t>C_805</t>
  </si>
  <si>
    <t>C_806</t>
  </si>
  <si>
    <t>C_807</t>
  </si>
  <si>
    <t>C_808</t>
  </si>
  <si>
    <t>C_809</t>
  </si>
  <si>
    <t>C_810</t>
  </si>
  <si>
    <t>C_811</t>
  </si>
  <si>
    <t>W_901</t>
  </si>
  <si>
    <t>W_902</t>
  </si>
  <si>
    <t>W_903</t>
  </si>
  <si>
    <t>W_904</t>
  </si>
  <si>
    <t>W_905</t>
  </si>
  <si>
    <t>W_906</t>
  </si>
  <si>
    <t>W_008</t>
  </si>
  <si>
    <t>W_011</t>
  </si>
  <si>
    <t>A_999</t>
  </si>
  <si>
    <t>A_001</t>
  </si>
  <si>
    <t>A_002</t>
  </si>
  <si>
    <t>A_003</t>
  </si>
  <si>
    <t>A_004</t>
  </si>
  <si>
    <t>A_005</t>
  </si>
  <si>
    <t>A_006</t>
  </si>
  <si>
    <t>W_995</t>
  </si>
  <si>
    <t>OEKOBAUDAT_ID</t>
  </si>
  <si>
    <t>MATERIAL_GROUP</t>
  </si>
  <si>
    <t>MATERIAL</t>
  </si>
  <si>
    <t>SOURCE</t>
  </si>
  <si>
    <t>PRODUCT_NAME</t>
  </si>
  <si>
    <t>VALID_TO</t>
  </si>
  <si>
    <t>EPD_DATE</t>
  </si>
  <si>
    <t>CEMENT</t>
  </si>
  <si>
    <t>MECH_PROP</t>
  </si>
  <si>
    <t>DENSITY</t>
  </si>
  <si>
    <t>EXPOSITIONSKLASSE</t>
  </si>
  <si>
    <t>GROESSTKORN</t>
  </si>
  <si>
    <t>CHLORIDGEHALT</t>
  </si>
  <si>
    <t>KONSISTENZKLASSE</t>
  </si>
  <si>
    <t>Statistik</t>
  </si>
  <si>
    <t>h_fix [float, m]</t>
  </si>
  <si>
    <t>E [float, N/m^2]</t>
  </si>
  <si>
    <t>density [float, kg/m^3]</t>
  </si>
  <si>
    <t>weight [float, N/m^3]</t>
  </si>
  <si>
    <t>GWP [float, kg/kg]</t>
  </si>
  <si>
    <t>Parkett 2-Schicht werkversiegelt, 11 mm</t>
  </si>
  <si>
    <t>Unterlagsboden Zement, 85 mm</t>
  </si>
  <si>
    <t>Glaswolle</t>
  </si>
  <si>
    <t>Kies gebrochen</t>
  </si>
  <si>
    <t>Steinwolle</t>
  </si>
  <si>
    <t>Gipsfaserplatte</t>
  </si>
  <si>
    <t>C16</t>
  </si>
  <si>
    <t>name</t>
  </si>
  <si>
    <t>strength_comp</t>
  </si>
  <si>
    <t>strength_tens</t>
  </si>
  <si>
    <t>strength_bend</t>
  </si>
  <si>
    <t>strength_shea</t>
  </si>
  <si>
    <t>E_modulus</t>
  </si>
  <si>
    <t>density_load</t>
  </si>
  <si>
    <t>burn_rate</t>
  </si>
  <si>
    <t>mat_ID</t>
  </si>
  <si>
    <t>Biogener Kohlenstoff: 206 kg C resp. 753 kgCO2/m3, 100% energetische Verwertung, 61% Wirkungsgrad</t>
  </si>
  <si>
    <t>Biogener Kohlenstoff: 800 kgCO2/m3; 100% energetische Verwertung</t>
  </si>
  <si>
    <t>Biogener Kohlenstoff: 773 kgCO2/m3; 100% energetische Verwertung</t>
  </si>
  <si>
    <t>1kg C = 44/12 kgCO2 → EN 16449</t>
  </si>
  <si>
    <t xml:space="preserve">Biogener Kohlenstoff: 746 kgCO2/m3; </t>
  </si>
  <si>
    <t>Biogener Kohlenstoff: 219 kgC/m3 resp. 802 kgCO2/m3; 100% energetische Verwertung, 61% Wirkungsgrad</t>
  </si>
  <si>
    <t>Biogener Kohlenstoff: 200 kg C/m3 resp. 733 kg CO2/m3; Ranges sind angegeben; 4 End of Life scenarios untersucht!</t>
  </si>
  <si>
    <t>Unterschiedliche Szenarien untersucht</t>
  </si>
  <si>
    <t>Unterschiedliche Szenarien untersucht / Ranges angegeben</t>
  </si>
  <si>
    <t>Ranges angegeben</t>
  </si>
  <si>
    <t>Biogener Kohlenstoff:: 215 kg C/m3; 100 % energetische Verwertung</t>
  </si>
  <si>
    <t>N/A</t>
  </si>
  <si>
    <t>Biomass power-plant</t>
  </si>
  <si>
    <t>Biogener Kohlenstoff: 186 kg C; Biomass power plant</t>
  </si>
  <si>
    <t>Biogener Kohlenstoff: 204 kg C; 100% energetische Verwertung, 61% Wirkungsgrad</t>
  </si>
  <si>
    <t>Biogener Kohlenstoff: 208 kg C/m3; 100% energetische Verwertung, 68% Wirkungsgrad</t>
  </si>
  <si>
    <t>Biogener Kohlenstoff: 704 kg CO2/m3; Module C not declared</t>
  </si>
  <si>
    <t>Biogener Kohlenstoff: 194.5 kg C/m3; 100% energetische Verwertung</t>
  </si>
  <si>
    <t>Biogener Kohlenstoff: 205 kgC/m3; 100% energetische Verwertung</t>
  </si>
  <si>
    <t>Biogener Kohlenstoff: 208 kgC/m3 resp. 765kg CO2/m3; 100% ernergetische Verwertung</t>
  </si>
  <si>
    <t>Ausgewiesen für Incineration und Recycling</t>
  </si>
  <si>
    <t>Biogener Kohlenstoff: 185 kgC/m3; 100% energetische Verwertung</t>
  </si>
  <si>
    <t>100% energetische Verwertung</t>
  </si>
  <si>
    <t>Biogener Kohlenstoff: 192 kg C/m3; 95% energetische Verwertung; 5% Recycling</t>
  </si>
  <si>
    <t>Biogener Kohlenstoff: 207.8 kgC/m3; 100% energetische Verwertung</t>
  </si>
  <si>
    <t>A_007</t>
  </si>
  <si>
    <t>BE Group Sverige AB</t>
  </si>
  <si>
    <t xml:space="preserve">metals </t>
  </si>
  <si>
    <t>BE group EPD merchant bars</t>
  </si>
  <si>
    <t>A_008</t>
  </si>
  <si>
    <t>S-P-01558</t>
  </si>
  <si>
    <t>AFV Beltrame Group</t>
  </si>
  <si>
    <t>A_009</t>
  </si>
  <si>
    <t>A_010</t>
  </si>
  <si>
    <t>A_011</t>
  </si>
  <si>
    <t>S-P-04507</t>
  </si>
  <si>
    <t>Peiner</t>
  </si>
  <si>
    <t>EPD-PTR-20210292-CBA1-EN</t>
  </si>
  <si>
    <t>A_012</t>
  </si>
  <si>
    <t>A_013</t>
  </si>
  <si>
    <t>A_014</t>
  </si>
  <si>
    <t>A_015</t>
  </si>
  <si>
    <t>Sanayi</t>
  </si>
  <si>
    <t>BREG EN EPD No. 000079</t>
  </si>
  <si>
    <t>Celsa Barcelona</t>
  </si>
  <si>
    <t>S-P-08496</t>
  </si>
  <si>
    <t>Stalia AB</t>
  </si>
  <si>
    <t>S-P-09023</t>
  </si>
  <si>
    <t>W_037</t>
  </si>
  <si>
    <t>Biogener Kohlenstoff:: 758 kg CO2/m3</t>
  </si>
  <si>
    <t>NEPD-2783-1438-NO</t>
  </si>
  <si>
    <t>Holmen</t>
  </si>
  <si>
    <t>NEPD-2693-1395-EN</t>
  </si>
  <si>
    <t>CSK</t>
  </si>
  <si>
    <t>S-P-11367</t>
  </si>
  <si>
    <t>Duferco Travi e Profilati</t>
  </si>
  <si>
    <t>A_016</t>
  </si>
  <si>
    <t>Tibnor</t>
  </si>
  <si>
    <t>S-P-02046</t>
  </si>
  <si>
    <t>A_017</t>
  </si>
  <si>
    <t>Hochbaubeton, Q-A230-M10 D E25, 150 kg CEM II/B (ohne Bewehrung)</t>
  </si>
  <si>
    <t>Hochbaubeton, Q-A231-M10 D E25, 160 kg CEM II/B (ohne Bewehrung)</t>
  </si>
  <si>
    <t>Hochbaubeton, Q-C330-M D, 180 kg CEM II/B (ohne Bewehrung)</t>
  </si>
  <si>
    <t>Hochbaubeton, Q-C331-M D, 185 kg CEM II/B (ohne Bewehrung)</t>
  </si>
  <si>
    <t>Hochbaubeton, Q-B265-M10 D E25, 200 kg CEM II/B, 40kg CEM I (ohne Bewehrung)</t>
  </si>
  <si>
    <t>Hochbaubeton, Q-C365-M D, 220 kg CEM II/B, 40kg CEM I (ohne Bewehrung)</t>
  </si>
  <si>
    <t>CEM II/B</t>
  </si>
  <si>
    <t>C_993</t>
  </si>
  <si>
    <t>C_994</t>
  </si>
  <si>
    <t>C_995</t>
  </si>
  <si>
    <t>C_996</t>
  </si>
  <si>
    <t>C_997</t>
  </si>
  <si>
    <t>C_998</t>
  </si>
  <si>
    <t>CPC (Carbon Prestressed Concrete)</t>
  </si>
  <si>
    <t>Brettschichtholz KBOB</t>
  </si>
  <si>
    <t>KBOB ID-Nr.</t>
  </si>
  <si>
    <t>Spalte 1</t>
  </si>
  <si>
    <t>07.003.01</t>
  </si>
  <si>
    <t>07.020.01</t>
  </si>
  <si>
    <t>01.002.13</t>
  </si>
  <si>
    <t>01.002.14</t>
  </si>
  <si>
    <t>01.002.15</t>
  </si>
  <si>
    <t>01.002.16</t>
  </si>
  <si>
    <t>01.002.17</t>
  </si>
  <si>
    <t>01.002.18</t>
  </si>
  <si>
    <t>01.002</t>
  </si>
  <si>
    <t>3.2.01</t>
  </si>
  <si>
    <t>product</t>
  </si>
  <si>
    <t>noch gültig</t>
  </si>
  <si>
    <t>ValidEPD</t>
  </si>
  <si>
    <t>3_and_5_plywood</t>
  </si>
  <si>
    <t>Copy for strength</t>
  </si>
  <si>
    <t>Version</t>
  </si>
  <si>
    <t>in Bearbeitung</t>
  </si>
  <si>
    <t>ID die in der internen Ablage verwendet wird</t>
  </si>
  <si>
    <t>die EPDs beziehen sich zum Teil auf mehrere Festigkeitsklassen; die unterschiedlichen Festigkeitsklassen werden mit diesem Index erfasst; um die Anzahl von EPDs zu ermitteln, immer nur a zählen</t>
  </si>
  <si>
    <t>EPD Identifikationsnummer die auf der EPD vermerkt ist</t>
  </si>
  <si>
    <t>Quelle und Version bzw. Stand</t>
  </si>
  <si>
    <t>a</t>
  </si>
  <si>
    <t>ID gem. KBOB Ökobilanzdaten</t>
  </si>
  <si>
    <t>Ausstellungsdatum der EPD</t>
  </si>
  <si>
    <t>Gültig bis der EPD</t>
  </si>
  <si>
    <t>Produktkategorie</t>
  </si>
  <si>
    <t>ID gem. Ökobaudaten</t>
  </si>
  <si>
    <t>Materialüberkategorie gem. Ökobaudaten</t>
  </si>
  <si>
    <t>Materialunterkategorie gem. Ökobaudaten</t>
  </si>
  <si>
    <t>Zementtyp</t>
  </si>
  <si>
    <t>Festigkeit</t>
  </si>
  <si>
    <t>Dichte</t>
  </si>
  <si>
    <t>Expositionsklassen</t>
  </si>
  <si>
    <t xml:space="preserve">Kosten </t>
  </si>
  <si>
    <t>fortlaufende Projektnummer</t>
  </si>
  <si>
    <t>kein Vermerk zur Festigkeit gefunden, es wird von B500B ausgegangen</t>
  </si>
  <si>
    <t>auf Festigkeiten geprüft</t>
  </si>
  <si>
    <t>b</t>
  </si>
  <si>
    <t>c</t>
  </si>
  <si>
    <t>d</t>
  </si>
  <si>
    <t>e</t>
  </si>
  <si>
    <t>GL28c</t>
  </si>
  <si>
    <t>f</t>
  </si>
  <si>
    <t>GL28</t>
  </si>
  <si>
    <t>GL24</t>
  </si>
  <si>
    <t>GL30</t>
  </si>
  <si>
    <t>GL32</t>
  </si>
  <si>
    <t>L25</t>
  </si>
  <si>
    <t>T14</t>
  </si>
  <si>
    <t>C40</t>
  </si>
  <si>
    <t>L40</t>
  </si>
  <si>
    <t>T26</t>
  </si>
  <si>
    <t>C18</t>
  </si>
  <si>
    <t>C30</t>
  </si>
  <si>
    <t>GL24c</t>
  </si>
  <si>
    <t>GL30c</t>
  </si>
  <si>
    <t>S235</t>
  </si>
  <si>
    <t>S355</t>
  </si>
  <si>
    <t>S460</t>
  </si>
  <si>
    <t>S960</t>
  </si>
  <si>
    <t>S500</t>
  </si>
  <si>
    <t>Inkl. Paint. Largest difference between paint and no paint: 23%</t>
  </si>
  <si>
    <t>100% renewable energy</t>
  </si>
  <si>
    <t>keine I oder H Profile</t>
  </si>
  <si>
    <t>S275</t>
  </si>
  <si>
    <t>höhere Festigkeiten angedeutet</t>
  </si>
  <si>
    <t>PF4, P61, P62, PC4, P63</t>
  </si>
  <si>
    <t>S-P-04889</t>
  </si>
  <si>
    <t>S_018</t>
  </si>
  <si>
    <t>S_019</t>
  </si>
  <si>
    <t>EPD-STC-20250105-CBA1-DE</t>
  </si>
  <si>
    <t>Steeltec AG</t>
  </si>
  <si>
    <t>Top700</t>
  </si>
  <si>
    <t>EPD-STC-20250326-CBA1-DE</t>
  </si>
  <si>
    <t>Top12</t>
  </si>
  <si>
    <t>Anmerkung II</t>
  </si>
  <si>
    <t>Anmerkung I</t>
  </si>
  <si>
    <t>GWP-biogenic</t>
  </si>
  <si>
    <t>A1toA3_GWP-biogenic</t>
  </si>
  <si>
    <t>C1toC4_GWP-biogenic</t>
  </si>
  <si>
    <t>W_038</t>
  </si>
  <si>
    <t>W_039</t>
  </si>
  <si>
    <t>EPD-POL-20230326-IBA1-DE</t>
  </si>
  <si>
    <t>Pollmeier Furnierwerkstoffe GmbH</t>
  </si>
  <si>
    <t>BauBuche</t>
  </si>
  <si>
    <t>Veneer_layer_wood</t>
  </si>
  <si>
    <t>GL75</t>
  </si>
  <si>
    <t>EPD-VHI-20210199-IBG1-DE</t>
  </si>
  <si>
    <t>W_040</t>
  </si>
  <si>
    <t>Verband der Deutschen Holzwerkstoffindustrie e.V. (VHI)</t>
  </si>
  <si>
    <t>Sperrholz aus Laubholzfunier</t>
  </si>
  <si>
    <t>GL40</t>
  </si>
  <si>
    <t>EPD-RUB-20230228-IBC1-DE</t>
  </si>
  <si>
    <t>W_041</t>
  </si>
  <si>
    <t>W_042</t>
  </si>
  <si>
    <t>Schnittholz</t>
  </si>
  <si>
    <t>3.1.01</t>
  </si>
  <si>
    <t>Structural_timber</t>
  </si>
  <si>
    <t>EPD-RUB-20230231-IBC1-DE</t>
  </si>
  <si>
    <t>W_043</t>
  </si>
  <si>
    <t>EPD-RUB-20230229-IBC1-DE</t>
  </si>
  <si>
    <t>EPD-MLG-20250269-IBA1-DE</t>
  </si>
  <si>
    <t>W_044</t>
  </si>
  <si>
    <t>Mosser Leimholz GmbH</t>
  </si>
  <si>
    <t>GL30h</t>
  </si>
  <si>
    <t>W_045</t>
  </si>
  <si>
    <t>EPD-MAY-20240070-IBA1-DE</t>
  </si>
  <si>
    <t>Mayr-Melnhof Holz Holding AG</t>
  </si>
  <si>
    <t>W_046</t>
  </si>
  <si>
    <t>EPD-THZ-20250073-IBA1-DE</t>
  </si>
  <si>
    <t>Thoma Holz GmbH</t>
  </si>
  <si>
    <t>Holz100</t>
  </si>
  <si>
    <t>W_047</t>
  </si>
  <si>
    <t>EPD-NOR-20230235-IBD2-DE</t>
  </si>
  <si>
    <t>LU</t>
  </si>
  <si>
    <t>TR</t>
  </si>
  <si>
    <t>kg CO2 eq /t</t>
  </si>
  <si>
    <t>Total_GWP_m3</t>
  </si>
  <si>
    <t>kg CO2 eq /m3</t>
  </si>
  <si>
    <t>Total_GWP_t</t>
  </si>
  <si>
    <t>GWP-biogenic_t</t>
  </si>
  <si>
    <t>GWP-biogenic_m3</t>
  </si>
  <si>
    <t>Country OWNER</t>
  </si>
  <si>
    <t>Produktionsländer</t>
  </si>
  <si>
    <t>Firmensitz</t>
  </si>
  <si>
    <t>IT, FR, CH, RO</t>
  </si>
  <si>
    <t>AT, IT</t>
  </si>
  <si>
    <t>Country PRODUCTION</t>
  </si>
  <si>
    <t>DE, NL, CH, AT, IT, CZ, PL, EST, FI, SE</t>
  </si>
  <si>
    <t>AT, LT, SE, FI, EST, RU, LV, PO, CZ, RO</t>
  </si>
  <si>
    <t>3.2.03</t>
  </si>
  <si>
    <t>DE, FR, LU, PL, ES, RO</t>
  </si>
  <si>
    <t>EU</t>
  </si>
  <si>
    <t>LU, ES</t>
  </si>
  <si>
    <t>DE, ES, LU, RO</t>
  </si>
  <si>
    <t>LU, RO, ES, DE</t>
  </si>
  <si>
    <t>DE, DK</t>
  </si>
  <si>
    <t>DK, LV</t>
  </si>
  <si>
    <t>1.3.05</t>
  </si>
  <si>
    <t>S-P-02802</t>
  </si>
  <si>
    <t>Metsäliitto Cooperative, Metsä Wood</t>
  </si>
  <si>
    <t>Kerto</t>
  </si>
  <si>
    <t>C_008</t>
  </si>
  <si>
    <t>C_009</t>
  </si>
  <si>
    <t>C_010</t>
  </si>
  <si>
    <t>C_011</t>
  </si>
  <si>
    <t>C_012</t>
  </si>
  <si>
    <t>C_013</t>
  </si>
  <si>
    <t>C_014</t>
  </si>
  <si>
    <t>C_015</t>
  </si>
  <si>
    <t>C_016</t>
  </si>
  <si>
    <t>C_017</t>
  </si>
  <si>
    <t>C_018</t>
  </si>
  <si>
    <t>C_019</t>
  </si>
  <si>
    <t>C_020</t>
  </si>
  <si>
    <t>C_021</t>
  </si>
  <si>
    <t>C_022</t>
  </si>
  <si>
    <t>C_023</t>
  </si>
  <si>
    <t>C_024</t>
  </si>
  <si>
    <t>C_025</t>
  </si>
  <si>
    <t>C_026</t>
  </si>
  <si>
    <t>LOSINGER MARAZZI SA</t>
  </si>
  <si>
    <t>Losinger-Genf 2025-1-ECOINVENT</t>
  </si>
  <si>
    <t>XC2 (CH)</t>
  </si>
  <si>
    <t>Losinger-Genf 2025-2-ECOINVENT</t>
  </si>
  <si>
    <t>Losinger-Genf 2025-3-ECOINVENT</t>
  </si>
  <si>
    <t>C3/F4, SCC</t>
  </si>
  <si>
    <t>Orllati SA</t>
  </si>
  <si>
    <t>Orllati 2025-6</t>
  </si>
  <si>
    <t>Susteno 4S</t>
  </si>
  <si>
    <t>Orllati 2025-3-ECOINVENT</t>
  </si>
  <si>
    <t>Orllati 2025-5-ECOINVENT</t>
  </si>
  <si>
    <t>Orllati 2025-7-ECOINVENT</t>
  </si>
  <si>
    <t>SÜGB EPD-Zireco NPK A C25/30 001-25 - Ecoinvent</t>
  </si>
  <si>
    <t>zirkulit AG, Steinackerstrasse 56, CH-8302 Kloten</t>
  </si>
  <si>
    <t>SÜGB EPD-Zirkulit/ Zireco NPK B C25/30 001-25 - Ecoinvent</t>
  </si>
  <si>
    <t>SÜGB EPD-Zirkulit/ Zireco NPK C C30/37 001-25 - Ecoinvent</t>
  </si>
  <si>
    <t>NPK C, RC-C50</t>
  </si>
  <si>
    <t>SÜGB EPD-Zirkulit/ Zireco WD C25/30 001-25 - Ecoinvent</t>
  </si>
  <si>
    <t>WD C25/30, RC-C50</t>
  </si>
  <si>
    <t>SÜGB EPD-Zirkulit NPK A C25/30 001-25 - Ecoinvent</t>
  </si>
  <si>
    <t>Lachat Calcaire 2023-1-ECOINVENT</t>
  </si>
  <si>
    <t>Association suisse de l’industrie des graviers et du beton (ASGB)</t>
  </si>
  <si>
    <t>C_027</t>
  </si>
  <si>
    <t>C_028</t>
  </si>
  <si>
    <t>C_029</t>
  </si>
  <si>
    <t>C_030</t>
  </si>
  <si>
    <t>C_031</t>
  </si>
  <si>
    <t>C_032</t>
  </si>
  <si>
    <t>C_033</t>
  </si>
  <si>
    <t>C_034</t>
  </si>
  <si>
    <t>C_035</t>
  </si>
  <si>
    <t>C_036</t>
  </si>
  <si>
    <t>C_037</t>
  </si>
  <si>
    <t>C_038</t>
  </si>
  <si>
    <t>C_039</t>
  </si>
  <si>
    <t>IBU-CEI-HOL-2205120-CH2024000243-IPUE001-EN</t>
  </si>
  <si>
    <t>Holcim (Schweiz) AG</t>
  </si>
  <si>
    <t>IBU-CEI-HOL-2205120-CH2025000377-IPUE001-EN</t>
  </si>
  <si>
    <t>IBU-CEI-HOL-2205120-CH2025000381-IPUE001-EN</t>
  </si>
  <si>
    <t>IBU-CEI-HOL-2205120-CH2025000376-IPUE001-EN</t>
  </si>
  <si>
    <t>IBU-CEI-HOL-2205120-CH2025000374-IPUE001-EN</t>
  </si>
  <si>
    <t>IBU-CEI-HOL-2205120-CH2025000373-ISUE001-EN</t>
  </si>
  <si>
    <t>IBU-CEI-HOL-2205120-CH2025000375-IPUE001-EN</t>
  </si>
  <si>
    <t>IBU-CEI-HOL-2205120-CH2025000372-IPUE001-EN</t>
  </si>
  <si>
    <t>IBU-CEI-HOL-2205120-CH2025000371-IPUE001-EN</t>
  </si>
  <si>
    <t>IBU-CEI-HOL-2205120-CH2025000370-IPUE001-EN</t>
  </si>
  <si>
    <t>C50/60</t>
  </si>
  <si>
    <t>IBU-CEI-HOL-2205120-CH2025000249-IPUE001-EN</t>
  </si>
  <si>
    <t>IBU-CEI-HOL-2205120-CH2025000140-IPUE001-EN</t>
  </si>
  <si>
    <t>IBU-CEI-HOL-2205120-CH2025000246-IPUE001-EN</t>
  </si>
  <si>
    <t>IBU-CEI-HOL-2205120-CH2025000247-IPUE001-EN</t>
  </si>
  <si>
    <t>IBU-CEI-HOL-2205120-CH2025000248-IPUE001-EN</t>
  </si>
  <si>
    <t>IBU-CEI-HOL-2205120-CH2025000250-IPUE001-EN</t>
  </si>
  <si>
    <t>IBU-CEI-HOL-2205120-CH2025000143-IPUE001-EN</t>
  </si>
  <si>
    <t>IBU-CEI-HOL-2205120-CH2025000369-IPUE001-EN</t>
  </si>
  <si>
    <t>C_992</t>
  </si>
  <si>
    <t>C_989</t>
  </si>
  <si>
    <t>C_990</t>
  </si>
  <si>
    <t>C_991</t>
  </si>
  <si>
    <t>C_981</t>
  </si>
  <si>
    <t>C_982</t>
  </si>
  <si>
    <t>C_983</t>
  </si>
  <si>
    <t>C_984</t>
  </si>
  <si>
    <t>C_985</t>
  </si>
  <si>
    <t>C_986</t>
  </si>
  <si>
    <t>C_987</t>
  </si>
  <si>
    <t>C_988</t>
  </si>
  <si>
    <t>01.002.01</t>
  </si>
  <si>
    <t>01.002.02</t>
  </si>
  <si>
    <t>01.002.03</t>
  </si>
  <si>
    <t>01.002.04</t>
  </si>
  <si>
    <t>01.002.05</t>
  </si>
  <si>
    <t>01.002.06</t>
  </si>
  <si>
    <t>01.002.07</t>
  </si>
  <si>
    <t>01.002.08</t>
  </si>
  <si>
    <t>01.002.09</t>
  </si>
  <si>
    <t>01.002.10</t>
  </si>
  <si>
    <t>01.002.12</t>
  </si>
  <si>
    <t>01.002.11</t>
  </si>
  <si>
    <t>Beton Klark Sorte A, 280kg CEM II/B (ohne Bewehrung)</t>
  </si>
  <si>
    <t>Beton Klark Sorte A, 300kg CEM II/B (ohne Bewehrung)</t>
  </si>
  <si>
    <t>Beton Klark Sorte B, 320kg CEM II/B (ohne Bewehrung)</t>
  </si>
  <si>
    <t>Beton Klark Sorte C, 340kg CEM II/B (ohne Bewehrung)</t>
  </si>
  <si>
    <t>Hochbaubeton, Möckli Primärbeton, NPK A, 280 kg CEM II/B-LL (ohne Bewehrung)</t>
  </si>
  <si>
    <t>Hochbaubeton, NovoCon Light C25/E30, NPK A, 280 kg CEM II/C-M (F-T) (ohne Bewehrung)</t>
  </si>
  <si>
    <t>NovoCon RC-C25/E28, NPK A, 280 kg CEM II/B-LL (ohne Bewehrung)</t>
  </si>
  <si>
    <t>Hochbaubeton, NovoCon C50/E25, NPK A, 280 kg CEM II/C-M (F-T) (ohne Bewehrung)</t>
  </si>
  <si>
    <t>Hochbaubeton, NovoCon C50/E25, NPK C, 300 kg CEM II/C-M (F-T) (ohne Bewehrung)</t>
  </si>
  <si>
    <t>Hochbaubeton, NovoCon RC-M10/E20, NPK A, 280 kg CEM II/C-M (F-T) (ohne Bewehrung)</t>
  </si>
  <si>
    <t>CEM II/B-LL</t>
  </si>
  <si>
    <t>CEM II/C-M (F-T)</t>
  </si>
  <si>
    <t>DEP pour le béton de type Calcaire</t>
  </si>
  <si>
    <t>Concrete C2C301E25ECO ECOPact+ C30/37 C3 32 pump RC-C25 E25 produced in plant Vernier</t>
  </si>
  <si>
    <t>Concrete 3716CL 3716CL C30/37 SF2 16 produced in plant Oberdorf</t>
  </si>
  <si>
    <t>Concrete 3716CLECO C30/37 SF2 16 Pump produced in plant Oberdorf</t>
  </si>
  <si>
    <t>Concrete B200ECO B200ECO C25/30 C3 32 Kran produced in plant Oberdorf</t>
  </si>
  <si>
    <t>Concrete C300ECO C300ECO C30/37 C3 32 Kran produced in plant Oberdorf</t>
  </si>
  <si>
    <t>Concrete C301ECO C301ECO C30/37 C3 32 Pump produced in plant Oberdorf</t>
  </si>
  <si>
    <t>Concrete C351ECO C351ECO C30/37 C3 16 Pump produced in plant Oberdorf</t>
  </si>
  <si>
    <t>Concrete C356 C356 C30/37 C3 16 Monobeton produced in plant Oberdorf</t>
  </si>
  <si>
    <t>Concrete CPJ8 CPJ8 C50/60 C3 32 Pump produced in plant Oberdorf</t>
  </si>
  <si>
    <t>Concrete ECOPact 3716CLECO C30/37 SF2 16 pump produced in plant Morges</t>
  </si>
  <si>
    <t>Concrete ECOPact C30/37 F4 32 pump produced in plant Morges</t>
  </si>
  <si>
    <t>Concrete ECOPact C301ECO C30/37 C3 32 pump produced in plant Morges</t>
  </si>
  <si>
    <t>Concrete ECOPact C310ECO C30/37 F4 32 Pump produced in plant Morges</t>
  </si>
  <si>
    <t>Concrete ECOPact+ C23716CLE25ECO C30/37 SF2 16 produced in plant Morges</t>
  </si>
  <si>
    <t>Concrete G700TL C30/37 C3 32 LP 3% Kranbeton AAR produced in plant Oberdorf</t>
  </si>
  <si>
    <t>S_020</t>
  </si>
  <si>
    <t>S_021</t>
  </si>
  <si>
    <t>EPD-ARM-20210338-CBB1-EN</t>
  </si>
  <si>
    <t>EPD-ARC-20210245-CBA2-EN</t>
  </si>
  <si>
    <t>Betonstahl Xcarb</t>
  </si>
  <si>
    <t>Notes</t>
  </si>
  <si>
    <t>Allgemein</t>
  </si>
  <si>
    <t>Holz</t>
  </si>
  <si>
    <t>Beton</t>
  </si>
  <si>
    <t xml:space="preserve">Baustahl </t>
  </si>
  <si>
    <t>Bewehrungsstahl</t>
  </si>
  <si>
    <t>EPDs für unterschiedliche Festigkeitsklassen gleich; kein Unterschied beim GWP bei höheren Festigkeitsklassen</t>
  </si>
  <si>
    <t>Stahlgüten ber S460 wurden nicht erfasst</t>
  </si>
  <si>
    <t>wenn keine Festigkeitsklassen angegeben sind, wurde die EPD als ungültig gesetzt bzw. nicht erfasst; Verweise auf Zulassungen wurde nicht nachgegangen</t>
  </si>
  <si>
    <t>Festigkeitsklassen wurden mit a, b, c separat erfasst</t>
  </si>
  <si>
    <t>Festigkeitsklassen die als Bandbreite angegeben wurden, wurden mit dem min und max Wert erfasst</t>
  </si>
  <si>
    <t>Von KVH gibt es keinen Schweizer Wert, warum nicht?</t>
  </si>
  <si>
    <t>Der Recyclinganteil bzw. End of Life Szenario varriert</t>
  </si>
  <si>
    <t>EPD-SHL-20240269-IBO1-DE</t>
  </si>
  <si>
    <t>W_048</t>
  </si>
  <si>
    <t>W_049</t>
  </si>
  <si>
    <t>EPD-SHL-20240270-IBO1-DE</t>
  </si>
  <si>
    <t>Rohdichte zum Teil als Bandbreite angegeben; beeinflusst bei der Berechnung den GWP; es wurde der Mittelwert erfasst</t>
  </si>
  <si>
    <t>Rohdichte zum Teil bei unterschiedlichen Holzfeuchten angegeben; beeinflusst die Berechnung des GWP; Holzfeuchten lt. Lignum Ökobilanzen Dokument klar definiert; wird so in den EPDs nicht umgesetzt (da auch hauptsächlich nicht CH EPDs)</t>
  </si>
  <si>
    <t>DE, PL</t>
  </si>
  <si>
    <t>PL</t>
  </si>
  <si>
    <t>Betonstahl Top700</t>
  </si>
  <si>
    <t>Armierungsstahl KBOB</t>
  </si>
  <si>
    <t>Konstruktionsvollholz</t>
  </si>
  <si>
    <t>Baustahl (Stahlprofil, blank)</t>
  </si>
  <si>
    <t>01.002.19</t>
  </si>
  <si>
    <t>01.002.20</t>
  </si>
  <si>
    <t>01.002.21</t>
  </si>
  <si>
    <t>01.002.22</t>
  </si>
  <si>
    <t>01.002.23</t>
  </si>
  <si>
    <t>01.002.24</t>
  </si>
  <si>
    <t>01.002.25</t>
  </si>
  <si>
    <t>01.002.26</t>
  </si>
  <si>
    <t>01.002.27</t>
  </si>
  <si>
    <t>01.002.28</t>
  </si>
  <si>
    <t>01.002.29</t>
  </si>
  <si>
    <t>01.002.30</t>
  </si>
  <si>
    <t>01.002.31</t>
  </si>
  <si>
    <t>01.002.32</t>
  </si>
  <si>
    <t>C_980</t>
  </si>
  <si>
    <t>C_979</t>
  </si>
  <si>
    <t>C_978</t>
  </si>
  <si>
    <t>C_977</t>
  </si>
  <si>
    <t>C_976</t>
  </si>
  <si>
    <t>C_975</t>
  </si>
  <si>
    <t>C_974</t>
  </si>
  <si>
    <t>C_973</t>
  </si>
  <si>
    <t>C_972</t>
  </si>
  <si>
    <t>C_971</t>
  </si>
  <si>
    <t>C_970</t>
  </si>
  <si>
    <t>C_969</t>
  </si>
  <si>
    <t>C_968</t>
  </si>
  <si>
    <t>C_967</t>
  </si>
  <si>
    <t>CEM II/C-M (Q-LL) Calterra 42</t>
  </si>
  <si>
    <t>CEM II /A-LL, CEM III/B</t>
  </si>
  <si>
    <t xml:space="preserve">CEM II/B, CEM I </t>
  </si>
  <si>
    <t>Hochbaubeton, zireco® NPK A, 280kg CEM II/B (ohne Bewehrung)</t>
  </si>
  <si>
    <t>Hochbaubeton, zireco® NPK C, 300kg CEM II/B (ohne Bewehrung)</t>
  </si>
  <si>
    <t>W_994</t>
  </si>
  <si>
    <t>07.019.01</t>
  </si>
  <si>
    <t>Stabschichtholz, Buche, fagus</t>
  </si>
  <si>
    <t>Gesamtes GWP mit A1 bis A3 und C1 bis C4 pro m3</t>
  </si>
  <si>
    <t>Gesamtes GWP mit A1 bis A3 und C1 bis C4 pro Tonne</t>
  </si>
  <si>
    <t>Total_GWP_inkl. Trans LKW</t>
  </si>
  <si>
    <t>Total_GWP_inkl. Trans Bahn</t>
  </si>
  <si>
    <t>Gesamtes GWP mit A1 bis A3 und C1 bis C4 inkl. Transport mit dem LKW pro Tonne</t>
  </si>
  <si>
    <t>Gesamtes GWP mit A1 bis A3 und C1 bis C4 inkl. Transport mit der Bahn pro Tonne</t>
  </si>
  <si>
    <t>Wenn die Produktion in mehreren Ländern stattfindet wird angenommen, dass der Transport aus dem Land, das der Schweiz am nähesten ist, erfolgt</t>
  </si>
  <si>
    <t>Amortisations-zeit [Jahre]</t>
  </si>
  <si>
    <t>creep_coef</t>
  </si>
  <si>
    <t>GL28h</t>
  </si>
  <si>
    <t>GL32c</t>
  </si>
  <si>
    <t>GL32h</t>
  </si>
  <si>
    <t>OSB/3, OSB/4</t>
  </si>
  <si>
    <t>Mehrlagige Massivholzplatte</t>
  </si>
  <si>
    <t>Amortisations-zeit V2 [Jahre]</t>
  </si>
  <si>
    <t>MIN_MAX</t>
  </si>
  <si>
    <t>Man_Ausschluss</t>
  </si>
  <si>
    <t>Für Betrachtung Hochbau werden nur NPKA, B, C und C20/25, C25/30 und C30/37 berücksichtigt. Einzelne Produkte werden hier manuell ausgeschlossen: (NPKD, E, F, G und C50/60) wird auf 0 gesetzt.</t>
  </si>
  <si>
    <t>Handelt es sich beim jeweiligen Produkt um den Minimalen oder maximalen Wert innerhalb einer Materialgruppe mit  bestimmten mechanischen Eigenschaften ("MECH_PROP")? Falls Min oder Max, ist die Spalte = 1.0. Sonst = 0</t>
  </si>
  <si>
    <t>ist sie noch gültig oder bereits abgelaufen?
Gültig = 1, ungültig = 0</t>
  </si>
  <si>
    <t>handelt es sich beim Produkt um ein gültige EPD und ist ein Wert &gt;0 für Total_GWP enthalten? Daten mit den Quellen "KBOB", "Ecoinvent" und "Betonsortenrechner" werden ausgeschlossen
gültig = 1, ungültig = 0</t>
  </si>
  <si>
    <t>wird nicht verwendet; überprüft ob EPD zwischen 10% und 90% Quantil liegen. Falls innerhalb 1, wenn ausserhalb: 0</t>
  </si>
  <si>
    <t>B_001</t>
  </si>
  <si>
    <t>EPD-BDZ-20210063-ICG1-DE</t>
  </si>
  <si>
    <t>Bundesverband der Deutschen Ziegelindustrie e.V.</t>
  </si>
  <si>
    <t>Mauerziegel (mit Dämmstoff gefüllt)</t>
  </si>
  <si>
    <t>1.3.02</t>
  </si>
  <si>
    <t>bricks</t>
  </si>
  <si>
    <t>fired bricks insulated</t>
  </si>
  <si>
    <t>B_002</t>
  </si>
  <si>
    <t>EPD-BDZ-20210071-ICG1-DE</t>
  </si>
  <si>
    <t>B_003</t>
  </si>
  <si>
    <t>EPD-BDZ-20210062-ICG1-DE</t>
  </si>
  <si>
    <t>Mauerziegel (ungefüllt)</t>
  </si>
  <si>
    <t>fired bricks</t>
  </si>
  <si>
    <t>B_004</t>
  </si>
  <si>
    <t>EPD-BDZ-20210066-ICG1-DE</t>
  </si>
  <si>
    <t>B_005</t>
  </si>
  <si>
    <t>EPD-SBZ-20240384-IBC1-DE</t>
  </si>
  <si>
    <t>DeFries Wiederverwendeter Ziegel, Schröder Bauzentrum GmbH, Garding &amp; CO.KG</t>
  </si>
  <si>
    <t>Mauerziegel wiederverwendet</t>
  </si>
  <si>
    <t>gültig</t>
  </si>
  <si>
    <t>Bodenaufbau SLIM Decke [mm]</t>
  </si>
  <si>
    <t>Bodenaufbau Std Decke [mm]</t>
  </si>
  <si>
    <t>Last [kN/m2]</t>
  </si>
  <si>
    <t>Backstein</t>
  </si>
  <si>
    <t>Backstein, perlitgefüllt, zzwancor</t>
  </si>
  <si>
    <t>B_999</t>
  </si>
  <si>
    <t>B_998</t>
  </si>
  <si>
    <t>Kalksandstein</t>
  </si>
  <si>
    <t>Kalksandstein, FBB</t>
  </si>
  <si>
    <t>Kalksandstein, Hunziker Kalksandstein AG</t>
  </si>
  <si>
    <t>Leichtlehmstein</t>
  </si>
  <si>
    <t>Leichtzementstein, Blähton</t>
  </si>
  <si>
    <t>Leichtzementstein, Naturbims</t>
  </si>
  <si>
    <t>Porenbetonstein</t>
  </si>
  <si>
    <t>Zementstein</t>
  </si>
  <si>
    <t>Erdstein, aus gepresster Erde, Terrabloc</t>
  </si>
  <si>
    <t>Hanfsteine, Schönthaler AG</t>
  </si>
  <si>
    <t>B_997</t>
  </si>
  <si>
    <t>B_996</t>
  </si>
  <si>
    <t>B_995</t>
  </si>
  <si>
    <t>B_994</t>
  </si>
  <si>
    <t>B_993</t>
  </si>
  <si>
    <t>B_992</t>
  </si>
  <si>
    <t>B_991</t>
  </si>
  <si>
    <t>B_990</t>
  </si>
  <si>
    <t>B_989</t>
  </si>
  <si>
    <t>B_988</t>
  </si>
  <si>
    <t>02.001</t>
  </si>
  <si>
    <t>02.001.01</t>
  </si>
  <si>
    <t>02.002</t>
  </si>
  <si>
    <t>02.002.01</t>
  </si>
  <si>
    <t>02.002.02</t>
  </si>
  <si>
    <t>02.003</t>
  </si>
  <si>
    <t>02.004</t>
  </si>
  <si>
    <t>02.005</t>
  </si>
  <si>
    <t>02.006</t>
  </si>
  <si>
    <t>02.007</t>
  </si>
  <si>
    <t>02.007.01</t>
  </si>
  <si>
    <t>02.007.02</t>
  </si>
  <si>
    <t>04.006</t>
  </si>
  <si>
    <t>04.005</t>
  </si>
  <si>
    <t>Unterlagsboden Anhydrit, 60 mm</t>
  </si>
  <si>
    <t>GWP [kg CO2 eq /t]</t>
  </si>
  <si>
    <t>11.018</t>
  </si>
  <si>
    <t>10.001</t>
  </si>
  <si>
    <t>NT_001</t>
  </si>
  <si>
    <t>NT_002</t>
  </si>
  <si>
    <t>NT_003</t>
  </si>
  <si>
    <t>NT_004</t>
  </si>
  <si>
    <t>NT_005</t>
  </si>
  <si>
    <t>NT_006</t>
  </si>
  <si>
    <t>NT_007</t>
  </si>
  <si>
    <t>03.011</t>
  </si>
  <si>
    <t>10.008</t>
  </si>
  <si>
    <t>03.007</t>
  </si>
  <si>
    <t>03.007.01</t>
  </si>
  <si>
    <t>Gipsfaserplatte Fermacell</t>
  </si>
  <si>
    <t>03.008</t>
  </si>
  <si>
    <t>Gipskartonplatte</t>
  </si>
  <si>
    <t>NT_008</t>
  </si>
  <si>
    <t>NT_009</t>
  </si>
  <si>
    <t>NT_010</t>
  </si>
  <si>
    <t>10.008.01</t>
  </si>
  <si>
    <t>Steinwolle, Flumroc</t>
  </si>
  <si>
    <t>GWP [kg CO2 eq]</t>
  </si>
  <si>
    <t>Bodenaufbau Holz Brettstapel Decke [mm]</t>
  </si>
  <si>
    <t>T_001</t>
  </si>
  <si>
    <t>European Association for Panels and Profiles e. V. (PPA-Europe)</t>
  </si>
  <si>
    <t>EPD-PPA-20240129-CBG1-EN</t>
  </si>
  <si>
    <t>Profiled sheets made of steel for roof, wall, deck and ceiling constructions PPA-Europe</t>
  </si>
  <si>
    <t>steel_sheets</t>
  </si>
  <si>
    <t>S280 GD</t>
  </si>
  <si>
    <t>original: per t</t>
  </si>
  <si>
    <t>S355 GD</t>
  </si>
  <si>
    <t>T_002</t>
  </si>
  <si>
    <t xml:space="preserve">EPD-IES-0025705:001 </t>
  </si>
  <si>
    <t xml:space="preserve">Composite floor profiles made of XCarb® recycled and renewably produced steel </t>
  </si>
  <si>
    <t>ArcelorMittal Building Solutions</t>
  </si>
  <si>
    <t>per m2</t>
  </si>
  <si>
    <t>04.01.04</t>
  </si>
  <si>
    <t>fmd</t>
  </si>
  <si>
    <t>ftd</t>
  </si>
  <si>
    <t>fcd</t>
  </si>
  <si>
    <t>Hochbaubeton, JURA NPK A, 280 kg CEM II/C-M (Q-LL) (Calterra 42) (ohne Bewehrung)</t>
  </si>
  <si>
    <t>Hochbaubeton, JURA NPK A RC-C25, 296 kg CEM II/C-M (Q-LL) (Calterra 42) (ohne Bewehrung)</t>
  </si>
  <si>
    <t>Hochbaubeton, JURA NPK A RC-C50, 315 kg CEM II/C-M (Q-LL) (Calterra 42) (ohne Bewehrung)</t>
  </si>
  <si>
    <t>Hochbaubeton, JURA NPK B, 281 kg CEM II/C-M (Q-LL) (Calterra 42) (ohne Bewehrung)</t>
  </si>
  <si>
    <t>Hochbaubeton, JURA NPK B RC-C25, 295 kg CEM II/C-M (Q-LL) (Calterra 42) (ohne Bewehrung)</t>
  </si>
  <si>
    <t>Hochbaubeton, JURA NPK B RC-C50, 307 kg CEM II/C-M (Q-LL) (Calterra 42) (ohne Bewehrung)</t>
  </si>
  <si>
    <t>Hochbaubeton, JURA NPK C, 302 kg CEM II/C-M (Q-LL) (Calterra 42) (ohne Bewehrung)</t>
  </si>
  <si>
    <t>Hochbaubeton, JURA NPK C RC-C25, 320 kg CEM II/C-M (Q-LL) (Calterra 42) (ohne Bewehrung)</t>
  </si>
  <si>
    <t>Hochbaubeton, JURA NPK C RC-C50, 329 kg CEM II/C-M (Q-LL) (Calterra 42) (ohne Bewehrung)</t>
  </si>
  <si>
    <t>Hochbaubeton, Green + Sorte A, 50kg CEM II/A-LL, 230kg CEM III/B (ohne Bewehrung)</t>
  </si>
  <si>
    <t>Hochbaubeton, Green + Sorte B, 50kg CEM II/A-LL, 230kg CEM III/B (ohne Bewehrung)</t>
  </si>
  <si>
    <t>Hochbaubeton, Green + Sorte C, 50kg CEM II/A-LL, 250kg CEM III/B (ohne Bewehrung)</t>
  </si>
  <si>
    <t>KBOB v9.0</t>
  </si>
  <si>
    <t>01.002.33</t>
  </si>
  <si>
    <t>01.002.34</t>
  </si>
  <si>
    <t>01.002.35</t>
  </si>
  <si>
    <t>Hochbaubeton, DEKAR® NPK A, 280kg ZN/D (ohne Bewehrung)</t>
  </si>
  <si>
    <t>Hochbaubeton, DEKAR® NPK B, 280kg ZN/D (ohne Bewehrung)</t>
  </si>
  <si>
    <t>Hochbaubeton, DEKAR® NPK C, 300 ZN/D (ohne Bewehrung)</t>
  </si>
  <si>
    <t>C_966</t>
  </si>
  <si>
    <t>C_965</t>
  </si>
  <si>
    <t>C_964</t>
  </si>
  <si>
    <t>W_993</t>
  </si>
  <si>
    <t>07.002.02</t>
  </si>
  <si>
    <t>Brettstapel Strattura, Produktion Schweiz</t>
  </si>
  <si>
    <t>3.01.01</t>
  </si>
  <si>
    <t>total_UBP</t>
  </si>
  <si>
    <t>total_UBP_m3</t>
  </si>
  <si>
    <t>Graue_Energie</t>
  </si>
  <si>
    <t>Graue_Energie_m3</t>
  </si>
  <si>
    <t>06.003</t>
  </si>
  <si>
    <t>07.020</t>
  </si>
  <si>
    <t>06.012</t>
  </si>
  <si>
    <t>07.023</t>
  </si>
  <si>
    <t>07.003</t>
  </si>
  <si>
    <t>UBP/t</t>
  </si>
  <si>
    <t>UBP/m3</t>
  </si>
  <si>
    <t>UBP sind Umwelt Belastungs Punkte</t>
  </si>
  <si>
    <t>Graue Energie/t</t>
  </si>
  <si>
    <t>Graue Energie/m3</t>
  </si>
  <si>
    <t>Die nicht erneuerbare Primärenergie (Graue Energie) quantifiziert den kumulierten Energieaufwand der fossilen und nuklearen Energieträger sowie Holz aus Kahlschlag von Primärwäldern.</t>
  </si>
  <si>
    <t>kg/m3</t>
  </si>
  <si>
    <t>Total_UBP_m3</t>
  </si>
  <si>
    <t>Total_UBP</t>
  </si>
  <si>
    <t>Hochbaubeton, zirkulit® NPK A, 280kg CEM II/C-M (ohne Bewehrung)</t>
  </si>
  <si>
    <t>Hochbaubeton, zirkulit® NPK C, 300kg CEM II/C-M (ohne Bewehrung)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</si>
</sst>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0.000"/>
    <numFmt numFmtId="166" formatCode="00.000.00"/>
  </numFmts>
  <fonts count="4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1"/>
      <name val="Aptos"/>
      <family val="2"/>
    </font>
    <font>
      <sz val="11"/>
      <color theme="1"/>
      <name val="Aptos"/>
      <family val="2"/>
    </font>
    <font>
      <sz val="11"/>
      <color theme="7" tint="-0.249977111117893"/>
      <name val="Calibri"/>
      <family val="2"/>
      <scheme val="minor"/>
    </font>
    <font>
      <sz val="9"/>
      <color theme="7" tint="-0.249977111117893"/>
      <name val="Aptos"/>
      <family val="2"/>
    </font>
    <font>
      <sz val="11"/>
      <color theme="9"/>
      <name val="Calibri"/>
      <family val="2"/>
      <scheme val="minor"/>
    </font>
    <font>
      <sz val="9"/>
      <color theme="9"/>
      <name val="Aptos"/>
      <family val="2"/>
    </font>
    <font>
      <sz val="9"/>
      <name val="Aptos"/>
      <family val="2"/>
    </font>
    <font>
      <sz val="11"/>
      <color theme="0"/>
      <name val="Aptos"/>
      <family val="2"/>
    </font>
    <font>
      <b/>
      <sz val="11"/>
      <color theme="0"/>
      <name val="Aptos"/>
      <family val="2"/>
    </font>
    <font>
      <sz val="9"/>
      <color rgb="FF333333"/>
      <name val="Aptos"/>
      <family val="2"/>
    </font>
    <font>
      <sz val="9"/>
      <color theme="8"/>
      <name val="Aptos"/>
      <family val="2"/>
    </font>
    <font>
      <sz val="11"/>
      <color theme="8"/>
      <name val="Calibri"/>
      <family val="2"/>
      <scheme val="minor"/>
    </font>
    <font>
      <sz val="9"/>
      <color theme="1"/>
      <name val="Aptos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7" tint="-0.249977111117893"/>
      <name val="Consolas"/>
      <family val="3"/>
    </font>
    <font>
      <sz val="9"/>
      <color rgb="FF7030A0"/>
      <name val="Aptos"/>
      <family val="2"/>
    </font>
    <font>
      <sz val="9"/>
      <name val="Aptos"/>
      <family val="2"/>
    </font>
    <font>
      <sz val="9"/>
      <color theme="9"/>
      <name val="Aptos"/>
      <family val="2"/>
    </font>
    <font>
      <sz val="11"/>
      <color theme="1"/>
      <name val="Aptos"/>
      <family val="2"/>
    </font>
    <font>
      <sz val="10"/>
      <name val="Arial"/>
      <family val="2"/>
    </font>
    <font>
      <b/>
      <sz val="18"/>
      <color theme="1"/>
      <name val="Aptos"/>
      <family val="2"/>
    </font>
    <font>
      <b/>
      <sz val="18"/>
      <name val="Aptos"/>
      <family val="2"/>
    </font>
    <font>
      <sz val="1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9"/>
      <color theme="1"/>
      <name val="Aptos"/>
      <family val="2"/>
    </font>
    <font>
      <b/>
      <sz val="9"/>
      <name val="Aptos"/>
      <family val="2"/>
    </font>
    <font>
      <strike/>
      <sz val="9"/>
      <color theme="1"/>
      <name val="Aptos"/>
      <family val="2"/>
    </font>
    <font>
      <strike/>
      <sz val="9"/>
      <name val="Aptos"/>
      <family val="2"/>
    </font>
    <font>
      <strike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9"/>
      <color theme="1"/>
      <name val="Aptos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0"/>
      <name val="Aptos"/>
      <family val="2"/>
    </font>
    <font>
      <sz val="9"/>
      <color theme="1"/>
      <name val="Aptos"/>
    </font>
    <font>
      <sz val="9"/>
      <color rgb="FFFF33CC"/>
      <name val="Aptos"/>
      <family val="2"/>
    </font>
    <font>
      <sz val="11"/>
      <color rgb="FFFF33CC"/>
      <name val="Calibri"/>
      <family val="2"/>
      <scheme val="minor"/>
    </font>
    <font>
      <sz val="9"/>
      <color theme="9"/>
      <name val="Aptos"/>
    </font>
    <font>
      <b/>
      <sz val="9"/>
      <color theme="1"/>
      <name val="Aptos"/>
    </font>
    <font>
      <sz val="9"/>
      <color rgb="FFFF0000"/>
      <name val="Aptos"/>
      <family val="2"/>
    </font>
  </fonts>
  <fills count="12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theme="4"/>
      </patternFill>
    </fill>
    <fill>
      <patternFill patternType="solid">
        <fgColor theme="4" tint="-0.249977111117893"/>
        <bgColor theme="4"/>
      </patternFill>
    </fill>
    <fill>
      <patternFill patternType="solid">
        <fgColor theme="4" tint="0.79998168889431442"/>
        <bgColor theme="4"/>
      </patternFill>
    </fill>
  </fills>
  <borders count="4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thin">
        <color theme="4" tint="0.39997558519241921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theme="4" tint="0.39997558519241921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theme="6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theme="6" tint="0.3999755851924192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theme="6" tint="0.39997558519241921"/>
      </bottom>
      <diagonal/>
    </border>
    <border>
      <left style="hair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22" fillId="0" borderId="0"/>
    <xf numFmtId="0" fontId="22" fillId="0" borderId="0"/>
  </cellStyleXfs>
  <cellXfs count="396">
    <xf numFmtId="0" fontId="0" fillId="0" borderId="0" xfId="0"/>
    <xf numFmtId="0" fontId="2" fillId="0" borderId="2" xfId="0" applyFont="1" applyBorder="1"/>
    <xf numFmtId="0" fontId="2" fillId="0" borderId="3" xfId="0" applyFont="1" applyBorder="1"/>
    <xf numFmtId="0" fontId="4" fillId="0" borderId="0" xfId="0" applyFont="1"/>
    <xf numFmtId="0" fontId="5" fillId="0" borderId="2" xfId="0" applyFont="1" applyBorder="1"/>
    <xf numFmtId="0" fontId="5" fillId="0" borderId="7" xfId="0" applyFont="1" applyBorder="1"/>
    <xf numFmtId="0" fontId="7" fillId="0" borderId="3" xfId="0" applyFont="1" applyBorder="1"/>
    <xf numFmtId="0" fontId="6" fillId="0" borderId="0" xfId="0" applyFont="1"/>
    <xf numFmtId="0" fontId="7" fillId="0" borderId="2" xfId="0" applyFont="1" applyBorder="1"/>
    <xf numFmtId="0" fontId="2" fillId="0" borderId="0" xfId="0" applyFont="1"/>
    <xf numFmtId="0" fontId="5" fillId="0" borderId="7" xfId="0" applyFont="1" applyBorder="1" applyAlignment="1">
      <alignment horizontal="left"/>
    </xf>
    <xf numFmtId="0" fontId="12" fillId="0" borderId="2" xfId="0" applyFont="1" applyBorder="1"/>
    <xf numFmtId="0" fontId="1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4" fillId="0" borderId="10" xfId="0" applyFont="1" applyBorder="1"/>
    <xf numFmtId="2" fontId="5" fillId="0" borderId="2" xfId="0" quotePrefix="1" applyNumberFormat="1" applyFont="1" applyBorder="1"/>
    <xf numFmtId="1" fontId="5" fillId="0" borderId="2" xfId="0" applyNumberFormat="1" applyFont="1" applyBorder="1" applyAlignment="1">
      <alignment horizontal="right"/>
    </xf>
    <xf numFmtId="49" fontId="0" fillId="0" borderId="0" xfId="0" applyNumberFormat="1"/>
    <xf numFmtId="0" fontId="0" fillId="0" borderId="1" xfId="0" applyBorder="1"/>
    <xf numFmtId="0" fontId="1" fillId="2" borderId="14" xfId="0" applyFont="1" applyFill="1" applyBorder="1"/>
    <xf numFmtId="0" fontId="0" fillId="0" borderId="15" xfId="0" applyBorder="1"/>
    <xf numFmtId="0" fontId="2" fillId="0" borderId="2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10" fillId="3" borderId="13" xfId="0" applyFont="1" applyFill="1" applyBorder="1" applyAlignment="1">
      <alignment wrapText="1"/>
    </xf>
    <xf numFmtId="0" fontId="9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6" xfId="0" applyFont="1" applyBorder="1" applyAlignment="1">
      <alignment horizontal="center" wrapText="1"/>
    </xf>
    <xf numFmtId="0" fontId="3" fillId="3" borderId="6" xfId="0" applyFont="1" applyFill="1" applyBorder="1" applyAlignment="1">
      <alignment horizontal="left"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8" fillId="0" borderId="0" xfId="0" applyFont="1" applyAlignment="1">
      <alignment horizontal="left"/>
    </xf>
    <xf numFmtId="0" fontId="3" fillId="0" borderId="6" xfId="0" applyFont="1" applyBorder="1" applyAlignment="1">
      <alignment horizontal="right" wrapText="1"/>
    </xf>
    <xf numFmtId="0" fontId="0" fillId="0" borderId="0" xfId="0" applyAlignment="1">
      <alignment horizontal="right"/>
    </xf>
    <xf numFmtId="0" fontId="5" fillId="0" borderId="10" xfId="0" applyFont="1" applyBorder="1"/>
    <xf numFmtId="0" fontId="5" fillId="0" borderId="16" xfId="0" applyFont="1" applyBorder="1" applyAlignment="1">
      <alignment horizontal="left"/>
    </xf>
    <xf numFmtId="0" fontId="10" fillId="4" borderId="13" xfId="0" applyFont="1" applyFill="1" applyBorder="1" applyAlignment="1">
      <alignment wrapText="1"/>
    </xf>
    <xf numFmtId="0" fontId="3" fillId="0" borderId="19" xfId="0" applyFont="1" applyBorder="1" applyAlignment="1">
      <alignment wrapText="1"/>
    </xf>
    <xf numFmtId="0" fontId="5" fillId="0" borderId="20" xfId="0" applyFont="1" applyBorder="1" applyAlignment="1">
      <alignment horizontal="left"/>
    </xf>
    <xf numFmtId="0" fontId="3" fillId="0" borderId="5" xfId="0" applyFont="1" applyBorder="1" applyAlignment="1">
      <alignment wrapText="1"/>
    </xf>
    <xf numFmtId="49" fontId="10" fillId="3" borderId="22" xfId="0" applyNumberFormat="1" applyFont="1" applyFill="1" applyBorder="1" applyAlignment="1">
      <alignment wrapText="1"/>
    </xf>
    <xf numFmtId="49" fontId="5" fillId="0" borderId="20" xfId="0" applyNumberFormat="1" applyFont="1" applyBorder="1"/>
    <xf numFmtId="0" fontId="3" fillId="3" borderId="5" xfId="0" applyFont="1" applyFill="1" applyBorder="1" applyAlignment="1">
      <alignment horizontal="right" wrapText="1"/>
    </xf>
    <xf numFmtId="0" fontId="5" fillId="0" borderId="20" xfId="0" applyFont="1" applyBorder="1"/>
    <xf numFmtId="0" fontId="3" fillId="0" borderId="5" xfId="0" applyFont="1" applyBorder="1" applyAlignment="1">
      <alignment horizontal="right" wrapText="1"/>
    </xf>
    <xf numFmtId="0" fontId="3" fillId="0" borderId="19" xfId="0" applyFont="1" applyBorder="1" applyAlignment="1">
      <alignment horizontal="right" wrapText="1"/>
    </xf>
    <xf numFmtId="1" fontId="5" fillId="0" borderId="17" xfId="0" applyNumberFormat="1" applyFont="1" applyBorder="1" applyAlignment="1">
      <alignment horizontal="right" wrapText="1"/>
    </xf>
    <xf numFmtId="0" fontId="3" fillId="0" borderId="24" xfId="0" applyFont="1" applyBorder="1" applyAlignment="1">
      <alignment wrapText="1"/>
    </xf>
    <xf numFmtId="0" fontId="17" fillId="5" borderId="25" xfId="0" quotePrefix="1" applyFont="1" applyFill="1" applyBorder="1" applyAlignment="1">
      <alignment horizontal="left" vertical="top" wrapText="1"/>
    </xf>
    <xf numFmtId="0" fontId="7" fillId="0" borderId="0" xfId="0" applyFont="1"/>
    <xf numFmtId="0" fontId="19" fillId="0" borderId="2" xfId="0" applyFont="1" applyBorder="1"/>
    <xf numFmtId="0" fontId="14" fillId="0" borderId="2" xfId="0" applyFont="1" applyBorder="1"/>
    <xf numFmtId="165" fontId="3" fillId="0" borderId="0" xfId="0" applyNumberFormat="1" applyFont="1" applyAlignment="1">
      <alignment wrapText="1"/>
    </xf>
    <xf numFmtId="165" fontId="0" fillId="0" borderId="0" xfId="0" applyNumberFormat="1"/>
    <xf numFmtId="165" fontId="21" fillId="0" borderId="0" xfId="0" applyNumberFormat="1" applyFont="1" applyAlignment="1">
      <alignment wrapText="1"/>
    </xf>
    <xf numFmtId="0" fontId="3" fillId="0" borderId="26" xfId="0" applyFont="1" applyBorder="1" applyAlignment="1">
      <alignment horizontal="right" wrapText="1"/>
    </xf>
    <xf numFmtId="1" fontId="5" fillId="0" borderId="0" xfId="0" applyNumberFormat="1" applyFont="1" applyAlignment="1">
      <alignment horizontal="right"/>
    </xf>
    <xf numFmtId="0" fontId="2" fillId="0" borderId="0" xfId="0" applyFont="1" applyAlignment="1">
      <alignment wrapText="1"/>
    </xf>
    <xf numFmtId="0" fontId="5" fillId="0" borderId="0" xfId="0" applyFont="1"/>
    <xf numFmtId="0" fontId="14" fillId="0" borderId="0" xfId="0" applyFont="1"/>
    <xf numFmtId="0" fontId="23" fillId="0" borderId="10" xfId="0" applyFont="1" applyBorder="1"/>
    <xf numFmtId="0" fontId="23" fillId="0" borderId="0" xfId="0" applyFont="1"/>
    <xf numFmtId="0" fontId="24" fillId="0" borderId="0" xfId="0" applyFont="1" applyAlignment="1">
      <alignment horizontal="left"/>
    </xf>
    <xf numFmtId="0" fontId="2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165" fontId="0" fillId="0" borderId="0" xfId="0" applyNumberFormat="1" applyAlignment="1">
      <alignment horizontal="left" vertical="top" wrapText="1"/>
    </xf>
    <xf numFmtId="0" fontId="3" fillId="6" borderId="19" xfId="0" applyFont="1" applyFill="1" applyBorder="1" applyAlignment="1">
      <alignment horizontal="right" wrapText="1"/>
    </xf>
    <xf numFmtId="0" fontId="8" fillId="0" borderId="2" xfId="0" applyFont="1" applyBorder="1"/>
    <xf numFmtId="0" fontId="25" fillId="0" borderId="0" xfId="0" applyFont="1"/>
    <xf numFmtId="0" fontId="2" fillId="7" borderId="0" xfId="0" applyFont="1" applyFill="1"/>
    <xf numFmtId="1" fontId="2" fillId="0" borderId="20" xfId="0" applyNumberFormat="1" applyFont="1" applyBorder="1" applyAlignment="1">
      <alignment horizontal="right"/>
    </xf>
    <xf numFmtId="1" fontId="2" fillId="0" borderId="0" xfId="0" applyNumberFormat="1" applyFont="1" applyAlignment="1">
      <alignment horizontal="right"/>
    </xf>
    <xf numFmtId="0" fontId="0" fillId="0" borderId="17" xfId="0" applyBorder="1" applyAlignment="1">
      <alignment horizontal="right"/>
    </xf>
    <xf numFmtId="1" fontId="2" fillId="0" borderId="17" xfId="0" applyNumberFormat="1" applyFont="1" applyBorder="1" applyAlignment="1">
      <alignment horizontal="right"/>
    </xf>
    <xf numFmtId="1" fontId="8" fillId="0" borderId="17" xfId="0" applyNumberFormat="1" applyFont="1" applyBorder="1" applyAlignment="1">
      <alignment horizontal="right"/>
    </xf>
    <xf numFmtId="1" fontId="8" fillId="0" borderId="0" xfId="0" applyNumberFormat="1" applyFont="1" applyAlignment="1">
      <alignment horizontal="right"/>
    </xf>
    <xf numFmtId="0" fontId="3" fillId="8" borderId="6" xfId="0" applyFont="1" applyFill="1" applyBorder="1" applyAlignment="1">
      <alignment horizontal="right" wrapText="1"/>
    </xf>
    <xf numFmtId="0" fontId="3" fillId="8" borderId="19" xfId="0" applyFont="1" applyFill="1" applyBorder="1" applyAlignment="1">
      <alignment horizontal="right" wrapText="1"/>
    </xf>
    <xf numFmtId="1" fontId="8" fillId="0" borderId="28" xfId="0" applyNumberFormat="1" applyFont="1" applyBorder="1" applyAlignment="1">
      <alignment horizontal="right"/>
    </xf>
    <xf numFmtId="1" fontId="8" fillId="0" borderId="2" xfId="0" applyNumberFormat="1" applyFont="1" applyBorder="1" applyAlignment="1">
      <alignment horizontal="right"/>
    </xf>
    <xf numFmtId="0" fontId="8" fillId="0" borderId="10" xfId="0" applyFont="1" applyBorder="1"/>
    <xf numFmtId="0" fontId="2" fillId="0" borderId="11" xfId="0" applyFont="1" applyBorder="1"/>
    <xf numFmtId="0" fontId="2" fillId="0" borderId="7" xfId="0" applyFont="1" applyBorder="1" applyAlignment="1">
      <alignment horizontal="left"/>
    </xf>
    <xf numFmtId="0" fontId="25" fillId="0" borderId="0" xfId="0" applyFont="1" applyAlignment="1">
      <alignment horizontal="right"/>
    </xf>
    <xf numFmtId="0" fontId="9" fillId="8" borderId="6" xfId="0" applyFont="1" applyFill="1" applyBorder="1" applyAlignment="1">
      <alignment horizontal="right" wrapText="1"/>
    </xf>
    <xf numFmtId="1" fontId="8" fillId="0" borderId="7" xfId="0" applyNumberFormat="1" applyFont="1" applyBorder="1" applyAlignment="1">
      <alignment horizontal="right"/>
    </xf>
    <xf numFmtId="1" fontId="8" fillId="0" borderId="20" xfId="0" applyNumberFormat="1" applyFont="1" applyBorder="1" applyAlignment="1">
      <alignment horizontal="right"/>
    </xf>
    <xf numFmtId="0" fontId="8" fillId="0" borderId="7" xfId="0" applyFont="1" applyBorder="1"/>
    <xf numFmtId="0" fontId="26" fillId="0" borderId="0" xfId="0" applyFont="1" applyAlignment="1">
      <alignment horizontal="right"/>
    </xf>
    <xf numFmtId="0" fontId="10" fillId="0" borderId="13" xfId="0" applyFont="1" applyBorder="1" applyAlignment="1">
      <alignment horizontal="left" wrapText="1"/>
    </xf>
    <xf numFmtId="0" fontId="5" fillId="0" borderId="17" xfId="0" applyFont="1" applyBorder="1" applyAlignment="1">
      <alignment horizontal="left"/>
    </xf>
    <xf numFmtId="0" fontId="12" fillId="0" borderId="16" xfId="0" applyFont="1" applyBorder="1" applyAlignment="1">
      <alignment horizontal="left"/>
    </xf>
    <xf numFmtId="0" fontId="12" fillId="0" borderId="17" xfId="0" applyFont="1" applyBorder="1" applyAlignment="1">
      <alignment horizontal="left"/>
    </xf>
    <xf numFmtId="0" fontId="8" fillId="0" borderId="16" xfId="0" applyFont="1" applyBorder="1" applyAlignment="1">
      <alignment horizontal="left"/>
    </xf>
    <xf numFmtId="0" fontId="8" fillId="0" borderId="17" xfId="0" applyFont="1" applyBorder="1" applyAlignment="1">
      <alignment horizontal="left"/>
    </xf>
    <xf numFmtId="0" fontId="7" fillId="0" borderId="17" xfId="0" applyFont="1" applyBorder="1" applyAlignment="1">
      <alignment horizontal="left"/>
    </xf>
    <xf numFmtId="0" fontId="7" fillId="0" borderId="16" xfId="0" applyFont="1" applyBorder="1" applyAlignment="1">
      <alignment horizontal="left"/>
    </xf>
    <xf numFmtId="0" fontId="7" fillId="0" borderId="18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7" fillId="0" borderId="17" xfId="0" applyFont="1" applyBorder="1" applyAlignment="1">
      <alignment horizontal="left"/>
    </xf>
    <xf numFmtId="0" fontId="27" fillId="0" borderId="2" xfId="0" applyFont="1" applyBorder="1"/>
    <xf numFmtId="1" fontId="27" fillId="0" borderId="20" xfId="0" applyNumberFormat="1" applyFont="1" applyBorder="1" applyAlignment="1">
      <alignment horizontal="right"/>
    </xf>
    <xf numFmtId="0" fontId="27" fillId="0" borderId="7" xfId="0" applyFont="1" applyBorder="1" applyAlignment="1">
      <alignment horizontal="left"/>
    </xf>
    <xf numFmtId="0" fontId="27" fillId="0" borderId="18" xfId="0" applyFont="1" applyBorder="1" applyAlignment="1">
      <alignment horizontal="left"/>
    </xf>
    <xf numFmtId="0" fontId="27" fillId="0" borderId="8" xfId="0" applyFont="1" applyBorder="1" applyAlignment="1">
      <alignment horizontal="left"/>
    </xf>
    <xf numFmtId="1" fontId="2" fillId="0" borderId="2" xfId="0" applyNumberFormat="1" applyFont="1" applyBorder="1" applyAlignment="1">
      <alignment horizontal="right"/>
    </xf>
    <xf numFmtId="1" fontId="27" fillId="0" borderId="21" xfId="0" applyNumberFormat="1" applyFont="1" applyBorder="1" applyAlignment="1">
      <alignment horizontal="right"/>
    </xf>
    <xf numFmtId="1" fontId="2" fillId="0" borderId="12" xfId="0" applyNumberFormat="1" applyFont="1" applyBorder="1" applyAlignment="1">
      <alignment horizontal="right"/>
    </xf>
    <xf numFmtId="1" fontId="2" fillId="0" borderId="18" xfId="0" applyNumberFormat="1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7" fillId="0" borderId="11" xfId="0" applyFont="1" applyBorder="1"/>
    <xf numFmtId="0" fontId="2" fillId="0" borderId="12" xfId="0" applyFont="1" applyBorder="1"/>
    <xf numFmtId="0" fontId="27" fillId="0" borderId="3" xfId="0" applyFont="1" applyBorder="1"/>
    <xf numFmtId="0" fontId="27" fillId="0" borderId="8" xfId="0" applyFont="1" applyBorder="1"/>
    <xf numFmtId="14" fontId="27" fillId="0" borderId="8" xfId="0" applyNumberFormat="1" applyFont="1" applyBorder="1" applyAlignment="1">
      <alignment horizontal="left"/>
    </xf>
    <xf numFmtId="14" fontId="2" fillId="0" borderId="8" xfId="0" applyNumberFormat="1" applyFont="1" applyBorder="1" applyAlignment="1">
      <alignment horizontal="left"/>
    </xf>
    <xf numFmtId="0" fontId="27" fillId="0" borderId="21" xfId="0" applyFont="1" applyBorder="1" applyAlignment="1">
      <alignment horizontal="left"/>
    </xf>
    <xf numFmtId="0" fontId="27" fillId="0" borderId="3" xfId="0" quotePrefix="1" applyFont="1" applyBorder="1" applyAlignment="1">
      <alignment horizontal="left"/>
    </xf>
    <xf numFmtId="0" fontId="27" fillId="0" borderId="3" xfId="0" applyFont="1" applyBorder="1" applyAlignment="1">
      <alignment horizontal="left"/>
    </xf>
    <xf numFmtId="49" fontId="2" fillId="0" borderId="21" xfId="0" applyNumberFormat="1" applyFont="1" applyBorder="1"/>
    <xf numFmtId="0" fontId="27" fillId="0" borderId="21" xfId="0" applyFont="1" applyBorder="1"/>
    <xf numFmtId="1" fontId="27" fillId="0" borderId="12" xfId="0" applyNumberFormat="1" applyFont="1" applyBorder="1" applyAlignment="1">
      <alignment horizontal="right"/>
    </xf>
    <xf numFmtId="1" fontId="27" fillId="0" borderId="3" xfId="0" applyNumberFormat="1" applyFont="1" applyBorder="1" applyAlignment="1">
      <alignment horizontal="right"/>
    </xf>
    <xf numFmtId="0" fontId="0" fillId="0" borderId="12" xfId="0" applyBorder="1"/>
    <xf numFmtId="1" fontId="8" fillId="0" borderId="2" xfId="0" applyNumberFormat="1" applyFont="1" applyBorder="1" applyAlignment="1">
      <alignment horizontal="center"/>
    </xf>
    <xf numFmtId="1" fontId="28" fillId="0" borderId="2" xfId="0" applyNumberFormat="1" applyFont="1" applyBorder="1" applyAlignment="1">
      <alignment horizontal="center"/>
    </xf>
    <xf numFmtId="0" fontId="3" fillId="3" borderId="5" xfId="0" applyFont="1" applyFill="1" applyBorder="1" applyAlignment="1">
      <alignment horizontal="left" wrapText="1"/>
    </xf>
    <xf numFmtId="1" fontId="2" fillId="0" borderId="7" xfId="0" applyNumberFormat="1" applyFont="1" applyBorder="1" applyAlignment="1">
      <alignment horizontal="right"/>
    </xf>
    <xf numFmtId="0" fontId="3" fillId="0" borderId="29" xfId="0" applyFont="1" applyBorder="1" applyAlignment="1">
      <alignment horizontal="center" wrapText="1"/>
    </xf>
    <xf numFmtId="0" fontId="5" fillId="0" borderId="10" xfId="0" applyFont="1" applyBorder="1" applyAlignment="1">
      <alignment horizontal="left"/>
    </xf>
    <xf numFmtId="14" fontId="2" fillId="0" borderId="11" xfId="0" applyNumberFormat="1" applyFont="1" applyBorder="1" applyAlignment="1">
      <alignment horizontal="left"/>
    </xf>
    <xf numFmtId="0" fontId="29" fillId="0" borderId="2" xfId="0" applyFont="1" applyBorder="1"/>
    <xf numFmtId="0" fontId="31" fillId="0" borderId="0" xfId="0" applyFont="1"/>
    <xf numFmtId="0" fontId="27" fillId="0" borderId="10" xfId="0" applyFont="1" applyBorder="1"/>
    <xf numFmtId="1" fontId="5" fillId="0" borderId="17" xfId="0" applyNumberFormat="1" applyFont="1" applyBorder="1" applyAlignment="1">
      <alignment horizontal="right"/>
    </xf>
    <xf numFmtId="1" fontId="5" fillId="0" borderId="20" xfId="0" applyNumberFormat="1" applyFont="1" applyBorder="1" applyAlignment="1">
      <alignment horizontal="right"/>
    </xf>
    <xf numFmtId="1" fontId="7" fillId="0" borderId="0" xfId="0" applyNumberFormat="1" applyFont="1" applyAlignment="1">
      <alignment horizontal="right"/>
    </xf>
    <xf numFmtId="1" fontId="7" fillId="0" borderId="20" xfId="0" applyNumberFormat="1" applyFont="1" applyBorder="1" applyAlignment="1">
      <alignment horizontal="right"/>
    </xf>
    <xf numFmtId="0" fontId="33" fillId="0" borderId="0" xfId="0" applyFont="1"/>
    <xf numFmtId="0" fontId="32" fillId="0" borderId="30" xfId="0" applyFont="1" applyBorder="1"/>
    <xf numFmtId="0" fontId="0" fillId="0" borderId="30" xfId="0" applyBorder="1"/>
    <xf numFmtId="14" fontId="5" fillId="0" borderId="7" xfId="0" applyNumberFormat="1" applyFont="1" applyBorder="1" applyAlignment="1">
      <alignment horizontal="left"/>
    </xf>
    <xf numFmtId="1" fontId="5" fillId="0" borderId="7" xfId="0" applyNumberFormat="1" applyFont="1" applyBorder="1" applyAlignment="1">
      <alignment horizontal="right"/>
    </xf>
    <xf numFmtId="0" fontId="5" fillId="0" borderId="7" xfId="0" applyFont="1" applyBorder="1" applyAlignment="1">
      <alignment horizontal="right"/>
    </xf>
    <xf numFmtId="0" fontId="12" fillId="0" borderId="10" xfId="0" applyFont="1" applyBorder="1"/>
    <xf numFmtId="0" fontId="12" fillId="0" borderId="0" xfId="0" applyFont="1"/>
    <xf numFmtId="0" fontId="12" fillId="0" borderId="7" xfId="0" applyFont="1" applyBorder="1"/>
    <xf numFmtId="14" fontId="12" fillId="0" borderId="7" xfId="0" applyNumberFormat="1" applyFont="1" applyBorder="1" applyAlignment="1">
      <alignment horizontal="left"/>
    </xf>
    <xf numFmtId="0" fontId="12" fillId="0" borderId="7" xfId="0" applyFont="1" applyBorder="1" applyAlignment="1">
      <alignment horizontal="left"/>
    </xf>
    <xf numFmtId="0" fontId="12" fillId="0" borderId="10" xfId="0" applyFont="1" applyBorder="1" applyAlignment="1">
      <alignment horizontal="left"/>
    </xf>
    <xf numFmtId="0" fontId="12" fillId="0" borderId="20" xfId="0" applyFont="1" applyBorder="1" applyAlignment="1">
      <alignment horizontal="left"/>
    </xf>
    <xf numFmtId="0" fontId="12" fillId="0" borderId="2" xfId="0" quotePrefix="1" applyFont="1" applyBorder="1"/>
    <xf numFmtId="49" fontId="12" fillId="0" borderId="20" xfId="0" applyNumberFormat="1" applyFont="1" applyBorder="1"/>
    <xf numFmtId="0" fontId="12" fillId="0" borderId="20" xfId="0" applyFont="1" applyBorder="1"/>
    <xf numFmtId="1" fontId="12" fillId="0" borderId="2" xfId="0" applyNumberFormat="1" applyFont="1" applyBorder="1" applyAlignment="1">
      <alignment horizontal="right"/>
    </xf>
    <xf numFmtId="1" fontId="12" fillId="0" borderId="7" xfId="0" applyNumberFormat="1" applyFont="1" applyBorder="1" applyAlignment="1">
      <alignment horizontal="right"/>
    </xf>
    <xf numFmtId="1" fontId="12" fillId="0" borderId="20" xfId="0" applyNumberFormat="1" applyFont="1" applyBorder="1" applyAlignment="1">
      <alignment horizontal="right"/>
    </xf>
    <xf numFmtId="1" fontId="12" fillId="0" borderId="0" xfId="0" applyNumberFormat="1" applyFont="1" applyAlignment="1">
      <alignment horizontal="right"/>
    </xf>
    <xf numFmtId="1" fontId="12" fillId="0" borderId="17" xfId="0" applyNumberFormat="1" applyFont="1" applyBorder="1" applyAlignment="1">
      <alignment horizontal="right"/>
    </xf>
    <xf numFmtId="0" fontId="2" fillId="0" borderId="10" xfId="0" applyFont="1" applyBorder="1"/>
    <xf numFmtId="0" fontId="2" fillId="0" borderId="7" xfId="0" applyFont="1" applyBorder="1"/>
    <xf numFmtId="14" fontId="2" fillId="0" borderId="7" xfId="0" applyNumberFormat="1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14" fontId="2" fillId="0" borderId="2" xfId="0" quotePrefix="1" applyNumberFormat="1" applyFont="1" applyBorder="1"/>
    <xf numFmtId="49" fontId="2" fillId="0" borderId="20" xfId="0" applyNumberFormat="1" applyFont="1" applyBorder="1"/>
    <xf numFmtId="0" fontId="2" fillId="0" borderId="20" xfId="0" applyFont="1" applyBorder="1"/>
    <xf numFmtId="0" fontId="27" fillId="0" borderId="7" xfId="0" applyFont="1" applyBorder="1"/>
    <xf numFmtId="14" fontId="27" fillId="0" borderId="7" xfId="0" applyNumberFormat="1" applyFont="1" applyBorder="1" applyAlignment="1">
      <alignment horizontal="left"/>
    </xf>
    <xf numFmtId="0" fontId="27" fillId="0" borderId="20" xfId="0" applyFont="1" applyBorder="1" applyAlignment="1">
      <alignment horizontal="left"/>
    </xf>
    <xf numFmtId="0" fontId="27" fillId="0" borderId="20" xfId="0" applyFont="1" applyBorder="1"/>
    <xf numFmtId="0" fontId="8" fillId="0" borderId="20" xfId="0" applyFont="1" applyBorder="1"/>
    <xf numFmtId="0" fontId="29" fillId="0" borderId="0" xfId="0" applyFont="1"/>
    <xf numFmtId="0" fontId="29" fillId="0" borderId="7" xfId="0" applyFont="1" applyBorder="1"/>
    <xf numFmtId="14" fontId="29" fillId="0" borderId="7" xfId="0" applyNumberFormat="1" applyFont="1" applyBorder="1" applyAlignment="1">
      <alignment horizontal="left"/>
    </xf>
    <xf numFmtId="0" fontId="29" fillId="0" borderId="7" xfId="0" applyFont="1" applyBorder="1" applyAlignment="1">
      <alignment horizontal="left"/>
    </xf>
    <xf numFmtId="0" fontId="29" fillId="0" borderId="10" xfId="0" applyFont="1" applyBorder="1" applyAlignment="1">
      <alignment horizontal="left"/>
    </xf>
    <xf numFmtId="0" fontId="29" fillId="0" borderId="20" xfId="0" applyFont="1" applyBorder="1" applyAlignment="1">
      <alignment horizontal="left"/>
    </xf>
    <xf numFmtId="14" fontId="29" fillId="0" borderId="2" xfId="0" quotePrefix="1" applyNumberFormat="1" applyFont="1" applyBorder="1"/>
    <xf numFmtId="49" fontId="29" fillId="0" borderId="20" xfId="0" applyNumberFormat="1" applyFont="1" applyBorder="1"/>
    <xf numFmtId="0" fontId="30" fillId="0" borderId="7" xfId="0" applyFont="1" applyBorder="1"/>
    <xf numFmtId="0" fontId="30" fillId="0" borderId="20" xfId="0" applyFont="1" applyBorder="1"/>
    <xf numFmtId="1" fontId="30" fillId="0" borderId="2" xfId="0" applyNumberFormat="1" applyFont="1" applyBorder="1" applyAlignment="1">
      <alignment horizontal="right"/>
    </xf>
    <xf numFmtId="1" fontId="29" fillId="0" borderId="7" xfId="0" applyNumberFormat="1" applyFont="1" applyBorder="1" applyAlignment="1">
      <alignment horizontal="right"/>
    </xf>
    <xf numFmtId="1" fontId="29" fillId="0" borderId="20" xfId="0" applyNumberFormat="1" applyFont="1" applyBorder="1" applyAlignment="1">
      <alignment horizontal="right"/>
    </xf>
    <xf numFmtId="1" fontId="30" fillId="0" borderId="0" xfId="0" applyNumberFormat="1" applyFont="1" applyAlignment="1">
      <alignment horizontal="right"/>
    </xf>
    <xf numFmtId="1" fontId="29" fillId="0" borderId="0" xfId="0" applyNumberFormat="1" applyFont="1" applyAlignment="1">
      <alignment horizontal="right"/>
    </xf>
    <xf numFmtId="1" fontId="29" fillId="0" borderId="17" xfId="0" applyNumberFormat="1" applyFont="1" applyBorder="1" applyAlignment="1">
      <alignment horizontal="right"/>
    </xf>
    <xf numFmtId="0" fontId="7" fillId="0" borderId="10" xfId="0" applyFont="1" applyBorder="1"/>
    <xf numFmtId="0" fontId="7" fillId="0" borderId="7" xfId="0" applyFont="1" applyBorder="1"/>
    <xf numFmtId="14" fontId="7" fillId="0" borderId="7" xfId="0" applyNumberFormat="1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14" fontId="7" fillId="0" borderId="2" xfId="0" quotePrefix="1" applyNumberFormat="1" applyFont="1" applyBorder="1"/>
    <xf numFmtId="49" fontId="7" fillId="0" borderId="20" xfId="0" applyNumberFormat="1" applyFont="1" applyBorder="1"/>
    <xf numFmtId="0" fontId="7" fillId="0" borderId="20" xfId="0" applyFont="1" applyBorder="1"/>
    <xf numFmtId="1" fontId="7" fillId="0" borderId="2" xfId="0" applyNumberFormat="1" applyFont="1" applyBorder="1" applyAlignment="1">
      <alignment horizontal="right"/>
    </xf>
    <xf numFmtId="1" fontId="7" fillId="0" borderId="7" xfId="0" applyNumberFormat="1" applyFont="1" applyBorder="1" applyAlignment="1">
      <alignment horizontal="right"/>
    </xf>
    <xf numFmtId="1" fontId="7" fillId="0" borderId="17" xfId="0" applyNumberFormat="1" applyFont="1" applyBorder="1" applyAlignment="1">
      <alignment horizontal="right"/>
    </xf>
    <xf numFmtId="0" fontId="20" fillId="0" borderId="7" xfId="0" applyFont="1" applyBorder="1"/>
    <xf numFmtId="0" fontId="7" fillId="0" borderId="10" xfId="0" applyFont="1" applyBorder="1" applyAlignment="1">
      <alignment horizontal="left"/>
    </xf>
    <xf numFmtId="0" fontId="7" fillId="0" borderId="20" xfId="0" applyFont="1" applyBorder="1" applyAlignment="1">
      <alignment horizontal="left"/>
    </xf>
    <xf numFmtId="0" fontId="20" fillId="0" borderId="7" xfId="0" applyFont="1" applyBorder="1" applyAlignment="1">
      <alignment horizontal="left"/>
    </xf>
    <xf numFmtId="0" fontId="7" fillId="0" borderId="11" xfId="0" applyFont="1" applyBorder="1"/>
    <xf numFmtId="0" fontId="7" fillId="0" borderId="12" xfId="0" applyFont="1" applyBorder="1"/>
    <xf numFmtId="0" fontId="7" fillId="0" borderId="8" xfId="0" applyFont="1" applyBorder="1"/>
    <xf numFmtId="0" fontId="20" fillId="0" borderId="8" xfId="0" applyFont="1" applyBorder="1" applyAlignment="1">
      <alignment horizontal="left"/>
    </xf>
    <xf numFmtId="14" fontId="7" fillId="0" borderId="8" xfId="0" applyNumberFormat="1" applyFont="1" applyBorder="1"/>
    <xf numFmtId="0" fontId="7" fillId="0" borderId="8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0" fontId="7" fillId="0" borderId="21" xfId="0" applyFont="1" applyBorder="1" applyAlignment="1">
      <alignment horizontal="left"/>
    </xf>
    <xf numFmtId="14" fontId="7" fillId="0" borderId="3" xfId="0" quotePrefix="1" applyNumberFormat="1" applyFont="1" applyBorder="1"/>
    <xf numFmtId="49" fontId="7" fillId="0" borderId="21" xfId="0" applyNumberFormat="1" applyFont="1" applyBorder="1"/>
    <xf numFmtId="0" fontId="7" fillId="0" borderId="21" xfId="0" applyFont="1" applyBorder="1"/>
    <xf numFmtId="1" fontId="7" fillId="0" borderId="3" xfId="0" applyNumberFormat="1" applyFont="1" applyBorder="1" applyAlignment="1">
      <alignment horizontal="right"/>
    </xf>
    <xf numFmtId="1" fontId="7" fillId="0" borderId="12" xfId="0" applyNumberFormat="1" applyFont="1" applyBorder="1" applyAlignment="1">
      <alignment horizontal="right"/>
    </xf>
    <xf numFmtId="1" fontId="7" fillId="0" borderId="18" xfId="0" applyNumberFormat="1" applyFont="1" applyBorder="1" applyAlignment="1">
      <alignment horizontal="right"/>
    </xf>
    <xf numFmtId="165" fontId="20" fillId="0" borderId="0" xfId="0" applyNumberFormat="1" applyFont="1" applyAlignment="1">
      <alignment horizontal="left"/>
    </xf>
    <xf numFmtId="14" fontId="7" fillId="0" borderId="7" xfId="0" applyNumberFormat="1" applyFont="1" applyBorder="1"/>
    <xf numFmtId="0" fontId="7" fillId="0" borderId="2" xfId="0" quotePrefix="1" applyFont="1" applyBorder="1"/>
    <xf numFmtId="0" fontId="7" fillId="0" borderId="9" xfId="0" applyFont="1" applyBorder="1" applyAlignment="1">
      <alignment horizontal="left"/>
    </xf>
    <xf numFmtId="0" fontId="7" fillId="0" borderId="9" xfId="0" applyFont="1" applyBorder="1"/>
    <xf numFmtId="0" fontId="7" fillId="0" borderId="23" xfId="0" applyFont="1" applyBorder="1"/>
    <xf numFmtId="1" fontId="7" fillId="0" borderId="4" xfId="0" applyNumberFormat="1" applyFont="1" applyBorder="1" applyAlignment="1">
      <alignment horizontal="right"/>
    </xf>
    <xf numFmtId="14" fontId="8" fillId="0" borderId="7" xfId="0" applyNumberFormat="1" applyFont="1" applyBorder="1"/>
    <xf numFmtId="14" fontId="2" fillId="0" borderId="10" xfId="0" applyNumberFormat="1" applyFont="1" applyBorder="1" applyAlignment="1">
      <alignment horizontal="left"/>
    </xf>
    <xf numFmtId="0" fontId="2" fillId="0" borderId="2" xfId="0" quotePrefix="1" applyFont="1" applyBorder="1"/>
    <xf numFmtId="49" fontId="11" fillId="0" borderId="20" xfId="0" applyNumberFormat="1" applyFont="1" applyBorder="1"/>
    <xf numFmtId="0" fontId="8" fillId="0" borderId="7" xfId="0" applyFont="1" applyBorder="1" applyAlignment="1">
      <alignment horizontal="left"/>
    </xf>
    <xf numFmtId="0" fontId="2" fillId="0" borderId="7" xfId="0" applyFont="1" applyBorder="1" applyAlignment="1">
      <alignment horizontal="right"/>
    </xf>
    <xf numFmtId="0" fontId="8" fillId="0" borderId="0" xfId="0" applyFont="1"/>
    <xf numFmtId="14" fontId="8" fillId="0" borderId="7" xfId="0" applyNumberFormat="1" applyFont="1" applyBorder="1" applyAlignment="1">
      <alignment horizontal="left"/>
    </xf>
    <xf numFmtId="0" fontId="8" fillId="0" borderId="10" xfId="0" applyFont="1" applyBorder="1" applyAlignment="1">
      <alignment horizontal="left"/>
    </xf>
    <xf numFmtId="0" fontId="8" fillId="0" borderId="20" xfId="0" applyFont="1" applyBorder="1" applyAlignment="1">
      <alignment horizontal="left"/>
    </xf>
    <xf numFmtId="0" fontId="8" fillId="0" borderId="2" xfId="0" quotePrefix="1" applyFont="1" applyBorder="1"/>
    <xf numFmtId="49" fontId="8" fillId="0" borderId="20" xfId="0" applyNumberFormat="1" applyFont="1" applyBorder="1"/>
    <xf numFmtId="0" fontId="8" fillId="0" borderId="7" xfId="0" applyFont="1" applyBorder="1" applyAlignment="1">
      <alignment horizontal="right"/>
    </xf>
    <xf numFmtId="0" fontId="27" fillId="0" borderId="7" xfId="0" applyFont="1" applyBorder="1" applyAlignment="1">
      <alignment horizontal="right"/>
    </xf>
    <xf numFmtId="0" fontId="2" fillId="0" borderId="3" xfId="0" quotePrefix="1" applyFont="1" applyBorder="1"/>
    <xf numFmtId="0" fontId="2" fillId="0" borderId="8" xfId="0" applyFont="1" applyBorder="1"/>
    <xf numFmtId="0" fontId="2" fillId="0" borderId="8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21" xfId="0" applyFont="1" applyBorder="1"/>
    <xf numFmtId="0" fontId="5" fillId="0" borderId="2" xfId="0" quotePrefix="1" applyFont="1" applyBorder="1"/>
    <xf numFmtId="166" fontId="20" fillId="0" borderId="7" xfId="0" applyNumberFormat="1" applyFont="1" applyBorder="1" applyAlignment="1">
      <alignment horizontal="left"/>
    </xf>
    <xf numFmtId="1" fontId="2" fillId="0" borderId="7" xfId="0" applyNumberFormat="1" applyFont="1" applyBorder="1" applyAlignment="1">
      <alignment horizontal="left"/>
    </xf>
    <xf numFmtId="14" fontId="27" fillId="0" borderId="10" xfId="0" applyNumberFormat="1" applyFont="1" applyBorder="1" applyAlignment="1">
      <alignment horizontal="left"/>
    </xf>
    <xf numFmtId="1" fontId="27" fillId="0" borderId="7" xfId="0" applyNumberFormat="1" applyFont="1" applyBorder="1" applyAlignment="1">
      <alignment horizontal="right"/>
    </xf>
    <xf numFmtId="0" fontId="27" fillId="0" borderId="0" xfId="0" applyFont="1"/>
    <xf numFmtId="14" fontId="27" fillId="0" borderId="2" xfId="0" quotePrefix="1" applyNumberFormat="1" applyFont="1" applyBorder="1" applyAlignment="1">
      <alignment horizontal="left"/>
    </xf>
    <xf numFmtId="0" fontId="27" fillId="0" borderId="2" xfId="0" applyFont="1" applyBorder="1" applyAlignment="1">
      <alignment horizontal="left"/>
    </xf>
    <xf numFmtId="49" fontId="27" fillId="0" borderId="20" xfId="0" applyNumberFormat="1" applyFont="1" applyBorder="1" applyAlignment="1">
      <alignment horizontal="left"/>
    </xf>
    <xf numFmtId="1" fontId="27" fillId="0" borderId="0" xfId="0" applyNumberFormat="1" applyFont="1" applyAlignment="1">
      <alignment horizontal="right"/>
    </xf>
    <xf numFmtId="1" fontId="27" fillId="0" borderId="2" xfId="0" applyNumberFormat="1" applyFont="1" applyBorder="1" applyAlignment="1">
      <alignment horizontal="right"/>
    </xf>
    <xf numFmtId="0" fontId="2" fillId="0" borderId="2" xfId="0" applyFont="1" applyBorder="1" applyAlignment="1">
      <alignment horizontal="left"/>
    </xf>
    <xf numFmtId="0" fontId="7" fillId="0" borderId="7" xfId="0" quotePrefix="1" applyFont="1" applyBorder="1"/>
    <xf numFmtId="49" fontId="7" fillId="0" borderId="10" xfId="0" applyNumberFormat="1" applyFont="1" applyBorder="1"/>
    <xf numFmtId="0" fontId="2" fillId="0" borderId="7" xfId="0" quotePrefix="1" applyFont="1" applyBorder="1"/>
    <xf numFmtId="49" fontId="2" fillId="0" borderId="10" xfId="0" applyNumberFormat="1" applyFont="1" applyBorder="1"/>
    <xf numFmtId="0" fontId="18" fillId="0" borderId="0" xfId="0" applyFont="1"/>
    <xf numFmtId="0" fontId="34" fillId="0" borderId="7" xfId="0" applyFont="1" applyBorder="1"/>
    <xf numFmtId="0" fontId="34" fillId="0" borderId="7" xfId="0" applyFont="1" applyBorder="1" applyAlignment="1">
      <alignment horizontal="left"/>
    </xf>
    <xf numFmtId="14" fontId="34" fillId="0" borderId="7" xfId="0" applyNumberFormat="1" applyFont="1" applyBorder="1" applyAlignment="1">
      <alignment horizontal="left"/>
    </xf>
    <xf numFmtId="0" fontId="34" fillId="0" borderId="20" xfId="0" applyFont="1" applyBorder="1"/>
    <xf numFmtId="0" fontId="34" fillId="0" borderId="2" xfId="0" applyFont="1" applyBorder="1"/>
    <xf numFmtId="0" fontId="35" fillId="0" borderId="1" xfId="0" applyFont="1" applyBorder="1"/>
    <xf numFmtId="1" fontId="0" fillId="0" borderId="0" xfId="0" applyNumberFormat="1"/>
    <xf numFmtId="1" fontId="7" fillId="0" borderId="7" xfId="0" applyNumberFormat="1" applyFont="1" applyBorder="1" applyAlignment="1">
      <alignment horizontal="left"/>
    </xf>
    <xf numFmtId="1" fontId="7" fillId="0" borderId="8" xfId="0" applyNumberFormat="1" applyFont="1" applyBorder="1" applyAlignment="1">
      <alignment horizontal="right"/>
    </xf>
    <xf numFmtId="1" fontId="7" fillId="0" borderId="21" xfId="0" applyNumberFormat="1" applyFont="1" applyBorder="1" applyAlignment="1">
      <alignment horizontal="right"/>
    </xf>
    <xf numFmtId="0" fontId="7" fillId="0" borderId="9" xfId="0" applyFont="1" applyBorder="1" applyAlignment="1">
      <alignment horizontal="right"/>
    </xf>
    <xf numFmtId="1" fontId="7" fillId="0" borderId="23" xfId="0" applyNumberFormat="1" applyFont="1" applyBorder="1" applyAlignment="1">
      <alignment horizontal="right"/>
    </xf>
    <xf numFmtId="0" fontId="7" fillId="0" borderId="7" xfId="0" applyFont="1" applyBorder="1" applyAlignment="1">
      <alignment horizontal="right"/>
    </xf>
    <xf numFmtId="0" fontId="34" fillId="0" borderId="17" xfId="0" applyFont="1" applyBorder="1" applyAlignment="1">
      <alignment horizontal="left"/>
    </xf>
    <xf numFmtId="0" fontId="34" fillId="0" borderId="7" xfId="0" applyFont="1" applyBorder="1" applyAlignment="1">
      <alignment horizontal="right"/>
    </xf>
    <xf numFmtId="0" fontId="34" fillId="0" borderId="20" xfId="0" applyFont="1" applyBorder="1" applyAlignment="1">
      <alignment horizontal="left"/>
    </xf>
    <xf numFmtId="49" fontId="34" fillId="0" borderId="10" xfId="0" applyNumberFormat="1" applyFont="1" applyBorder="1" applyAlignment="1">
      <alignment horizontal="left"/>
    </xf>
    <xf numFmtId="1" fontId="34" fillId="0" borderId="7" xfId="0" applyNumberFormat="1" applyFont="1" applyBorder="1" applyAlignment="1">
      <alignment horizontal="right"/>
    </xf>
    <xf numFmtId="1" fontId="2" fillId="6" borderId="20" xfId="0" applyNumberFormat="1" applyFont="1" applyFill="1" applyBorder="1" applyAlignment="1">
      <alignment horizontal="right"/>
    </xf>
    <xf numFmtId="0" fontId="34" fillId="0" borderId="10" xfId="0" applyFont="1" applyBorder="1"/>
    <xf numFmtId="0" fontId="2" fillId="0" borderId="18" xfId="0" applyFont="1" applyBorder="1" applyAlignment="1">
      <alignment horizontal="left"/>
    </xf>
    <xf numFmtId="1" fontId="2" fillId="0" borderId="8" xfId="0" applyNumberFormat="1" applyFont="1" applyBorder="1" applyAlignment="1">
      <alignment horizontal="left"/>
    </xf>
    <xf numFmtId="1" fontId="2" fillId="0" borderId="3" xfId="0" applyNumberFormat="1" applyFont="1" applyBorder="1" applyAlignment="1">
      <alignment horizontal="right"/>
    </xf>
    <xf numFmtId="1" fontId="2" fillId="0" borderId="21" xfId="0" applyNumberFormat="1" applyFont="1" applyBorder="1" applyAlignment="1">
      <alignment horizontal="right"/>
    </xf>
    <xf numFmtId="0" fontId="7" fillId="0" borderId="0" xfId="0" applyFont="1" applyAlignment="1">
      <alignment horizontal="right"/>
    </xf>
    <xf numFmtId="1" fontId="7" fillId="0" borderId="27" xfId="0" applyNumberFormat="1" applyFont="1" applyBorder="1" applyAlignment="1">
      <alignment horizontal="right"/>
    </xf>
    <xf numFmtId="166" fontId="7" fillId="0" borderId="7" xfId="0" applyNumberFormat="1" applyFont="1" applyBorder="1" applyAlignment="1">
      <alignment horizontal="left"/>
    </xf>
    <xf numFmtId="0" fontId="37" fillId="2" borderId="15" xfId="0" applyFont="1" applyFill="1" applyBorder="1" applyAlignment="1">
      <alignment wrapText="1"/>
    </xf>
    <xf numFmtId="0" fontId="37" fillId="3" borderId="5" xfId="0" applyFont="1" applyFill="1" applyBorder="1" applyAlignment="1">
      <alignment horizontal="left" wrapText="1"/>
    </xf>
    <xf numFmtId="0" fontId="8" fillId="0" borderId="0" xfId="1" applyFont="1" applyAlignment="1">
      <alignment horizontal="left" vertical="center" wrapText="1"/>
    </xf>
    <xf numFmtId="0" fontId="8" fillId="0" borderId="0" xfId="2" applyFont="1" applyAlignment="1">
      <alignment vertical="center" wrapText="1"/>
    </xf>
    <xf numFmtId="1" fontId="2" fillId="0" borderId="0" xfId="0" applyNumberFormat="1" applyFont="1"/>
    <xf numFmtId="3" fontId="2" fillId="0" borderId="0" xfId="0" applyNumberFormat="1" applyFont="1" applyAlignment="1">
      <alignment horizontal="right"/>
    </xf>
    <xf numFmtId="165" fontId="8" fillId="0" borderId="0" xfId="1" applyNumberFormat="1" applyFont="1" applyAlignment="1">
      <alignment horizontal="left" vertical="center"/>
    </xf>
    <xf numFmtId="11" fontId="2" fillId="0" borderId="0" xfId="0" applyNumberFormat="1" applyFont="1"/>
    <xf numFmtId="164" fontId="2" fillId="0" borderId="0" xfId="0" applyNumberFormat="1" applyFont="1"/>
    <xf numFmtId="2" fontId="2" fillId="0" borderId="0" xfId="0" applyNumberFormat="1" applyFont="1"/>
    <xf numFmtId="0" fontId="37" fillId="9" borderId="0" xfId="0" applyFont="1" applyFill="1" applyAlignment="1">
      <alignment wrapText="1"/>
    </xf>
    <xf numFmtId="0" fontId="37" fillId="9" borderId="15" xfId="0" applyFont="1" applyFill="1" applyBorder="1" applyAlignment="1">
      <alignment wrapText="1"/>
    </xf>
    <xf numFmtId="0" fontId="37" fillId="10" borderId="0" xfId="0" applyFont="1" applyFill="1" applyAlignment="1">
      <alignment wrapText="1"/>
    </xf>
    <xf numFmtId="0" fontId="37" fillId="10" borderId="15" xfId="0" applyFont="1" applyFill="1" applyBorder="1" applyAlignment="1">
      <alignment wrapText="1"/>
    </xf>
    <xf numFmtId="0" fontId="37" fillId="11" borderId="0" xfId="0" applyFont="1" applyFill="1" applyAlignment="1">
      <alignment wrapText="1"/>
    </xf>
    <xf numFmtId="0" fontId="2" fillId="0" borderId="3" xfId="0" applyFont="1" applyBorder="1" applyAlignment="1">
      <alignment horizontal="left"/>
    </xf>
    <xf numFmtId="1" fontId="27" fillId="0" borderId="8" xfId="0" applyNumberFormat="1" applyFont="1" applyBorder="1" applyAlignment="1">
      <alignment horizontal="right"/>
    </xf>
    <xf numFmtId="0" fontId="27" fillId="0" borderId="31" xfId="0" applyFont="1" applyBorder="1"/>
    <xf numFmtId="0" fontId="2" fillId="0" borderId="30" xfId="0" applyFont="1" applyBorder="1"/>
    <xf numFmtId="0" fontId="8" fillId="0" borderId="32" xfId="0" applyFont="1" applyBorder="1" applyAlignment="1">
      <alignment horizontal="left"/>
    </xf>
    <xf numFmtId="0" fontId="8" fillId="0" borderId="33" xfId="0" quotePrefix="1" applyFont="1" applyBorder="1"/>
    <xf numFmtId="0" fontId="8" fillId="0" borderId="34" xfId="0" applyFont="1" applyBorder="1"/>
    <xf numFmtId="0" fontId="27" fillId="0" borderId="34" xfId="0" applyFont="1" applyBorder="1"/>
    <xf numFmtId="14" fontId="8" fillId="0" borderId="34" xfId="0" applyNumberFormat="1" applyFont="1" applyBorder="1"/>
    <xf numFmtId="14" fontId="8" fillId="0" borderId="34" xfId="0" applyNumberFormat="1" applyFont="1" applyBorder="1" applyAlignment="1">
      <alignment horizontal="left"/>
    </xf>
    <xf numFmtId="0" fontId="27" fillId="0" borderId="34" xfId="0" applyFont="1" applyBorder="1" applyAlignment="1">
      <alignment horizontal="left"/>
    </xf>
    <xf numFmtId="0" fontId="2" fillId="0" borderId="31" xfId="0" applyFont="1" applyBorder="1" applyAlignment="1">
      <alignment horizontal="left"/>
    </xf>
    <xf numFmtId="0" fontId="27" fillId="0" borderId="35" xfId="0" applyFont="1" applyBorder="1" applyAlignment="1">
      <alignment horizontal="left"/>
    </xf>
    <xf numFmtId="0" fontId="2" fillId="0" borderId="33" xfId="0" quotePrefix="1" applyFont="1" applyBorder="1"/>
    <xf numFmtId="0" fontId="8" fillId="0" borderId="33" xfId="0" applyFont="1" applyBorder="1"/>
    <xf numFmtId="49" fontId="8" fillId="0" borderId="35" xfId="0" applyNumberFormat="1" applyFont="1" applyBorder="1"/>
    <xf numFmtId="0" fontId="8" fillId="0" borderId="35" xfId="0" applyFont="1" applyBorder="1"/>
    <xf numFmtId="1" fontId="8" fillId="0" borderId="33" xfId="0" applyNumberFormat="1" applyFont="1" applyBorder="1" applyAlignment="1">
      <alignment horizontal="right"/>
    </xf>
    <xf numFmtId="1" fontId="2" fillId="0" borderId="33" xfId="0" applyNumberFormat="1" applyFont="1" applyBorder="1" applyAlignment="1">
      <alignment horizontal="right"/>
    </xf>
    <xf numFmtId="0" fontId="27" fillId="0" borderId="34" xfId="0" applyFont="1" applyBorder="1" applyAlignment="1">
      <alignment horizontal="right"/>
    </xf>
    <xf numFmtId="1" fontId="27" fillId="0" borderId="35" xfId="0" applyNumberFormat="1" applyFont="1" applyBorder="1" applyAlignment="1">
      <alignment horizontal="right"/>
    </xf>
    <xf numFmtId="1" fontId="2" fillId="0" borderId="30" xfId="0" applyNumberFormat="1" applyFont="1" applyBorder="1" applyAlignment="1">
      <alignment horizontal="right"/>
    </xf>
    <xf numFmtId="1" fontId="2" fillId="0" borderId="32" xfId="0" applyNumberFormat="1" applyFont="1" applyBorder="1" applyAlignment="1">
      <alignment horizontal="right"/>
    </xf>
    <xf numFmtId="1" fontId="7" fillId="0" borderId="30" xfId="0" applyNumberFormat="1" applyFont="1" applyBorder="1" applyAlignment="1">
      <alignment horizontal="right"/>
    </xf>
    <xf numFmtId="0" fontId="27" fillId="0" borderId="33" xfId="0" applyFont="1" applyBorder="1"/>
    <xf numFmtId="0" fontId="2" fillId="0" borderId="33" xfId="0" applyFont="1" applyBorder="1"/>
    <xf numFmtId="0" fontId="2" fillId="0" borderId="34" xfId="0" applyFont="1" applyBorder="1" applyAlignment="1">
      <alignment horizontal="left"/>
    </xf>
    <xf numFmtId="0" fontId="38" fillId="0" borderId="10" xfId="0" applyFont="1" applyBorder="1"/>
    <xf numFmtId="0" fontId="38" fillId="0" borderId="17" xfId="0" applyFont="1" applyBorder="1" applyAlignment="1">
      <alignment horizontal="left"/>
    </xf>
    <xf numFmtId="0" fontId="38" fillId="0" borderId="2" xfId="0" applyFont="1" applyBorder="1"/>
    <xf numFmtId="0" fontId="38" fillId="0" borderId="7" xfId="0" applyFont="1" applyBorder="1"/>
    <xf numFmtId="14" fontId="38" fillId="0" borderId="7" xfId="0" applyNumberFormat="1" applyFont="1" applyBorder="1" applyAlignment="1">
      <alignment horizontal="left"/>
    </xf>
    <xf numFmtId="0" fontId="38" fillId="0" borderId="7" xfId="0" applyFont="1" applyBorder="1" applyAlignment="1">
      <alignment horizontal="left"/>
    </xf>
    <xf numFmtId="0" fontId="38" fillId="0" borderId="20" xfId="0" applyFont="1" applyBorder="1" applyAlignment="1">
      <alignment horizontal="left"/>
    </xf>
    <xf numFmtId="49" fontId="38" fillId="0" borderId="10" xfId="0" applyNumberFormat="1" applyFont="1" applyBorder="1" applyAlignment="1">
      <alignment horizontal="left"/>
    </xf>
    <xf numFmtId="0" fontId="38" fillId="0" borderId="20" xfId="0" applyFont="1" applyBorder="1"/>
    <xf numFmtId="0" fontId="38" fillId="0" borderId="7" xfId="0" applyFont="1" applyBorder="1" applyAlignment="1">
      <alignment horizontal="right"/>
    </xf>
    <xf numFmtId="1" fontId="38" fillId="0" borderId="20" xfId="0" applyNumberFormat="1" applyFont="1" applyBorder="1" applyAlignment="1">
      <alignment horizontal="right"/>
    </xf>
    <xf numFmtId="0" fontId="38" fillId="0" borderId="0" xfId="0" applyFont="1" applyAlignment="1">
      <alignment horizontal="left"/>
    </xf>
    <xf numFmtId="2" fontId="38" fillId="0" borderId="7" xfId="0" applyNumberFormat="1" applyFont="1" applyBorder="1" applyAlignment="1">
      <alignment horizontal="left"/>
    </xf>
    <xf numFmtId="14" fontId="38" fillId="0" borderId="7" xfId="0" quotePrefix="1" applyNumberFormat="1" applyFont="1" applyBorder="1" applyAlignment="1">
      <alignment horizontal="left"/>
    </xf>
    <xf numFmtId="0" fontId="0" fillId="0" borderId="14" xfId="0" applyBorder="1"/>
    <xf numFmtId="1" fontId="0" fillId="0" borderId="1" xfId="0" applyNumberFormat="1" applyBorder="1"/>
    <xf numFmtId="0" fontId="39" fillId="0" borderId="20" xfId="0" applyFont="1" applyBorder="1" applyAlignment="1">
      <alignment horizontal="left"/>
    </xf>
    <xf numFmtId="0" fontId="39" fillId="0" borderId="10" xfId="0" applyFont="1" applyBorder="1"/>
    <xf numFmtId="0" fontId="39" fillId="0" borderId="0" xfId="0" applyFont="1"/>
    <xf numFmtId="0" fontId="39" fillId="0" borderId="17" xfId="0" applyFont="1" applyBorder="1" applyAlignment="1">
      <alignment horizontal="left"/>
    </xf>
    <xf numFmtId="0" fontId="39" fillId="0" borderId="2" xfId="0" applyFont="1" applyBorder="1"/>
    <xf numFmtId="0" fontId="39" fillId="0" borderId="7" xfId="0" applyFont="1" applyBorder="1"/>
    <xf numFmtId="0" fontId="39" fillId="0" borderId="7" xfId="0" applyFont="1" applyBorder="1" applyAlignment="1">
      <alignment horizontal="left"/>
    </xf>
    <xf numFmtId="14" fontId="39" fillId="0" borderId="7" xfId="0" applyNumberFormat="1" applyFont="1" applyBorder="1" applyAlignment="1">
      <alignment horizontal="left"/>
    </xf>
    <xf numFmtId="0" fontId="39" fillId="0" borderId="10" xfId="0" applyFont="1" applyBorder="1" applyAlignment="1">
      <alignment horizontal="left"/>
    </xf>
    <xf numFmtId="14" fontId="39" fillId="0" borderId="7" xfId="0" quotePrefix="1" applyNumberFormat="1" applyFont="1" applyBorder="1" applyAlignment="1">
      <alignment horizontal="left"/>
    </xf>
    <xf numFmtId="49" fontId="39" fillId="0" borderId="10" xfId="0" applyNumberFormat="1" applyFont="1" applyBorder="1" applyAlignment="1">
      <alignment horizontal="left"/>
    </xf>
    <xf numFmtId="1" fontId="39" fillId="0" borderId="7" xfId="0" applyNumberFormat="1" applyFont="1" applyBorder="1" applyAlignment="1">
      <alignment horizontal="left"/>
    </xf>
    <xf numFmtId="0" fontId="39" fillId="0" borderId="20" xfId="0" applyFont="1" applyBorder="1"/>
    <xf numFmtId="1" fontId="39" fillId="0" borderId="7" xfId="0" applyNumberFormat="1" applyFont="1" applyBorder="1" applyAlignment="1">
      <alignment horizontal="right"/>
    </xf>
    <xf numFmtId="1" fontId="39" fillId="0" borderId="2" xfId="0" applyNumberFormat="1" applyFont="1" applyBorder="1" applyAlignment="1">
      <alignment horizontal="right"/>
    </xf>
    <xf numFmtId="0" fontId="39" fillId="0" borderId="7" xfId="0" applyFont="1" applyBorder="1" applyAlignment="1">
      <alignment horizontal="right"/>
    </xf>
    <xf numFmtId="1" fontId="39" fillId="0" borderId="20" xfId="0" applyNumberFormat="1" applyFont="1" applyBorder="1" applyAlignment="1">
      <alignment horizontal="right"/>
    </xf>
    <xf numFmtId="1" fontId="39" fillId="0" borderId="0" xfId="0" applyNumberFormat="1" applyFont="1" applyAlignment="1">
      <alignment horizontal="right"/>
    </xf>
    <xf numFmtId="1" fontId="39" fillId="0" borderId="17" xfId="0" applyNumberFormat="1" applyFont="1" applyBorder="1" applyAlignment="1">
      <alignment horizontal="right"/>
    </xf>
    <xf numFmtId="0" fontId="40" fillId="0" borderId="0" xfId="0" applyFont="1"/>
    <xf numFmtId="14" fontId="39" fillId="0" borderId="2" xfId="0" quotePrefix="1" applyNumberFormat="1" applyFont="1" applyBorder="1"/>
    <xf numFmtId="49" fontId="39" fillId="0" borderId="20" xfId="0" applyNumberFormat="1" applyFont="1" applyBorder="1"/>
    <xf numFmtId="0" fontId="39" fillId="0" borderId="16" xfId="0" applyFont="1" applyBorder="1" applyAlignment="1">
      <alignment horizontal="left"/>
    </xf>
    <xf numFmtId="0" fontId="39" fillId="0" borderId="2" xfId="0" quotePrefix="1" applyFont="1" applyBorder="1"/>
    <xf numFmtId="165" fontId="39" fillId="0" borderId="7" xfId="0" applyNumberFormat="1" applyFont="1" applyBorder="1" applyAlignment="1">
      <alignment horizontal="left"/>
    </xf>
    <xf numFmtId="0" fontId="3" fillId="8" borderId="36" xfId="0" applyFont="1" applyFill="1" applyBorder="1" applyAlignment="1">
      <alignment horizontal="right" wrapText="1"/>
    </xf>
    <xf numFmtId="0" fontId="3" fillId="8" borderId="5" xfId="0" applyFont="1" applyFill="1" applyBorder="1" applyAlignment="1">
      <alignment horizontal="right" wrapText="1"/>
    </xf>
    <xf numFmtId="1" fontId="29" fillId="0" borderId="2" xfId="0" applyNumberFormat="1" applyFont="1" applyBorder="1" applyAlignment="1">
      <alignment horizontal="right"/>
    </xf>
    <xf numFmtId="0" fontId="0" fillId="0" borderId="2" xfId="0" applyBorder="1" applyAlignment="1">
      <alignment horizontal="right"/>
    </xf>
    <xf numFmtId="1" fontId="41" fillId="0" borderId="17" xfId="0" applyNumberFormat="1" applyFont="1" applyBorder="1" applyAlignment="1">
      <alignment horizontal="right"/>
    </xf>
    <xf numFmtId="1" fontId="2" fillId="0" borderId="34" xfId="0" applyNumberFormat="1" applyFont="1" applyBorder="1" applyAlignment="1">
      <alignment horizontal="right"/>
    </xf>
    <xf numFmtId="1" fontId="2" fillId="0" borderId="8" xfId="0" applyNumberFormat="1" applyFont="1" applyBorder="1" applyAlignment="1">
      <alignment horizontal="right"/>
    </xf>
    <xf numFmtId="0" fontId="0" fillId="0" borderId="7" xfId="0" applyBorder="1" applyAlignment="1">
      <alignment horizontal="right"/>
    </xf>
    <xf numFmtId="49" fontId="7" fillId="0" borderId="7" xfId="0" applyNumberFormat="1" applyFont="1" applyBorder="1" applyAlignment="1">
      <alignment horizontal="left"/>
    </xf>
    <xf numFmtId="49" fontId="7" fillId="0" borderId="0" xfId="0" applyNumberFormat="1" applyFont="1" applyAlignment="1">
      <alignment horizontal="left"/>
    </xf>
    <xf numFmtId="0" fontId="3" fillId="0" borderId="38" xfId="0" applyFont="1" applyBorder="1" applyAlignment="1">
      <alignment horizontal="right" wrapText="1"/>
    </xf>
    <xf numFmtId="1" fontId="5" fillId="0" borderId="28" xfId="0" applyNumberFormat="1" applyFont="1" applyBorder="1" applyAlignment="1">
      <alignment horizontal="right"/>
    </xf>
    <xf numFmtId="1" fontId="7" fillId="0" borderId="28" xfId="0" applyNumberFormat="1" applyFont="1" applyBorder="1" applyAlignment="1">
      <alignment horizontal="right"/>
    </xf>
    <xf numFmtId="1" fontId="39" fillId="0" borderId="28" xfId="0" applyNumberFormat="1" applyFont="1" applyBorder="1" applyAlignment="1">
      <alignment horizontal="right"/>
    </xf>
    <xf numFmtId="1" fontId="7" fillId="0" borderId="37" xfId="0" applyNumberFormat="1" applyFont="1" applyBorder="1" applyAlignment="1">
      <alignment horizontal="right"/>
    </xf>
    <xf numFmtId="0" fontId="0" fillId="0" borderId="28" xfId="0" applyBorder="1" applyAlignment="1">
      <alignment horizontal="right"/>
    </xf>
    <xf numFmtId="1" fontId="7" fillId="0" borderId="34" xfId="0" applyNumberFormat="1" applyFont="1" applyBorder="1" applyAlignment="1">
      <alignment horizontal="right"/>
    </xf>
    <xf numFmtId="1" fontId="5" fillId="0" borderId="39" xfId="0" applyNumberFormat="1" applyFont="1" applyBorder="1" applyAlignment="1">
      <alignment horizontal="right"/>
    </xf>
    <xf numFmtId="1" fontId="5" fillId="0" borderId="40" xfId="0" applyNumberFormat="1" applyFont="1" applyBorder="1" applyAlignment="1">
      <alignment horizontal="right"/>
    </xf>
    <xf numFmtId="0" fontId="42" fillId="0" borderId="7" xfId="0" applyFont="1" applyBorder="1" applyAlignment="1">
      <alignment horizontal="left"/>
    </xf>
    <xf numFmtId="0" fontId="43" fillId="0" borderId="7" xfId="0" applyFont="1" applyBorder="1" applyAlignment="1">
      <alignment horizontal="left"/>
    </xf>
    <xf numFmtId="0" fontId="43" fillId="0" borderId="8" xfId="0" applyFont="1" applyBorder="1" applyAlignment="1">
      <alignment horizontal="left"/>
    </xf>
    <xf numFmtId="1" fontId="7" fillId="0" borderId="41" xfId="0" applyNumberFormat="1" applyFont="1" applyBorder="1" applyAlignment="1">
      <alignment horizontal="right"/>
    </xf>
  </cellXfs>
  <cellStyles count="3">
    <cellStyle name="Standard" xfId="0" builtinId="0"/>
    <cellStyle name="Standard 2" xfId="1" xr:uid="{FDCFE4BD-E849-456C-8E2E-B78D9BD993F6}"/>
    <cellStyle name="Standard 2 2" xfId="2" xr:uid="{B208B536-BA11-48C6-B68E-983D744A2EB6}"/>
  </cellStyles>
  <dxfs count="109"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7" tint="-0.249977111117893"/>
        <name val="Aptos"/>
        <family val="2"/>
        <scheme val="none"/>
      </font>
      <numFmt numFmtId="1" formatCode="0"/>
      <alignment horizontal="right" vertical="bottom" textRotation="0" wrapText="1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1" formatCode="0"/>
      <alignment horizontal="right" vertical="bottom" textRotation="0" indent="0" justifyLastLine="0" shrinkToFit="0" readingOrder="0"/>
      <border diagonalUp="0" diagonalDown="0"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7" tint="-0.249977111117893"/>
        <name val="Aptos"/>
        <family val="2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7" tint="-0.249977111117893"/>
        <name val="Aptos"/>
        <family val="2"/>
        <scheme val="none"/>
      </font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left" vertical="top" textRotation="0" wrapText="1" indent="0" justifyLastLine="0" shrinkToFit="0" readingOrder="0"/>
      <border diagonalUp="0" diagonalDown="0" outline="0">
        <left/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left" vertical="top" textRotation="0" wrapText="1" indent="0" justifyLastLine="0" shrinkToFit="0" readingOrder="0"/>
      <border diagonalUp="0" diagonalDown="0" outline="0">
        <left/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left" vertical="top" textRotation="0" wrapText="1" indent="0" justifyLastLine="0" shrinkToFit="0" readingOrder="0"/>
      <border diagonalUp="0" diagonalDown="0" outline="0">
        <left/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left" vertical="top" textRotation="0" wrapText="1" indent="0" justifyLastLine="0" shrinkToFit="0" readingOrder="0"/>
      <border diagonalUp="0" diagonalDown="0" outline="0">
        <left/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 style="hair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 style="hair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 style="hair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 style="hair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 style="hair">
          <color indexed="64"/>
        </right>
        <top/>
        <bottom/>
        <vertical/>
        <horizontal/>
      </border>
    </dxf>
    <dxf>
      <font>
        <b/>
        <strike val="0"/>
        <outline val="0"/>
        <shadow val="0"/>
        <u val="none"/>
        <vertAlign val="baseline"/>
        <sz val="9"/>
        <color auto="1"/>
        <name val="Aptos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 outline="0">
        <left style="hair">
          <color indexed="64"/>
        </left>
        <right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 outline="0">
        <left/>
        <right style="hair">
          <color indexed="64"/>
        </right>
      </border>
    </dxf>
    <dxf>
      <font>
        <b/>
        <strike val="0"/>
        <outline val="0"/>
        <shadow val="0"/>
        <u val="none"/>
        <vertAlign val="baseline"/>
        <sz val="9"/>
        <color theme="1"/>
        <name val="Aptos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thin">
          <color indexed="64"/>
        </right>
        <top/>
        <bottom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/>
        <vertical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7" tint="-0.249977111117893"/>
        <name val="Aptos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/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indent="0" justifyLastLine="0" shrinkToFit="0" readingOrder="0"/>
      <border diagonalUp="0" diagonalDown="0">
        <left/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</dxf>
    <dxf>
      <font>
        <strike val="0"/>
        <outline val="0"/>
        <shadow val="0"/>
        <u val="none"/>
        <vertAlign val="baseline"/>
        <sz val="9"/>
        <color rgb="FF000000"/>
        <name val="Aptos"/>
        <scheme val="none"/>
      </font>
    </dxf>
    <dxf>
      <font>
        <strike val="0"/>
        <outline val="0"/>
        <shadow val="0"/>
        <u val="none"/>
        <vertAlign val="baseline"/>
        <name val="Aptos"/>
        <scheme val="none"/>
      </font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"/>
        <family val="2"/>
        <scheme val="none"/>
      </font>
      <border diagonalUp="0" diagonalDown="0">
        <left/>
        <right style="hair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7" tint="-0.249977111117893"/>
        <name val="Aptos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9"/>
        <name val="Aptos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/>
        <right style="hair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9"/>
        <name val="Aptos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/>
        <vertical/>
        <horizontal/>
      </border>
    </dxf>
    <dxf>
      <numFmt numFmtId="1" formatCode="0"/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  <border diagonalUp="0" diagonalDown="0">
        <left style="thin">
          <color indexed="64"/>
        </left>
        <right style="hair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0" formatCode="General"/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" formatCode="0"/>
      <alignment horizontal="righ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" formatCode="0"/>
      <alignment horizontal="righ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" formatCode="0"/>
      <alignment horizontal="right" vertical="bottom" textRotation="0" wrapText="0" indent="0" justifyLastLine="0" shrinkToFit="0" readingOrder="0"/>
      <border diagonalUp="0" diagonalDown="0">
        <right style="hair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1" formatCode="0"/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  <border diagonalUp="0" diagonalDown="0" outline="0">
        <left style="hair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167" formatCode="dd/mm/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indent="0" justifyLastLine="0" shrinkToFit="0" readingOrder="0"/>
      <border diagonalUp="0" diagonalDown="0" outline="0">
        <left/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Aptos"/>
        <scheme val="none"/>
      </font>
    </dxf>
    <dxf>
      <font>
        <strike val="0"/>
        <outline val="0"/>
        <shadow val="0"/>
        <u val="none"/>
        <vertAlign val="baseline"/>
        <name val="Aptos"/>
        <scheme val="none"/>
      </font>
      <alignment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33CC"/>
      <color rgb="FFFFCCCC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</xdr:row>
      <xdr:rowOff>0</xdr:rowOff>
    </xdr:from>
    <xdr:to>
      <xdr:col>3</xdr:col>
      <xdr:colOff>75557</xdr:colOff>
      <xdr:row>4</xdr:row>
      <xdr:rowOff>37463</xdr:rowOff>
    </xdr:to>
    <xdr:pic>
      <xdr:nvPicPr>
        <xdr:cNvPr id="2" name="Grafik 4">
          <a:extLst>
            <a:ext uri="{FF2B5EF4-FFF2-40B4-BE49-F238E27FC236}">
              <a16:creationId xmlns:a16="http://schemas.microsoft.com/office/drawing/2014/main" id="{081F106E-C758-4005-B81F-20F4BD146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0163" y="857250"/>
          <a:ext cx="75557" cy="374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113</xdr:row>
      <xdr:rowOff>0</xdr:rowOff>
    </xdr:from>
    <xdr:to>
      <xdr:col>3</xdr:col>
      <xdr:colOff>75557</xdr:colOff>
      <xdr:row>113</xdr:row>
      <xdr:rowOff>37463</xdr:rowOff>
    </xdr:to>
    <xdr:pic>
      <xdr:nvPicPr>
        <xdr:cNvPr id="2" name="Grafik 4">
          <a:extLst>
            <a:ext uri="{FF2B5EF4-FFF2-40B4-BE49-F238E27FC236}">
              <a16:creationId xmlns:a16="http://schemas.microsoft.com/office/drawing/2014/main" id="{F8E38795-BB76-465E-B0DA-66F0FECB8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1488" y="3571875"/>
          <a:ext cx="75557" cy="3746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nas22.ethz.ch/baug_ibk_kaufmann_s1/ShareKa/08_Diverses/14_PR_Sustainability/10_Projektbearbeitung/01_Datenbank/05_Vergleiche/mit%20KBOB%20v9.0%20-%20aktuell/260414_Transport.xlsx" TargetMode="External"/><Relationship Id="rId1" Type="http://schemas.openxmlformats.org/officeDocument/2006/relationships/externalLinkPath" Target="/nas22.ethz.ch/baug_ibk_kaufmann_s1/ShareKa/08_Diverses/14_PR_Sustainability/10_Projektbearbeitung/01_Datenbank/05_Vergleiche/mit%20KBOB%20v9.0%20-%20aktuell/260414_Transport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nas22.ethz.ch/baug_ibk_kaufmann_s1/ShareKa/08_Diverses/14_PR_Sustainability/10_Projektbearbeitung/01_Datenbank/05_Vergleiche/mit%20KBOB%20v8.02%20-%20aktuell/260414_Transport.xlsx" TargetMode="External"/><Relationship Id="rId2" Type="http://schemas.openxmlformats.org/officeDocument/2006/relationships/externalLinkPath" Target="/nas22.ethz.ch/baug_ibk_kaufmann_s1/ShareKa/08_Diverses/14_PR_Sustainability/10_Projektbearbeitung/01_Datenbank/05_Vergleiche/mit%20KBOB%20v8.02%20-%20aktuell/260414_Transport.xlsx" TargetMode="External"/><Relationship Id="rId1" Type="http://schemas.openxmlformats.org/officeDocument/2006/relationships/externalLinkPath" Target="/nas22.ethz.ch/baug_ibk_kaufmann_s1/ShareKa/08_Diverses/14_PR_Sustainability/10_Projektbearbeitung/01_Datenbank/05_Vergleiche/mit%20KBOB%20v8.02%20-%20aktuell/260414_Trans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</sheetNames>
    <sheetDataSet>
      <sheetData sheetId="0" refreshError="1">
        <row r="11">
          <cell r="B11" t="str">
            <v>AT</v>
          </cell>
          <cell r="C11">
            <v>600</v>
          </cell>
          <cell r="D11" t="str">
            <v>km</v>
          </cell>
          <cell r="E11">
            <v>70.2</v>
          </cell>
          <cell r="F11">
            <v>7.2</v>
          </cell>
        </row>
        <row r="12">
          <cell r="B12" t="str">
            <v>SE</v>
          </cell>
          <cell r="C12">
            <v>2300</v>
          </cell>
          <cell r="D12" t="str">
            <v>km</v>
          </cell>
          <cell r="E12">
            <v>269.10000000000002</v>
          </cell>
          <cell r="F12">
            <v>27.6</v>
          </cell>
        </row>
        <row r="13">
          <cell r="B13" t="str">
            <v>CH</v>
          </cell>
          <cell r="C13">
            <v>40</v>
          </cell>
          <cell r="D13" t="str">
            <v>km</v>
          </cell>
          <cell r="E13">
            <v>4.6800000000000006</v>
          </cell>
          <cell r="F13">
            <v>0.48</v>
          </cell>
        </row>
        <row r="14">
          <cell r="B14" t="str">
            <v>CZ</v>
          </cell>
          <cell r="C14">
            <v>700</v>
          </cell>
          <cell r="D14" t="str">
            <v>km</v>
          </cell>
          <cell r="E14">
            <v>81.900000000000006</v>
          </cell>
          <cell r="F14">
            <v>8.4</v>
          </cell>
        </row>
        <row r="15">
          <cell r="B15" t="str">
            <v>DE</v>
          </cell>
          <cell r="C15">
            <v>650</v>
          </cell>
          <cell r="D15" t="str">
            <v>km</v>
          </cell>
          <cell r="E15">
            <v>76.050000000000011</v>
          </cell>
          <cell r="F15">
            <v>7.8</v>
          </cell>
        </row>
        <row r="16">
          <cell r="B16" t="str">
            <v>FI</v>
          </cell>
          <cell r="C16">
            <v>3000</v>
          </cell>
          <cell r="D16" t="str">
            <v>km</v>
          </cell>
          <cell r="E16">
            <v>351</v>
          </cell>
          <cell r="F16">
            <v>36</v>
          </cell>
        </row>
        <row r="17">
          <cell r="B17" t="str">
            <v>DK</v>
          </cell>
          <cell r="C17">
            <v>1100</v>
          </cell>
          <cell r="D17" t="str">
            <v>km</v>
          </cell>
          <cell r="E17">
            <v>128.70000000000002</v>
          </cell>
          <cell r="F17">
            <v>13.200000000000001</v>
          </cell>
        </row>
        <row r="18">
          <cell r="B18" t="str">
            <v>IT</v>
          </cell>
          <cell r="C18">
            <v>800</v>
          </cell>
          <cell r="D18" t="str">
            <v>km</v>
          </cell>
          <cell r="E18">
            <v>93.600000000000009</v>
          </cell>
          <cell r="F18">
            <v>9.6</v>
          </cell>
        </row>
        <row r="19">
          <cell r="B19" t="str">
            <v>LV</v>
          </cell>
          <cell r="C19">
            <v>1850</v>
          </cell>
          <cell r="D19" t="str">
            <v>km</v>
          </cell>
          <cell r="E19">
            <v>216.45000000000002</v>
          </cell>
          <cell r="F19">
            <v>22.2</v>
          </cell>
        </row>
        <row r="20">
          <cell r="B20" t="str">
            <v>ES</v>
          </cell>
          <cell r="C20">
            <v>1300</v>
          </cell>
          <cell r="D20" t="str">
            <v>km</v>
          </cell>
          <cell r="E20">
            <v>152.10000000000002</v>
          </cell>
          <cell r="F20">
            <v>15.6</v>
          </cell>
        </row>
        <row r="21">
          <cell r="B21" t="str">
            <v>FR</v>
          </cell>
          <cell r="C21">
            <v>600</v>
          </cell>
          <cell r="D21" t="str">
            <v>km</v>
          </cell>
          <cell r="E21">
            <v>70.2</v>
          </cell>
          <cell r="F21">
            <v>7.2</v>
          </cell>
        </row>
        <row r="22">
          <cell r="B22" t="str">
            <v>RO</v>
          </cell>
          <cell r="C22">
            <v>1650</v>
          </cell>
          <cell r="D22" t="str">
            <v>km</v>
          </cell>
          <cell r="E22">
            <v>193.05</v>
          </cell>
          <cell r="F22">
            <v>19.8</v>
          </cell>
        </row>
        <row r="23">
          <cell r="B23" t="str">
            <v>PL</v>
          </cell>
          <cell r="C23">
            <v>1300</v>
          </cell>
          <cell r="D23" t="str">
            <v>km</v>
          </cell>
          <cell r="E23">
            <v>152.10000000000002</v>
          </cell>
          <cell r="F23">
            <v>15.6</v>
          </cell>
        </row>
        <row r="24">
          <cell r="B24" t="str">
            <v>LU</v>
          </cell>
          <cell r="C24">
            <v>500</v>
          </cell>
          <cell r="D24" t="str">
            <v>km</v>
          </cell>
          <cell r="E24">
            <v>58.5</v>
          </cell>
          <cell r="F24">
            <v>6</v>
          </cell>
        </row>
        <row r="25">
          <cell r="B25" t="str">
            <v>TR</v>
          </cell>
          <cell r="C25">
            <v>2300</v>
          </cell>
          <cell r="D25" t="str">
            <v>km</v>
          </cell>
          <cell r="E25">
            <v>269.10000000000002</v>
          </cell>
          <cell r="F25">
            <v>27.6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11">
          <cell r="B11" t="str">
            <v>AT</v>
          </cell>
          <cell r="C11">
            <v>600</v>
          </cell>
          <cell r="D11" t="str">
            <v>km</v>
          </cell>
          <cell r="E11">
            <v>70.2</v>
          </cell>
          <cell r="F11">
            <v>7.2</v>
          </cell>
        </row>
        <row r="12">
          <cell r="B12" t="str">
            <v>SE</v>
          </cell>
          <cell r="C12">
            <v>2300</v>
          </cell>
          <cell r="D12" t="str">
            <v>km</v>
          </cell>
          <cell r="E12">
            <v>269.10000000000002</v>
          </cell>
          <cell r="F12">
            <v>27.6</v>
          </cell>
        </row>
        <row r="13">
          <cell r="B13" t="str">
            <v>CH</v>
          </cell>
          <cell r="C13">
            <v>40</v>
          </cell>
          <cell r="D13" t="str">
            <v>km</v>
          </cell>
          <cell r="E13">
            <v>4.6800000000000006</v>
          </cell>
          <cell r="F13">
            <v>0.48</v>
          </cell>
        </row>
        <row r="14">
          <cell r="B14" t="str">
            <v>CZ</v>
          </cell>
          <cell r="C14">
            <v>700</v>
          </cell>
          <cell r="D14" t="str">
            <v>km</v>
          </cell>
          <cell r="E14">
            <v>81.900000000000006</v>
          </cell>
          <cell r="F14">
            <v>8.4</v>
          </cell>
        </row>
        <row r="15">
          <cell r="B15" t="str">
            <v>DE</v>
          </cell>
          <cell r="C15">
            <v>650</v>
          </cell>
          <cell r="D15" t="str">
            <v>km</v>
          </cell>
          <cell r="E15">
            <v>76.050000000000011</v>
          </cell>
          <cell r="F15">
            <v>7.8</v>
          </cell>
        </row>
        <row r="16">
          <cell r="B16" t="str">
            <v>FI</v>
          </cell>
          <cell r="C16">
            <v>3000</v>
          </cell>
          <cell r="D16" t="str">
            <v>km</v>
          </cell>
          <cell r="E16">
            <v>351</v>
          </cell>
          <cell r="F16">
            <v>36</v>
          </cell>
        </row>
        <row r="17">
          <cell r="B17" t="str">
            <v>DK</v>
          </cell>
          <cell r="C17">
            <v>1100</v>
          </cell>
          <cell r="D17" t="str">
            <v>km</v>
          </cell>
          <cell r="E17">
            <v>128.70000000000002</v>
          </cell>
          <cell r="F17">
            <v>13.200000000000001</v>
          </cell>
        </row>
        <row r="18">
          <cell r="B18" t="str">
            <v>IT</v>
          </cell>
          <cell r="C18">
            <v>800</v>
          </cell>
          <cell r="D18" t="str">
            <v>km</v>
          </cell>
          <cell r="E18">
            <v>93.600000000000009</v>
          </cell>
          <cell r="F18">
            <v>9.6</v>
          </cell>
        </row>
        <row r="19">
          <cell r="B19" t="str">
            <v>LV</v>
          </cell>
          <cell r="C19">
            <v>1850</v>
          </cell>
          <cell r="D19" t="str">
            <v>km</v>
          </cell>
          <cell r="E19">
            <v>216.45000000000002</v>
          </cell>
          <cell r="F19">
            <v>22.2</v>
          </cell>
        </row>
        <row r="20">
          <cell r="B20" t="str">
            <v>LT</v>
          </cell>
          <cell r="C20">
            <v>1950</v>
          </cell>
          <cell r="D20" t="str">
            <v>km</v>
          </cell>
          <cell r="E20">
            <v>228.15</v>
          </cell>
          <cell r="F20">
            <v>23.400000000000002</v>
          </cell>
        </row>
        <row r="21">
          <cell r="B21" t="str">
            <v>NL</v>
          </cell>
          <cell r="C21">
            <v>800</v>
          </cell>
          <cell r="D21" t="str">
            <v>km</v>
          </cell>
          <cell r="E21">
            <v>93.600000000000009</v>
          </cell>
          <cell r="F21">
            <v>9.6</v>
          </cell>
        </row>
        <row r="22">
          <cell r="B22" t="str">
            <v>PT</v>
          </cell>
          <cell r="C22">
            <v>2000</v>
          </cell>
          <cell r="D22" t="str">
            <v>km</v>
          </cell>
          <cell r="E22">
            <v>234</v>
          </cell>
          <cell r="F22">
            <v>24</v>
          </cell>
        </row>
        <row r="23">
          <cell r="B23" t="str">
            <v>ES</v>
          </cell>
          <cell r="C23">
            <v>1300</v>
          </cell>
          <cell r="D23" t="str">
            <v>km</v>
          </cell>
          <cell r="E23">
            <v>152.10000000000002</v>
          </cell>
          <cell r="F23">
            <v>15.6</v>
          </cell>
        </row>
        <row r="24">
          <cell r="B24" t="str">
            <v>FR</v>
          </cell>
          <cell r="C24">
            <v>600</v>
          </cell>
          <cell r="D24" t="str">
            <v>km</v>
          </cell>
          <cell r="E24">
            <v>70.2</v>
          </cell>
          <cell r="F24">
            <v>7.2</v>
          </cell>
        </row>
        <row r="25">
          <cell r="B25" t="str">
            <v>RO</v>
          </cell>
          <cell r="C25">
            <v>1650</v>
          </cell>
          <cell r="D25" t="str">
            <v>km</v>
          </cell>
          <cell r="E25">
            <v>193.05</v>
          </cell>
          <cell r="F25">
            <v>19.8</v>
          </cell>
        </row>
        <row r="26">
          <cell r="B26" t="str">
            <v>PL</v>
          </cell>
          <cell r="C26">
            <v>1300</v>
          </cell>
          <cell r="D26" t="str">
            <v>km</v>
          </cell>
          <cell r="E26">
            <v>152.10000000000002</v>
          </cell>
          <cell r="F26">
            <v>15.6</v>
          </cell>
        </row>
        <row r="27">
          <cell r="B27" t="str">
            <v>NO</v>
          </cell>
          <cell r="C27">
            <v>2000</v>
          </cell>
          <cell r="D27" t="str">
            <v>km</v>
          </cell>
          <cell r="E27">
            <v>234</v>
          </cell>
          <cell r="F27">
            <v>24</v>
          </cell>
        </row>
        <row r="28">
          <cell r="B28" t="str">
            <v>UK</v>
          </cell>
          <cell r="C28">
            <v>1000</v>
          </cell>
          <cell r="D28" t="str">
            <v>km</v>
          </cell>
          <cell r="E28">
            <v>117</v>
          </cell>
          <cell r="F28">
            <v>12</v>
          </cell>
        </row>
        <row r="29">
          <cell r="B29" t="str">
            <v>LU</v>
          </cell>
          <cell r="C29">
            <v>500</v>
          </cell>
          <cell r="D29" t="str">
            <v>km</v>
          </cell>
          <cell r="E29">
            <v>58.5</v>
          </cell>
          <cell r="F29">
            <v>6</v>
          </cell>
        </row>
        <row r="30">
          <cell r="B30" t="str">
            <v>TR</v>
          </cell>
          <cell r="C30">
            <v>2300</v>
          </cell>
          <cell r="D30" t="str">
            <v>km</v>
          </cell>
          <cell r="E30">
            <v>269.10000000000002</v>
          </cell>
          <cell r="F30">
            <v>27.6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8CF6A2-D8DB-42C7-AE1E-FD50ABFBF9C5}" name="Table22" displayName="Table22" ref="A3:AQ4" totalsRowShown="0" headerRowDxfId="64" dataDxfId="63">
  <autoFilter ref="A3:AQ4" xr:uid="{690E7B34-75E3-43BA-8CDD-44A4EFCCEFD5}"/>
  <tableColumns count="43">
    <tableColumn id="9" xr3:uid="{4327453A-1A7F-4476-BD0D-7087E884AB9B}" name="ID" dataDxfId="62"/>
    <tableColumn id="28" xr3:uid="{709ACE5D-F046-49EF-BF06-483AA13D3168}" name="Copy for strength" dataDxfId="61"/>
    <tableColumn id="14" xr3:uid="{CA8EE2DF-FBF4-419D-B883-CDEEDEA41BA4}" name="PRO_ID" dataDxfId="60"/>
    <tableColumn id="12" xr3:uid="{061493FC-B22F-42C9-AA1E-DB63409BA7F9}" name="EPD_ID" dataDxfId="59"/>
    <tableColumn id="1" xr3:uid="{1A694644-5436-4D17-ADBE-9AB769772E55}" name="SOURCE" dataDxfId="58"/>
    <tableColumn id="27" xr3:uid="{22179954-6B37-435E-BA83-58D93A8C10D0}" name="KBOB ID-Nr." dataDxfId="57"/>
    <tableColumn id="11" xr3:uid="{7A53B541-3CF9-4572-8ADB-18F5734B82A7}" name="EPD_DATE" dataDxfId="56"/>
    <tableColumn id="10" xr3:uid="{4FE41A4C-93F8-4064-9823-B085B8E0CEB9}" name="VALID_TO" dataDxfId="55"/>
    <tableColumn id="22" xr3:uid="{2C3C496D-7117-464E-A7C2-4C5813516008}" name="Country OWNER" dataDxfId="54"/>
    <tableColumn id="35" xr3:uid="{FA67EB9B-AFE3-4DC3-AFB0-225CEF375508}" name="Country PRODUCTION" dataDxfId="53"/>
    <tableColumn id="4" xr3:uid="{0BD9D6CA-5024-4126-A24C-41810042551C}" name="PRODUCT_NAME" dataDxfId="52"/>
    <tableColumn id="26" xr3:uid="{51E77B8B-89A7-4B44-8529-18C11CCD9A34}" name="OEKOBAUDAT_ID" dataDxfId="51"/>
    <tableColumn id="25" xr3:uid="{7E08604C-D678-49EE-8D86-4A7A1ED46F1A}" name="MATERIAL_GROUP" dataDxfId="50"/>
    <tableColumn id="2" xr3:uid="{BE662D94-99B6-4EFF-9032-1ED2F0E972D1}" name="MATERIAL" dataDxfId="49"/>
    <tableColumn id="5" xr3:uid="{2FBE4DF6-6BEB-4E41-BBD8-511C2A8FFAF9}" name="CEMENT" dataDxfId="48"/>
    <tableColumn id="6" xr3:uid="{BBAF53EB-136C-40FA-92AF-CD5CBEED9688}" name="MECH_PROP" dataDxfId="47"/>
    <tableColumn id="13" xr3:uid="{ED45B533-9B3C-451C-AEDE-468F3B99FA05}" name="DENSITY" dataDxfId="46"/>
    <tableColumn id="18" xr3:uid="{C2AF0B95-EE6A-447F-B660-2537C72D3E95}" name="EXPOSITIONSKLASSE" dataDxfId="45"/>
    <tableColumn id="17" xr3:uid="{499B5798-0764-4B6A-AB51-09C42CAFF2D2}" name="GROESSTKORN" dataDxfId="44"/>
    <tableColumn id="16" xr3:uid="{F57188E0-41C3-4A24-8800-10B71B64E948}" name="CHLORIDGEHALT" dataDxfId="43"/>
    <tableColumn id="15" xr3:uid="{A7A410CF-12B2-4540-BEF4-43BF328A783B}" name="KONSISTENZKLASSE" dataDxfId="42"/>
    <tableColumn id="7" xr3:uid="{3FCB1B2D-F01F-4D2B-BA30-AA53E3DB3EE8}" name="Total_GWP_t" dataDxfId="41"/>
    <tableColumn id="36" xr3:uid="{D21513DC-ABDB-4679-AC05-1D568D570F8D}" name="Total_GWP_inkl. Trans LKW" dataDxfId="40"/>
    <tableColumn id="37" xr3:uid="{F3FE852F-E41A-4FA5-9070-D16C4A99D959}" name="Total_GWP_inkl. Trans Bahn" dataDxfId="39"/>
    <tableColumn id="33" xr3:uid="{3CCDB2F8-8999-473C-BDE9-0B716F5F3D27}" name="Total_GWP_m3" dataDxfId="38"/>
    <tableColumn id="20" xr3:uid="{7BAB2BBF-8F43-4C9D-A5A0-A07EA347D700}" name="A1toA3_GWP" dataDxfId="37"/>
    <tableColumn id="21" xr3:uid="{77D6C102-FB35-4727-A3C8-E6A00274176F}" name="C1toC4_GWP" dataDxfId="36"/>
    <tableColumn id="30" xr3:uid="{B001553E-7930-428C-96E8-4D06EB4E44C4}" name="GWP-biogenic_t" dataDxfId="35"/>
    <tableColumn id="34" xr3:uid="{9FF8F297-E4D7-4BFB-B9DC-90C43F8BE6C1}" name="GWP-biogenic_m3" dataDxfId="34"/>
    <tableColumn id="32" xr3:uid="{9A741658-8335-4C0B-94B8-0EC4C79786FA}" name="A1toA3_GWP-biogenic" dataDxfId="33"/>
    <tableColumn id="31" xr3:uid="{1181A7EA-ADE7-466B-9BB6-396EEBF423F5}" name="C1toC4_GWP-biogenic" dataDxfId="32"/>
    <tableColumn id="39" xr3:uid="{F7F39683-20D3-9E40-B207-58C6059BEA16}" name="total_UBP" dataDxfId="31"/>
    <tableColumn id="42" xr3:uid="{1DB56B90-0E6C-B348-BDF2-F4B55E638022}" name="total_UBP_m3" dataDxfId="30"/>
    <tableColumn id="43" xr3:uid="{F7CB4FA3-01B4-2545-929B-A403A6D613FB}" name="Graue_Energie" dataDxfId="29"/>
    <tableColumn id="44" xr3:uid="{89425CFB-7593-CC46-B4B4-50FEE3AA815E}" name="Graue_Energie_m3" dataDxfId="28"/>
    <tableColumn id="19" xr3:uid="{8C8FD9FA-44EB-4FBA-A534-66A4D0393E35}" name="ValidEPD" dataDxfId="27"/>
    <tableColumn id="29" xr3:uid="{AEC2B763-DD86-4F40-BD2C-83022A2E22DC}" name="noch gültig" dataDxfId="26"/>
    <tableColumn id="40" xr3:uid="{928741A4-0F37-4F43-A4D7-E21175F3E3C7}" name="Man_Ausschluss" dataDxfId="25"/>
    <tableColumn id="3" xr3:uid="{CDA61043-100D-4C39-BAC9-83C4A01A5EA7}" name="Statistik" dataDxfId="24"/>
    <tableColumn id="41" xr3:uid="{ECF1E039-00FD-4D52-85EE-FF9ABA623E8B}" name="MIN_MAX" dataDxfId="23"/>
    <tableColumn id="8" xr3:uid="{9A1C9F83-8C3A-43AF-82C8-FAFEC4BADC1F}" name="Cost" dataDxfId="22"/>
    <tableColumn id="24" xr3:uid="{6842DF33-E642-43FD-AD7E-4A71C905F11B}" name="Anmerkung" dataDxfId="21"/>
    <tableColumn id="23" xr3:uid="{2F1FC53A-6C91-424B-97F2-13507AAAC132}" name="Spalte 1" dataDxfId="20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7D9B8EF-9A77-4F45-A199-649B0FE0D597}" name="Table24" displayName="Table24" ref="A1:AP298" totalsRowShown="0" headerRowDxfId="108" dataDxfId="107">
  <autoFilter ref="A1:AP298" xr:uid="{690E7B34-75E3-43BA-8CDD-44A4EFCCEFD5}"/>
  <tableColumns count="42">
    <tableColumn id="9" xr3:uid="{E6171A79-2142-45AE-B13A-B85672F5EDBD}" name="ID" dataDxfId="106"/>
    <tableColumn id="28" xr3:uid="{68E92EDC-8025-4BF4-9A42-9CF0006FBF63}" name="Copy for strength" dataDxfId="105"/>
    <tableColumn id="14" xr3:uid="{DD9D5351-7626-43F7-8E60-7D5D4863E404}" name="PRO_ID" dataDxfId="104"/>
    <tableColumn id="12" xr3:uid="{E4142BFC-15FE-425F-8F37-15E6155F7A4C}" name="EPD_ID" dataDxfId="103"/>
    <tableColumn id="1" xr3:uid="{E4467D77-5B01-4657-9D8E-29F249651043}" name="SOURCE" dataDxfId="102"/>
    <tableColumn id="27" xr3:uid="{B8CE8891-E5D9-4269-944B-D0D4DA48C485}" name="KBOB ID-Nr." dataDxfId="101"/>
    <tableColumn id="11" xr3:uid="{B0F8EE3D-DB36-4628-B65D-FA5A161B64E1}" name="EPD_DATE" dataDxfId="100"/>
    <tableColumn id="10" xr3:uid="{A0036D7A-2D4B-4109-9DCD-7379F1E17E20}" name="VALID_TO" dataDxfId="99"/>
    <tableColumn id="22" xr3:uid="{D87515FA-91D2-4EB2-BA0F-CA951EBFCF45}" name="Country OWNER" dataDxfId="98"/>
    <tableColumn id="35" xr3:uid="{675E210C-BC27-4336-ADC6-3B5F0A851531}" name="Country PRODUCTION" dataDxfId="97"/>
    <tableColumn id="4" xr3:uid="{7206F659-BFF0-45E5-9D38-4BDF79A05CA5}" name="PRODUCT_NAME" dataDxfId="96"/>
    <tableColumn id="26" xr3:uid="{E4C601E6-180F-4C77-835E-2E5630145F9F}" name="OEKOBAUDAT_ID" dataDxfId="95"/>
    <tableColumn id="25" xr3:uid="{7B2C5CC7-ED04-460E-8BA7-F56F94290558}" name="MATERIAL_GROUP" dataDxfId="94"/>
    <tableColumn id="2" xr3:uid="{8F6E089A-349B-4116-B94C-9683BD7AE424}" name="MATERIAL" dataDxfId="93"/>
    <tableColumn id="5" xr3:uid="{E643BAE4-6A4D-457D-AA6E-460540618E0B}" name="CEMENT" dataDxfId="92"/>
    <tableColumn id="6" xr3:uid="{7F31B099-E2E0-4680-A17F-57AAD5D44B6C}" name="MECH_PROP" dataDxfId="91"/>
    <tableColumn id="13" xr3:uid="{029F84C5-38E7-49EC-B0E7-97EC126B6DD0}" name="DENSITY" dataDxfId="90"/>
    <tableColumn id="18" xr3:uid="{C15F76DA-5534-4135-A5B0-6E9E14A7262F}" name="EXPOSITIONSKLASSE" dataDxfId="89"/>
    <tableColumn id="17" xr3:uid="{7BEDE247-7FA3-4794-A59F-9F9EE84986D5}" name="GROESSTKORN" dataDxfId="88"/>
    <tableColumn id="16" xr3:uid="{E46A9D97-8742-474E-8578-AD6E705F7B82}" name="CHLORIDGEHALT" dataDxfId="87"/>
    <tableColumn id="15" xr3:uid="{FDE0AB32-79C0-40BD-B006-158B9324B9D0}" name="KONSISTENZKLASSE" dataDxfId="86"/>
    <tableColumn id="7" xr3:uid="{66361FC3-1E39-4D53-A5EE-09E0BAE9891B}" name="Total_GWP" dataDxfId="85"/>
    <tableColumn id="36" xr3:uid="{34FA5DD0-C9F8-4057-87FC-772859292E61}" name="Total_GWP_inkl. Trans LKW" dataDxfId="84"/>
    <tableColumn id="37" xr3:uid="{D967D66D-42EF-492B-B50D-561CD719395E}" name="Total_GWP_inkl. Trans Bahn" dataDxfId="83"/>
    <tableColumn id="30" xr3:uid="{75B879AD-3432-4200-89C6-E660089566E7}" name="Total_GWP_m3" dataDxfId="82"/>
    <tableColumn id="20" xr3:uid="{E17DBF2B-9CA0-4408-B0CB-4D7593B53FFE}" name="A1toA3_GWP" dataDxfId="81">
      <calculatedColumnFormula>119+10.9+238</calculatedColumnFormula>
    </tableColumn>
    <tableColumn id="21" xr3:uid="{7C9C4943-C469-400B-B468-A5DB74406586}" name="C1toC4_GWP" dataDxfId="80">
      <calculatedColumnFormula>51.1+26+2.64+12.6</calculatedColumnFormula>
    </tableColumn>
    <tableColumn id="31" xr3:uid="{6EE19380-760D-427B-A399-5A8A614371E7}" name="GWP-biogenic" dataDxfId="79"/>
    <tableColumn id="34" xr3:uid="{47102F69-A22B-4F5E-A55C-E9A46F7314C8}" name="GWP-biogenic_m3" dataDxfId="78"/>
    <tableColumn id="33" xr3:uid="{9A9F4E9C-EBAF-4A78-B230-7E7659AC9C9A}" name="A1toA3_GWP-biogenic" dataDxfId="77">
      <calculatedColumnFormula>(-696)/Table24[[#This Row],[DENSITY]]*1000</calculatedColumnFormula>
    </tableColumn>
    <tableColumn id="32" xr3:uid="{422DC573-9E77-4999-B690-F466F313AE80}" name="C1toC4_GWP-biogenic" dataDxfId="76">
      <calculatedColumnFormula>(1.42+759)/Table24[[#This Row],[DENSITY]]*1000</calculatedColumnFormula>
    </tableColumn>
    <tableColumn id="41" xr3:uid="{D5AA69CD-ACE3-F241-A5AE-67858DB3CB58}" name="Total_UBP" dataDxfId="75"/>
    <tableColumn id="43" xr3:uid="{2CD16E98-5F34-D142-A030-E29C521AD53F}" name="Total_UBP_m3" dataDxfId="74">
      <calculatedColumnFormula>Table24[[#This Row],[Total_UBP]]*Table24[[#This Row],[DENSITY]]/1000</calculatedColumnFormula>
    </tableColumn>
    <tableColumn id="44" xr3:uid="{64DBFFAD-7FC6-9949-979F-ABC1722103DB}" name="Graue_Energie" dataDxfId="73"/>
    <tableColumn id="40" xr3:uid="{B731EE18-EE58-B047-B87F-B22446E52121}" name="Graue_Energie_m3" dataDxfId="72">
      <calculatedColumnFormula>Table24[[#This Row],[Graue_Energie]]*Table24[[#This Row],[DENSITY]]/1000</calculatedColumnFormula>
    </tableColumn>
    <tableColumn id="19" xr3:uid="{36B92C2F-E7C8-4132-AC85-8D73B21AAE51}" name="ValidEPD" dataDxfId="71">
      <calculatedColumnFormula>IF(OR($E2="Ecoinvent",$E2="Betonsortenrechner",$E2="KBOB",$V2&lt;=0,Table24[[#This Row],[VALID_TO]]&lt;=TODAY()),0,1)</calculatedColumnFormula>
    </tableColumn>
    <tableColumn id="42" xr3:uid="{930ADE6C-A95A-48A7-A059-EDC890901658}" name="Man_Ausschluss" dataDxfId="70"/>
    <tableColumn id="39" xr3:uid="{8E61130D-9EA5-40E2-9A03-4FF2BFB21EE0}" name="gültig" dataDxfId="69">
      <calculatedColumnFormula>IF(AND(Table24[[#This Row],[ValidEPD]]&lt;&gt;0,Table24[[#This Row],[Man_Ausschluss]]&lt;&gt;0),1,0)</calculatedColumnFormula>
    </tableColumn>
    <tableColumn id="38" xr3:uid="{9D6F0D53-6C6D-475E-BF1D-F0D5C13DE2AB}" name="MIN_MAX" dataDxfId="68">
      <calculatedColumnFormula array="1">IF(Table24[[#This Row],[gültig]]&lt;&gt;0,
IF(
OR(
V2=MIN(_xlfn._xlws.FILTER($V$2:$V$298,($P$2:$P$298=P2)*($N$2:$N$298=N2)*($AL$2:$AL$298&lt;&gt;0))),
V2=MAX(_xlfn._xlws.FILTER($V$2:$V$298,($P$2:$P$298=P2)*($N$2:$N$298=N2)*($AL$2:$AL$298&lt;&gt;0))),
ROWS(_xlfn._xlws.FILTER($V$2:$V$298,($P$2:$P$298=P2)*($N$2:$N$298=N2)*($AL$2:$AL$298&lt;&gt;0)))&lt;=2
),1,0),0)</calculatedColumnFormula>
    </tableColumn>
    <tableColumn id="8" xr3:uid="{632F69D0-7DBB-46E2-96F6-C24109AFEFA9}" name="Cost" dataDxfId="67"/>
    <tableColumn id="24" xr3:uid="{814B05BF-1F84-451C-BBB8-00EC879AE2A7}" name="Anmerkung I" dataDxfId="66"/>
    <tableColumn id="23" xr3:uid="{B8DE7BAD-37AF-4284-BB39-F86ACE518902}" name="Anmerkung II" dataDxfId="65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8FAA96-3B75-4826-B66B-A81D5BCFC670}" name="Tabelle4" displayName="Tabelle4" ref="A1:M27" totalsRowShown="0" headerRowDxfId="19" dataDxfId="17" headerRowBorderDxfId="18" tableBorderDxfId="16" totalsRowBorderDxfId="15">
  <autoFilter ref="A1:M27" xr:uid="{188FAA96-3B75-4826-B66B-A81D5BCFC670}"/>
  <tableColumns count="13">
    <tableColumn id="1" xr3:uid="{AF3C694B-2C8A-40EE-B8BB-2EC9EB81A87A}" name="mat_ID" dataDxfId="14"/>
    <tableColumn id="2" xr3:uid="{B447FBC2-C455-4332-8F47-150B112A57E0}" name="name" dataDxfId="13"/>
    <tableColumn id="3" xr3:uid="{BAFC6B47-7268-46CC-A881-892C9A1F4334}" name="strength_comp" dataDxfId="12"/>
    <tableColumn id="4" xr3:uid="{6FC4C8EB-7581-4E67-81CE-C724161F0838}" name="strength_tens" dataDxfId="11"/>
    <tableColumn id="5" xr3:uid="{A875970E-61A9-43B5-9361-7616A74C3147}" name="strength_bend" dataDxfId="10"/>
    <tableColumn id="6" xr3:uid="{EF5B3A69-DD70-420A-88FF-4FE8772A2E14}" name="strength_shea" dataDxfId="9"/>
    <tableColumn id="7" xr3:uid="{ED461A80-736C-42BD-81BC-C5C0C80FF34C}" name="E_modulus" dataDxfId="8"/>
    <tableColumn id="8" xr3:uid="{68E47481-7028-4427-B126-2A046FC46737}" name="density_load" dataDxfId="7"/>
    <tableColumn id="9" xr3:uid="{7AB34570-2BD4-417F-B141-70612577C7D6}" name="burn_rate" dataDxfId="6"/>
    <tableColumn id="10" xr3:uid="{E3BDC52E-29CB-4B46-B6EB-079280A61450}" name="creep_coef" dataDxfId="5"/>
    <tableColumn id="11" xr3:uid="{8C3C7285-F535-406C-BDB3-99989941BA20}" name="fmd" dataDxfId="4"/>
    <tableColumn id="12" xr3:uid="{3C652D0E-89C8-404C-9FCF-22671F40C651}" name="ftd" dataDxfId="3"/>
    <tableColumn id="13" xr3:uid="{8B1BCF61-D029-410A-8080-097D015F17D2}" name="fc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C0928-96A7-426F-A4EB-FBF4171FB79F}">
  <dimension ref="A1:AR1048345"/>
  <sheetViews>
    <sheetView showGridLines="0" topLeftCell="L2" zoomScale="94" zoomScaleNormal="100" workbookViewId="0">
      <selection activeCell="P5" sqref="P5"/>
    </sheetView>
  </sheetViews>
  <sheetFormatPr baseColWidth="10" defaultColWidth="9.1640625" defaultRowHeight="15" x14ac:dyDescent="0.2"/>
  <cols>
    <col min="1" max="1" width="6.6640625" style="15" customWidth="1"/>
    <col min="2" max="2" width="6.6640625" style="59" customWidth="1"/>
    <col min="3" max="3" width="5" style="31" customWidth="1"/>
    <col min="4" max="4" width="24" customWidth="1"/>
    <col min="5" max="5" width="24.33203125" customWidth="1"/>
    <col min="6" max="8" width="10.6640625" customWidth="1"/>
    <col min="9" max="9" width="10.6640625" style="13" customWidth="1"/>
    <col min="10" max="10" width="13.33203125" style="13" customWidth="1"/>
    <col min="11" max="11" width="19.33203125" customWidth="1"/>
    <col min="12" max="13" width="10.6640625" customWidth="1"/>
    <col min="14" max="14" width="35" style="18" customWidth="1"/>
    <col min="15" max="17" width="10.6640625" customWidth="1"/>
    <col min="18" max="18" width="6.6640625" customWidth="1"/>
    <col min="19" max="20" width="6.6640625" style="14" customWidth="1"/>
    <col min="21" max="21" width="6.6640625" customWidth="1"/>
    <col min="22" max="24" width="12.5" style="33" customWidth="1"/>
    <col min="25" max="25" width="14.5" style="33" customWidth="1"/>
    <col min="26" max="26" width="12.33203125" style="33" customWidth="1"/>
    <col min="27" max="27" width="11.83203125" style="33" customWidth="1"/>
    <col min="28" max="29" width="11.1640625" style="33" customWidth="1"/>
    <col min="30" max="30" width="11.5" style="33" customWidth="1"/>
    <col min="31" max="35" width="10.83203125" style="33" customWidth="1"/>
    <col min="36" max="36" width="6.6640625" style="33" customWidth="1"/>
    <col min="37" max="38" width="8.33203125" style="33" customWidth="1"/>
    <col min="39" max="39" width="6.6640625" style="33" customWidth="1"/>
    <col min="40" max="40" width="10.6640625" style="33" customWidth="1"/>
    <col min="41" max="41" width="6.6640625" customWidth="1"/>
    <col min="42" max="42" width="71" customWidth="1"/>
    <col min="43" max="43" width="23.6640625" style="53" bestFit="1" customWidth="1"/>
    <col min="44" max="45" width="23.6640625" bestFit="1" customWidth="1"/>
    <col min="46" max="46" width="15.6640625" bestFit="1" customWidth="1"/>
    <col min="47" max="73" width="23.6640625" bestFit="1" customWidth="1"/>
    <col min="74" max="74" width="15.6640625" bestFit="1" customWidth="1"/>
  </cols>
  <sheetData>
    <row r="1" spans="1:44" ht="24" x14ac:dyDescent="0.3">
      <c r="A1" s="60" t="s">
        <v>496</v>
      </c>
      <c r="C1" s="62"/>
      <c r="D1" s="61" t="s">
        <v>497</v>
      </c>
    </row>
    <row r="3" spans="1:44" s="30" customFormat="1" ht="67.5" customHeight="1" x14ac:dyDescent="0.2">
      <c r="A3" s="23" t="s">
        <v>329</v>
      </c>
      <c r="B3" s="57" t="s">
        <v>495</v>
      </c>
      <c r="C3" s="25" t="s">
        <v>312</v>
      </c>
      <c r="D3" s="25" t="s">
        <v>119</v>
      </c>
      <c r="E3" s="25" t="s">
        <v>371</v>
      </c>
      <c r="F3" s="52" t="s">
        <v>479</v>
      </c>
      <c r="G3" s="26" t="s">
        <v>374</v>
      </c>
      <c r="H3" s="26" t="s">
        <v>373</v>
      </c>
      <c r="I3" s="27" t="s">
        <v>603</v>
      </c>
      <c r="J3" s="130" t="s">
        <v>608</v>
      </c>
      <c r="K3" s="37" t="s">
        <v>372</v>
      </c>
      <c r="L3" s="36" t="s">
        <v>368</v>
      </c>
      <c r="M3" s="24" t="s">
        <v>369</v>
      </c>
      <c r="N3" s="40" t="s">
        <v>370</v>
      </c>
      <c r="O3" s="39" t="s">
        <v>375</v>
      </c>
      <c r="P3" s="28" t="s">
        <v>376</v>
      </c>
      <c r="Q3" s="28" t="s">
        <v>377</v>
      </c>
      <c r="R3" s="26" t="s">
        <v>378</v>
      </c>
      <c r="S3" s="26" t="s">
        <v>379</v>
      </c>
      <c r="T3" s="26" t="s">
        <v>380</v>
      </c>
      <c r="U3" s="37" t="s">
        <v>381</v>
      </c>
      <c r="V3" s="42" t="s">
        <v>600</v>
      </c>
      <c r="W3" s="42" t="s">
        <v>817</v>
      </c>
      <c r="X3" s="42" t="s">
        <v>818</v>
      </c>
      <c r="Y3" s="42" t="s">
        <v>598</v>
      </c>
      <c r="Z3" s="32" t="s">
        <v>121</v>
      </c>
      <c r="AA3" s="45" t="s">
        <v>123</v>
      </c>
      <c r="AB3" s="86" t="s">
        <v>601</v>
      </c>
      <c r="AC3" s="86" t="s">
        <v>602</v>
      </c>
      <c r="AD3" s="78" t="s">
        <v>559</v>
      </c>
      <c r="AE3" s="79" t="s">
        <v>560</v>
      </c>
      <c r="AF3" s="374" t="s">
        <v>966</v>
      </c>
      <c r="AG3" s="78" t="s">
        <v>967</v>
      </c>
      <c r="AH3" s="78" t="s">
        <v>968</v>
      </c>
      <c r="AI3" s="373" t="s">
        <v>969</v>
      </c>
      <c r="AJ3" s="44" t="s">
        <v>493</v>
      </c>
      <c r="AK3" s="55" t="s">
        <v>492</v>
      </c>
      <c r="AL3" s="55" t="s">
        <v>831</v>
      </c>
      <c r="AM3" s="68" t="s">
        <v>382</v>
      </c>
      <c r="AN3" s="44" t="s">
        <v>830</v>
      </c>
      <c r="AO3" s="47" t="s">
        <v>120</v>
      </c>
      <c r="AP3" s="39" t="s">
        <v>325</v>
      </c>
      <c r="AQ3" s="54" t="s">
        <v>480</v>
      </c>
      <c r="AR3" s="29"/>
    </row>
    <row r="4" spans="1:44" s="3" customFormat="1" ht="32" x14ac:dyDescent="0.2">
      <c r="A4" s="34"/>
      <c r="B4" s="58"/>
      <c r="C4" s="35"/>
      <c r="D4" s="4"/>
      <c r="E4" s="5"/>
      <c r="F4" s="5"/>
      <c r="G4" s="10"/>
      <c r="H4" s="10"/>
      <c r="I4" s="10"/>
      <c r="J4" s="131"/>
      <c r="K4" s="38"/>
      <c r="L4" s="16"/>
      <c r="M4" s="4"/>
      <c r="N4" s="41"/>
      <c r="O4" s="4"/>
      <c r="P4" s="10"/>
      <c r="Q4" s="392" t="s">
        <v>981</v>
      </c>
      <c r="R4" s="5"/>
      <c r="S4" s="5"/>
      <c r="T4" s="5"/>
      <c r="U4" s="43"/>
      <c r="V4" s="127" t="s">
        <v>597</v>
      </c>
      <c r="W4" s="127" t="s">
        <v>597</v>
      </c>
      <c r="X4" s="127"/>
      <c r="Y4" s="127" t="s">
        <v>599</v>
      </c>
      <c r="Z4" s="126" t="s">
        <v>597</v>
      </c>
      <c r="AA4" s="126" t="s">
        <v>597</v>
      </c>
      <c r="AB4" s="127" t="s">
        <v>597</v>
      </c>
      <c r="AC4" s="127" t="s">
        <v>599</v>
      </c>
      <c r="AD4" s="126" t="s">
        <v>597</v>
      </c>
      <c r="AE4" s="126" t="s">
        <v>597</v>
      </c>
      <c r="AF4" s="65" t="s">
        <v>975</v>
      </c>
      <c r="AG4" s="65" t="s">
        <v>976</v>
      </c>
      <c r="AH4" s="65" t="s">
        <v>978</v>
      </c>
      <c r="AI4" s="65" t="s">
        <v>979</v>
      </c>
      <c r="AJ4" s="17"/>
      <c r="AK4" s="56"/>
      <c r="AL4" s="56"/>
      <c r="AM4" s="46"/>
      <c r="AN4" s="46"/>
      <c r="AO4" s="48"/>
      <c r="AP4" s="4"/>
      <c r="AQ4" s="9"/>
      <c r="AR4" s="9"/>
    </row>
    <row r="5" spans="1:44" s="65" customFormat="1" ht="409.6" x14ac:dyDescent="0.2">
      <c r="A5" s="63" t="s">
        <v>498</v>
      </c>
      <c r="B5" s="64" t="s">
        <v>499</v>
      </c>
      <c r="C5" s="66" t="s">
        <v>515</v>
      </c>
      <c r="D5" s="65" t="s">
        <v>500</v>
      </c>
      <c r="E5" s="65" t="s">
        <v>501</v>
      </c>
      <c r="F5" s="65" t="s">
        <v>503</v>
      </c>
      <c r="G5" s="65" t="s">
        <v>504</v>
      </c>
      <c r="H5" s="65" t="s">
        <v>505</v>
      </c>
      <c r="I5" s="65" t="s">
        <v>605</v>
      </c>
      <c r="J5" s="65" t="s">
        <v>604</v>
      </c>
      <c r="K5" s="65" t="s">
        <v>506</v>
      </c>
      <c r="L5" s="65" t="s">
        <v>507</v>
      </c>
      <c r="M5" s="65" t="s">
        <v>508</v>
      </c>
      <c r="N5" s="65" t="s">
        <v>509</v>
      </c>
      <c r="O5" s="65" t="s">
        <v>510</v>
      </c>
      <c r="P5" s="65" t="s">
        <v>511</v>
      </c>
      <c r="Q5" s="65" t="s">
        <v>512</v>
      </c>
      <c r="R5" s="65" t="s">
        <v>513</v>
      </c>
      <c r="S5" s="65" t="s">
        <v>294</v>
      </c>
      <c r="T5" s="65" t="s">
        <v>294</v>
      </c>
      <c r="U5" s="65" t="s">
        <v>294</v>
      </c>
      <c r="V5" s="65" t="s">
        <v>816</v>
      </c>
      <c r="W5" s="65" t="s">
        <v>819</v>
      </c>
      <c r="X5" s="65" t="s">
        <v>820</v>
      </c>
      <c r="Y5" s="65" t="s">
        <v>815</v>
      </c>
      <c r="Z5" s="65" t="s">
        <v>294</v>
      </c>
      <c r="AA5" s="65" t="s">
        <v>294</v>
      </c>
      <c r="AF5" s="65" t="s">
        <v>977</v>
      </c>
      <c r="AG5" s="65" t="s">
        <v>977</v>
      </c>
      <c r="AH5" s="65" t="s">
        <v>980</v>
      </c>
      <c r="AI5" s="65" t="s">
        <v>980</v>
      </c>
      <c r="AJ5" s="65" t="s">
        <v>835</v>
      </c>
      <c r="AK5" s="65" t="s">
        <v>834</v>
      </c>
      <c r="AL5" s="65" t="s">
        <v>832</v>
      </c>
      <c r="AM5" s="65" t="s">
        <v>836</v>
      </c>
      <c r="AN5" s="65" t="s">
        <v>833</v>
      </c>
      <c r="AO5" s="65" t="s">
        <v>514</v>
      </c>
      <c r="AQ5" s="67"/>
    </row>
    <row r="8" spans="1:44" x14ac:dyDescent="0.2">
      <c r="C8" s="71" t="s">
        <v>517</v>
      </c>
    </row>
    <row r="1048331" spans="44:44" x14ac:dyDescent="0.2">
      <c r="AR1048331" s="29"/>
    </row>
    <row r="1048332" spans="44:44" x14ac:dyDescent="0.2">
      <c r="AR1048332" s="9"/>
    </row>
    <row r="1048333" spans="44:44" x14ac:dyDescent="0.2">
      <c r="AR1048333" s="9"/>
    </row>
    <row r="1048334" spans="44:44" x14ac:dyDescent="0.2">
      <c r="AR1048334" s="9"/>
    </row>
    <row r="1048335" spans="44:44" x14ac:dyDescent="0.2">
      <c r="AR1048335" s="9"/>
    </row>
    <row r="1048336" spans="44:44" x14ac:dyDescent="0.2">
      <c r="AR1048336" s="9"/>
    </row>
    <row r="1048337" spans="44:44" x14ac:dyDescent="0.2">
      <c r="AR1048337" s="9"/>
    </row>
    <row r="1048338" spans="44:44" x14ac:dyDescent="0.2">
      <c r="AR1048338" s="9"/>
    </row>
    <row r="1048339" spans="44:44" x14ac:dyDescent="0.2">
      <c r="AR1048339" s="49"/>
    </row>
    <row r="1048340" spans="44:44" x14ac:dyDescent="0.2">
      <c r="AR1048340" s="49"/>
    </row>
    <row r="1048341" spans="44:44" x14ac:dyDescent="0.2">
      <c r="AR1048341" s="49"/>
    </row>
    <row r="1048342" spans="44:44" x14ac:dyDescent="0.2">
      <c r="AR1048342" s="49"/>
    </row>
    <row r="1048343" spans="44:44" x14ac:dyDescent="0.2">
      <c r="AR1048343" s="49"/>
    </row>
    <row r="1048344" spans="44:44" x14ac:dyDescent="0.2">
      <c r="AR1048344" s="49"/>
    </row>
    <row r="1048345" spans="44:44" x14ac:dyDescent="0.2">
      <c r="AR1048345" s="9"/>
    </row>
  </sheetData>
  <phoneticPr fontId="36" type="noConversion"/>
  <conditionalFormatting sqref="AM1:AN2 AM3 AM4:AN1048576">
    <cfRule type="cellIs" dxfId="1" priority="2" operator="equal">
      <formula>1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691DE-BE53-420B-AB10-93956D341EED}">
  <dimension ref="A1:AQ298"/>
  <sheetViews>
    <sheetView showGridLines="0" tabSelected="1" zoomScale="131" zoomScaleNormal="140" workbookViewId="0">
      <pane xSplit="1" ySplit="1" topLeftCell="L86" activePane="bottomRight" state="frozen"/>
      <selection pane="topRight" activeCell="B1" sqref="B1"/>
      <selection pane="bottomLeft" activeCell="A2" sqref="A2"/>
      <selection pane="bottomRight" activeCell="V94" sqref="V94"/>
    </sheetView>
  </sheetViews>
  <sheetFormatPr baseColWidth="10" defaultColWidth="9.1640625" defaultRowHeight="15" x14ac:dyDescent="0.2"/>
  <cols>
    <col min="1" max="1" width="6.33203125" style="15" bestFit="1" customWidth="1"/>
    <col min="2" max="2" width="7" style="59" customWidth="1"/>
    <col min="3" max="3" width="10.1640625" style="31" bestFit="1" customWidth="1"/>
    <col min="4" max="4" width="14" customWidth="1"/>
    <col min="5" max="5" width="48" customWidth="1"/>
    <col min="6" max="8" width="10.6640625" customWidth="1"/>
    <col min="9" max="9" width="12.83203125" style="13" customWidth="1"/>
    <col min="10" max="10" width="13.33203125" style="13" customWidth="1"/>
    <col min="11" max="11" width="32.6640625" customWidth="1"/>
    <col min="12" max="12" width="12.33203125" bestFit="1" customWidth="1"/>
    <col min="13" max="13" width="23" customWidth="1"/>
    <col min="14" max="14" width="23" style="18" customWidth="1"/>
    <col min="15" max="15" width="10.83203125" customWidth="1"/>
    <col min="16" max="16" width="13.83203125" customWidth="1"/>
    <col min="17" max="17" width="6.5" customWidth="1"/>
    <col min="18" max="18" width="5" customWidth="1"/>
    <col min="19" max="20" width="5" style="14" customWidth="1"/>
    <col min="21" max="21" width="5" customWidth="1"/>
    <col min="22" max="23" width="6.33203125" style="33" customWidth="1"/>
    <col min="24" max="24" width="7.5" style="33" customWidth="1"/>
    <col min="25" max="25" width="8.33203125" style="33" customWidth="1"/>
    <col min="26" max="27" width="8.6640625" style="33" customWidth="1"/>
    <col min="28" max="29" width="8.6640625" style="85" customWidth="1"/>
    <col min="30" max="30" width="8.6640625" style="33" customWidth="1"/>
    <col min="31" max="31" width="8.6640625" style="74" customWidth="1"/>
    <col min="32" max="32" width="8.6640625" style="376" customWidth="1"/>
    <col min="33" max="34" width="8.6640625" style="380" customWidth="1"/>
    <col min="35" max="35" width="8.6640625" style="74" customWidth="1"/>
    <col min="36" max="36" width="10.1640625" style="388" customWidth="1"/>
    <col min="37" max="38" width="6.6640625" style="380" customWidth="1"/>
    <col min="39" max="39" width="6.6640625" style="33" customWidth="1"/>
    <col min="40" max="41" width="18.5" style="90" customWidth="1"/>
    <col min="42" max="42" width="6.6640625" customWidth="1"/>
    <col min="43" max="43" width="23.6640625" bestFit="1" customWidth="1"/>
    <col min="45" max="45" width="15.6640625" bestFit="1" customWidth="1"/>
    <col min="46" max="72" width="23.6640625" bestFit="1" customWidth="1"/>
    <col min="73" max="73" width="15.6640625" bestFit="1" customWidth="1"/>
  </cols>
  <sheetData>
    <row r="1" spans="1:42" s="30" customFormat="1" ht="102" customHeight="1" x14ac:dyDescent="0.2">
      <c r="A1" s="23" t="s">
        <v>329</v>
      </c>
      <c r="B1" s="57" t="s">
        <v>495</v>
      </c>
      <c r="C1" s="91" t="s">
        <v>312</v>
      </c>
      <c r="D1" s="25" t="s">
        <v>119</v>
      </c>
      <c r="E1" s="25" t="s">
        <v>371</v>
      </c>
      <c r="F1" s="52" t="s">
        <v>479</v>
      </c>
      <c r="G1" s="26" t="s">
        <v>374</v>
      </c>
      <c r="H1" s="26" t="s">
        <v>373</v>
      </c>
      <c r="I1" s="27" t="s">
        <v>603</v>
      </c>
      <c r="J1" s="130" t="s">
        <v>608</v>
      </c>
      <c r="K1" s="37" t="s">
        <v>372</v>
      </c>
      <c r="L1" s="36" t="s">
        <v>368</v>
      </c>
      <c r="M1" s="24" t="s">
        <v>369</v>
      </c>
      <c r="N1" s="40" t="s">
        <v>370</v>
      </c>
      <c r="O1" s="39" t="s">
        <v>375</v>
      </c>
      <c r="P1" s="28" t="s">
        <v>376</v>
      </c>
      <c r="Q1" s="28" t="s">
        <v>377</v>
      </c>
      <c r="R1" s="26" t="s">
        <v>378</v>
      </c>
      <c r="S1" s="26" t="s">
        <v>379</v>
      </c>
      <c r="T1" s="26" t="s">
        <v>380</v>
      </c>
      <c r="U1" s="37" t="s">
        <v>381</v>
      </c>
      <c r="V1" s="128" t="s">
        <v>122</v>
      </c>
      <c r="W1" s="128" t="s">
        <v>817</v>
      </c>
      <c r="X1" s="128" t="s">
        <v>818</v>
      </c>
      <c r="Y1" s="128" t="s">
        <v>598</v>
      </c>
      <c r="Z1" s="32" t="s">
        <v>121</v>
      </c>
      <c r="AA1" s="45" t="s">
        <v>123</v>
      </c>
      <c r="AB1" s="86" t="s">
        <v>558</v>
      </c>
      <c r="AC1" s="86" t="s">
        <v>602</v>
      </c>
      <c r="AD1" s="78" t="s">
        <v>559</v>
      </c>
      <c r="AE1" s="79" t="s">
        <v>560</v>
      </c>
      <c r="AF1" s="374" t="s">
        <v>983</v>
      </c>
      <c r="AG1" s="78" t="s">
        <v>982</v>
      </c>
      <c r="AH1" s="78" t="s">
        <v>968</v>
      </c>
      <c r="AI1" s="373" t="s">
        <v>969</v>
      </c>
      <c r="AJ1" s="383" t="s">
        <v>493</v>
      </c>
      <c r="AK1" s="32" t="s">
        <v>831</v>
      </c>
      <c r="AL1" s="32" t="s">
        <v>856</v>
      </c>
      <c r="AM1" s="44" t="s">
        <v>830</v>
      </c>
      <c r="AN1" s="55" t="s">
        <v>120</v>
      </c>
      <c r="AO1" s="39" t="s">
        <v>557</v>
      </c>
      <c r="AP1" s="39" t="s">
        <v>556</v>
      </c>
    </row>
    <row r="2" spans="1:42" s="3" customFormat="1" x14ac:dyDescent="0.2">
      <c r="A2" s="34" t="s">
        <v>330</v>
      </c>
      <c r="B2" s="58"/>
      <c r="C2" s="35">
        <v>1</v>
      </c>
      <c r="D2" s="4" t="s">
        <v>15</v>
      </c>
      <c r="E2" s="5" t="s">
        <v>9</v>
      </c>
      <c r="F2" s="5"/>
      <c r="G2" s="143" t="s">
        <v>415</v>
      </c>
      <c r="H2" s="10" t="s">
        <v>415</v>
      </c>
      <c r="I2" s="10" t="s">
        <v>51</v>
      </c>
      <c r="J2" s="131" t="s">
        <v>415</v>
      </c>
      <c r="K2" s="38"/>
      <c r="L2" s="16" t="s">
        <v>322</v>
      </c>
      <c r="M2" s="4" t="s">
        <v>314</v>
      </c>
      <c r="N2" s="41" t="s">
        <v>315</v>
      </c>
      <c r="O2" s="4" t="s">
        <v>10</v>
      </c>
      <c r="P2" s="10" t="s">
        <v>11</v>
      </c>
      <c r="Q2" s="10">
        <v>2400</v>
      </c>
      <c r="R2" s="5" t="s">
        <v>415</v>
      </c>
      <c r="S2" s="5" t="s">
        <v>415</v>
      </c>
      <c r="T2" s="5" t="s">
        <v>415</v>
      </c>
      <c r="U2" s="43" t="s">
        <v>415</v>
      </c>
      <c r="V2" s="17">
        <f>SUM(Table24[[#This Row],[A1toA3_GWP]:[C1toC4_GWP]])</f>
        <v>104.16666666666667</v>
      </c>
      <c r="W2" s="17"/>
      <c r="X2" s="17"/>
      <c r="Y2" s="17">
        <f>Table24[[#This Row],[Total_GWP]]*Table24[[#This Row],[DENSITY]]/1000</f>
        <v>250</v>
      </c>
      <c r="Z2" s="144">
        <f>250/Table24[[#This Row],[DENSITY]]*1000</f>
        <v>104.16666666666667</v>
      </c>
      <c r="AA2" s="137" t="s">
        <v>415</v>
      </c>
      <c r="AB2" s="56"/>
      <c r="AC2" s="56"/>
      <c r="AD2" s="56"/>
      <c r="AE2" s="136"/>
      <c r="AF2" s="17"/>
      <c r="AG2" s="144"/>
      <c r="AH2" s="144"/>
      <c r="AI2" s="136"/>
      <c r="AJ2" s="384">
        <f ca="1">IF(OR($E2="Ecoinvent",$E2="Betonsortenrechner",$E2="KBOB",$V2&lt;=0,Table24[[#This Row],[VALID_TO]]&lt;=TODAY()),0,1)</f>
        <v>0</v>
      </c>
      <c r="AK2" s="144">
        <v>1</v>
      </c>
      <c r="AL2" s="144">
        <f ca="1">IF(AND(Table24[[#This Row],[ValidEPD]]&lt;&gt;0,Table24[[#This Row],[Man_Ausschluss]]&lt;&gt;0),1,0)</f>
        <v>0</v>
      </c>
      <c r="AM2" s="17" cm="1">
        <f t="array" aca="1" ref="AM2" ca="1">IF(Table24[[#This Row],[gültig]]&lt;&gt;0,
IF(
OR(
V2=MIN(_xlfn._xlws.FILTER($V$2:$V$298,($P$2:$P$298=P2)*($N$2:$N$298=N2)*($AL$2:$AL$298&lt;&gt;0))),
V2=MAX(_xlfn._xlws.FILTER($V$2:$V$298,($P$2:$P$298=P2)*($N$2:$N$298=N2)*($AL$2:$AL$298&lt;&gt;0))),
ROWS(_xlfn._xlws.FILTER($V$2:$V$298,($P$2:$P$298=P2)*($N$2:$N$298=N2)*($AL$2:$AL$298&lt;&gt;0)))&lt;=2
),1,0),0)</f>
        <v>0</v>
      </c>
      <c r="AN2" s="56"/>
      <c r="AO2" s="4"/>
      <c r="AP2" s="4"/>
    </row>
    <row r="3" spans="1:42" s="3" customFormat="1" x14ac:dyDescent="0.2">
      <c r="A3" s="34" t="s">
        <v>331</v>
      </c>
      <c r="B3" s="58"/>
      <c r="C3" s="92">
        <v>2</v>
      </c>
      <c r="D3" s="4" t="s">
        <v>16</v>
      </c>
      <c r="E3" s="5" t="s">
        <v>9</v>
      </c>
      <c r="F3" s="5"/>
      <c r="G3" s="143" t="s">
        <v>415</v>
      </c>
      <c r="H3" s="10" t="s">
        <v>415</v>
      </c>
      <c r="I3" s="10" t="s">
        <v>51</v>
      </c>
      <c r="J3" s="131" t="s">
        <v>415</v>
      </c>
      <c r="K3" s="38"/>
      <c r="L3" s="16" t="s">
        <v>322</v>
      </c>
      <c r="M3" s="4" t="s">
        <v>314</v>
      </c>
      <c r="N3" s="41" t="s">
        <v>315</v>
      </c>
      <c r="O3" s="4" t="s">
        <v>2</v>
      </c>
      <c r="P3" s="10" t="s">
        <v>11</v>
      </c>
      <c r="Q3" s="10">
        <v>2400</v>
      </c>
      <c r="R3" s="5" t="s">
        <v>415</v>
      </c>
      <c r="S3" s="5" t="s">
        <v>415</v>
      </c>
      <c r="T3" s="5" t="s">
        <v>415</v>
      </c>
      <c r="U3" s="43" t="s">
        <v>415</v>
      </c>
      <c r="V3" s="17">
        <f>SUM(Table24[[#This Row],[A1toA3_GWP]:[C1toC4_GWP]])</f>
        <v>84.583333333333329</v>
      </c>
      <c r="W3" s="17"/>
      <c r="X3" s="17"/>
      <c r="Y3" s="17">
        <f>Table24[[#This Row],[Total_GWP]]*Table24[[#This Row],[DENSITY]]/1000</f>
        <v>203</v>
      </c>
      <c r="Z3" s="144">
        <f>203/Table24[[#This Row],[DENSITY]]*1000</f>
        <v>84.583333333333329</v>
      </c>
      <c r="AA3" s="137" t="s">
        <v>415</v>
      </c>
      <c r="AB3" s="56"/>
      <c r="AC3" s="56"/>
      <c r="AD3" s="56"/>
      <c r="AE3" s="136"/>
      <c r="AF3" s="17"/>
      <c r="AG3" s="144"/>
      <c r="AH3" s="144"/>
      <c r="AI3" s="136"/>
      <c r="AJ3" s="384">
        <f ca="1">IF(OR($E3="Ecoinvent",$E3="Betonsortenrechner",$E3="KBOB",$V3&lt;=0,Table24[[#This Row],[VALID_TO]]&lt;=TODAY()),0,1)</f>
        <v>0</v>
      </c>
      <c r="AK3" s="144">
        <v>1</v>
      </c>
      <c r="AL3" s="144">
        <f ca="1">IF(AND(Table24[[#This Row],[ValidEPD]]&lt;&gt;0,Table24[[#This Row],[Man_Ausschluss]]&lt;&gt;0),1,0)</f>
        <v>0</v>
      </c>
      <c r="AM3" s="17" cm="1">
        <f t="array" aca="1" ref="AM3" ca="1">IF(Table24[[#This Row],[gültig]]&lt;&gt;0,
IF(
OR(
V3=MIN(_xlfn._xlws.FILTER($V$2:$V$298,($P$2:$P$298=P3)*($N$2:$N$298=N3)*($AL$2:$AL$298&lt;&gt;0))),
V3=MAX(_xlfn._xlws.FILTER($V$2:$V$298,($P$2:$P$298=P3)*($N$2:$N$298=N3)*($AL$2:$AL$298&lt;&gt;0))),
ROWS(_xlfn._xlws.FILTER($V$2:$V$298,($P$2:$P$298=P3)*($N$2:$N$298=N3)*($AL$2:$AL$298&lt;&gt;0)))&lt;=2
),1,0),0)</f>
        <v>0</v>
      </c>
      <c r="AN3" s="56"/>
      <c r="AO3" s="4"/>
      <c r="AP3" s="4"/>
    </row>
    <row r="4" spans="1:42" s="3" customFormat="1" x14ac:dyDescent="0.2">
      <c r="A4" s="34" t="s">
        <v>332</v>
      </c>
      <c r="B4" s="58"/>
      <c r="C4" s="92">
        <v>3</v>
      </c>
      <c r="D4" s="4" t="s">
        <v>17</v>
      </c>
      <c r="E4" s="5" t="s">
        <v>9</v>
      </c>
      <c r="F4" s="5"/>
      <c r="G4" s="143" t="s">
        <v>415</v>
      </c>
      <c r="H4" s="10" t="s">
        <v>415</v>
      </c>
      <c r="I4" s="10" t="s">
        <v>51</v>
      </c>
      <c r="J4" s="131" t="s">
        <v>415</v>
      </c>
      <c r="K4" s="38"/>
      <c r="L4" s="16" t="s">
        <v>322</v>
      </c>
      <c r="M4" s="4" t="s">
        <v>314</v>
      </c>
      <c r="N4" s="41" t="s">
        <v>315</v>
      </c>
      <c r="O4" s="4" t="s">
        <v>12</v>
      </c>
      <c r="P4" s="10" t="s">
        <v>6</v>
      </c>
      <c r="Q4" s="10">
        <v>2320</v>
      </c>
      <c r="R4" s="5" t="s">
        <v>415</v>
      </c>
      <c r="S4" s="5" t="s">
        <v>415</v>
      </c>
      <c r="T4" s="5" t="s">
        <v>415</v>
      </c>
      <c r="U4" s="43" t="s">
        <v>415</v>
      </c>
      <c r="V4" s="17">
        <f>SUM(Table24[[#This Row],[A1toA3_GWP]:[C1toC4_GWP]])</f>
        <v>75.431034482758619</v>
      </c>
      <c r="W4" s="17"/>
      <c r="X4" s="17"/>
      <c r="Y4" s="17">
        <f>Table24[[#This Row],[Total_GWP]]*Table24[[#This Row],[DENSITY]]/1000</f>
        <v>175</v>
      </c>
      <c r="Z4" s="144">
        <f>175/Table24[[#This Row],[DENSITY]]*1000</f>
        <v>75.431034482758619</v>
      </c>
      <c r="AA4" s="137" t="s">
        <v>415</v>
      </c>
      <c r="AB4" s="56"/>
      <c r="AC4" s="56"/>
      <c r="AD4" s="56"/>
      <c r="AE4" s="136"/>
      <c r="AF4" s="17"/>
      <c r="AG4" s="144"/>
      <c r="AH4" s="144"/>
      <c r="AI4" s="136"/>
      <c r="AJ4" s="384">
        <f ca="1">IF(OR($E4="Ecoinvent",$E4="Betonsortenrechner",$E4="KBOB",$V4&lt;=0,Table24[[#This Row],[VALID_TO]]&lt;=TODAY()),0,1)</f>
        <v>0</v>
      </c>
      <c r="AK4" s="144">
        <v>1</v>
      </c>
      <c r="AL4" s="144">
        <f ca="1">IF(AND(Table24[[#This Row],[ValidEPD]]&lt;&gt;0,Table24[[#This Row],[Man_Ausschluss]]&lt;&gt;0),1,0)</f>
        <v>0</v>
      </c>
      <c r="AM4" s="17" cm="1">
        <f t="array" aca="1" ref="AM4" ca="1">IF(Table24[[#This Row],[gültig]]&lt;&gt;0,
IF(
OR(
V4=MIN(_xlfn._xlws.FILTER($V$2:$V$298,($P$2:$P$298=P4)*($N$2:$N$298=N4)*($AL$2:$AL$298&lt;&gt;0))),
V4=MAX(_xlfn._xlws.FILTER($V$2:$V$298,($P$2:$P$298=P4)*($N$2:$N$298=N4)*($AL$2:$AL$298&lt;&gt;0))),
ROWS(_xlfn._xlws.FILTER($V$2:$V$298,($P$2:$P$298=P4)*($N$2:$N$298=N4)*($AL$2:$AL$298&lt;&gt;0)))&lt;=2
),1,0),0)</f>
        <v>0</v>
      </c>
      <c r="AN4" s="56"/>
      <c r="AO4" s="4"/>
      <c r="AP4" s="4"/>
    </row>
    <row r="5" spans="1:42" s="3" customFormat="1" x14ac:dyDescent="0.2">
      <c r="A5" s="34" t="s">
        <v>333</v>
      </c>
      <c r="B5" s="58"/>
      <c r="C5" s="92">
        <v>4</v>
      </c>
      <c r="D5" s="4" t="s">
        <v>18</v>
      </c>
      <c r="E5" s="5" t="s">
        <v>9</v>
      </c>
      <c r="F5" s="5"/>
      <c r="G5" s="143" t="s">
        <v>415</v>
      </c>
      <c r="H5" s="10" t="s">
        <v>415</v>
      </c>
      <c r="I5" s="10" t="s">
        <v>51</v>
      </c>
      <c r="J5" s="131" t="s">
        <v>415</v>
      </c>
      <c r="K5" s="38"/>
      <c r="L5" s="16" t="s">
        <v>322</v>
      </c>
      <c r="M5" s="4" t="s">
        <v>314</v>
      </c>
      <c r="N5" s="41" t="s">
        <v>315</v>
      </c>
      <c r="O5" s="4" t="s">
        <v>13</v>
      </c>
      <c r="P5" s="10" t="s">
        <v>11</v>
      </c>
      <c r="Q5" s="10">
        <v>2390</v>
      </c>
      <c r="R5" s="5" t="s">
        <v>415</v>
      </c>
      <c r="S5" s="5" t="s">
        <v>415</v>
      </c>
      <c r="T5" s="5" t="s">
        <v>415</v>
      </c>
      <c r="U5" s="43" t="s">
        <v>415</v>
      </c>
      <c r="V5" s="17">
        <f>SUM(Table24[[#This Row],[A1toA3_GWP]:[C1toC4_GWP]])</f>
        <v>76.987447698744774</v>
      </c>
      <c r="W5" s="17"/>
      <c r="X5" s="17"/>
      <c r="Y5" s="17">
        <f>Table24[[#This Row],[Total_GWP]]*Table24[[#This Row],[DENSITY]]/1000</f>
        <v>184</v>
      </c>
      <c r="Z5" s="144">
        <f>184/Table24[[#This Row],[DENSITY]]*1000</f>
        <v>76.987447698744774</v>
      </c>
      <c r="AA5" s="137" t="s">
        <v>415</v>
      </c>
      <c r="AB5" s="56"/>
      <c r="AC5" s="56"/>
      <c r="AD5" s="56"/>
      <c r="AE5" s="136"/>
      <c r="AF5" s="17"/>
      <c r="AG5" s="144"/>
      <c r="AH5" s="144"/>
      <c r="AI5" s="136"/>
      <c r="AJ5" s="384">
        <f ca="1">IF(OR($E5="Ecoinvent",$E5="Betonsortenrechner",$E5="KBOB",$V5&lt;=0,Table24[[#This Row],[VALID_TO]]&lt;=TODAY()),0,1)</f>
        <v>0</v>
      </c>
      <c r="AK5" s="144">
        <v>1</v>
      </c>
      <c r="AL5" s="144">
        <f ca="1">IF(AND(Table24[[#This Row],[ValidEPD]]&lt;&gt;0,Table24[[#This Row],[Man_Ausschluss]]&lt;&gt;0),1,0)</f>
        <v>0</v>
      </c>
      <c r="AM5" s="17" cm="1">
        <f t="array" aca="1" ref="AM5" ca="1">IF(Table24[[#This Row],[gültig]]&lt;&gt;0,
IF(
OR(
V5=MIN(_xlfn._xlws.FILTER($V$2:$V$298,($P$2:$P$298=P5)*($N$2:$N$298=N5)*($AL$2:$AL$298&lt;&gt;0))),
V5=MAX(_xlfn._xlws.FILTER($V$2:$V$298,($P$2:$P$298=P5)*($N$2:$N$298=N5)*($AL$2:$AL$298&lt;&gt;0))),
ROWS(_xlfn._xlws.FILTER($V$2:$V$298,($P$2:$P$298=P5)*($N$2:$N$298=N5)*($AL$2:$AL$298&lt;&gt;0)))&lt;=2
),1,0),0)</f>
        <v>0</v>
      </c>
      <c r="AN5" s="56"/>
      <c r="AO5" s="4"/>
      <c r="AP5" s="4"/>
    </row>
    <row r="6" spans="1:42" s="3" customFormat="1" x14ac:dyDescent="0.2">
      <c r="A6" s="34" t="s">
        <v>334</v>
      </c>
      <c r="B6" s="58"/>
      <c r="C6" s="92">
        <v>5</v>
      </c>
      <c r="D6" s="4" t="s">
        <v>19</v>
      </c>
      <c r="E6" s="5" t="s">
        <v>9</v>
      </c>
      <c r="F6" s="5"/>
      <c r="G6" s="143" t="s">
        <v>415</v>
      </c>
      <c r="H6" s="10" t="s">
        <v>415</v>
      </c>
      <c r="I6" s="10" t="s">
        <v>51</v>
      </c>
      <c r="J6" s="131" t="s">
        <v>415</v>
      </c>
      <c r="K6" s="38"/>
      <c r="L6" s="16" t="s">
        <v>322</v>
      </c>
      <c r="M6" s="4" t="s">
        <v>314</v>
      </c>
      <c r="N6" s="41" t="s">
        <v>315</v>
      </c>
      <c r="O6" s="4" t="s">
        <v>14</v>
      </c>
      <c r="P6" s="10" t="s">
        <v>27</v>
      </c>
      <c r="Q6" s="10">
        <v>2420</v>
      </c>
      <c r="R6" s="5" t="s">
        <v>415</v>
      </c>
      <c r="S6" s="5" t="s">
        <v>415</v>
      </c>
      <c r="T6" s="5" t="s">
        <v>415</v>
      </c>
      <c r="U6" s="43" t="s">
        <v>415</v>
      </c>
      <c r="V6" s="17">
        <f>SUM(Table24[[#This Row],[A1toA3_GWP]:[C1toC4_GWP]])</f>
        <v>81.404958677685954</v>
      </c>
      <c r="W6" s="17"/>
      <c r="X6" s="17"/>
      <c r="Y6" s="17">
        <f>Table24[[#This Row],[Total_GWP]]*Table24[[#This Row],[DENSITY]]/1000</f>
        <v>197</v>
      </c>
      <c r="Z6" s="144">
        <f>197/Table24[[#This Row],[DENSITY]]*1000</f>
        <v>81.404958677685954</v>
      </c>
      <c r="AA6" s="137" t="s">
        <v>415</v>
      </c>
      <c r="AB6" s="56"/>
      <c r="AC6" s="56"/>
      <c r="AD6" s="56"/>
      <c r="AE6" s="136"/>
      <c r="AF6" s="17"/>
      <c r="AG6" s="144"/>
      <c r="AH6" s="144"/>
      <c r="AI6" s="136"/>
      <c r="AJ6" s="384">
        <f ca="1">IF(OR($E6="Ecoinvent",$E6="Betonsortenrechner",$E6="KBOB",$V6&lt;=0,Table24[[#This Row],[VALID_TO]]&lt;=TODAY()),0,1)</f>
        <v>0</v>
      </c>
      <c r="AK6" s="144">
        <v>1</v>
      </c>
      <c r="AL6" s="144">
        <f ca="1">IF(AND(Table24[[#This Row],[ValidEPD]]&lt;&gt;0,Table24[[#This Row],[Man_Ausschluss]]&lt;&gt;0),1,0)</f>
        <v>0</v>
      </c>
      <c r="AM6" s="17" cm="1">
        <f t="array" aca="1" ref="AM6" ca="1">IF(Table24[[#This Row],[gültig]]&lt;&gt;0,
IF(
OR(
V6=MIN(_xlfn._xlws.FILTER($V$2:$V$298,($P$2:$P$298=P6)*($N$2:$N$298=N6)*($AL$2:$AL$298&lt;&gt;0))),
V6=MAX(_xlfn._xlws.FILTER($V$2:$V$298,($P$2:$P$298=P6)*($N$2:$N$298=N6)*($AL$2:$AL$298&lt;&gt;0))),
ROWS(_xlfn._xlws.FILTER($V$2:$V$298,($P$2:$P$298=P6)*($N$2:$N$298=N6)*($AL$2:$AL$298&lt;&gt;0)))&lt;=2
),1,0),0)</f>
        <v>0</v>
      </c>
      <c r="AN6" s="56"/>
      <c r="AO6" s="4"/>
      <c r="AP6" s="4"/>
    </row>
    <row r="7" spans="1:42" s="3" customFormat="1" x14ac:dyDescent="0.2">
      <c r="A7" s="34" t="s">
        <v>335</v>
      </c>
      <c r="B7" s="58"/>
      <c r="C7" s="92">
        <v>6</v>
      </c>
      <c r="D7" s="4" t="s">
        <v>20</v>
      </c>
      <c r="E7" s="5" t="s">
        <v>9</v>
      </c>
      <c r="F7" s="5"/>
      <c r="G7" s="143" t="s">
        <v>415</v>
      </c>
      <c r="H7" s="10" t="s">
        <v>415</v>
      </c>
      <c r="I7" s="10" t="s">
        <v>51</v>
      </c>
      <c r="J7" s="131" t="s">
        <v>415</v>
      </c>
      <c r="K7" s="38"/>
      <c r="L7" s="16" t="s">
        <v>322</v>
      </c>
      <c r="M7" s="4" t="s">
        <v>314</v>
      </c>
      <c r="N7" s="41" t="s">
        <v>315</v>
      </c>
      <c r="O7" s="4" t="s">
        <v>21</v>
      </c>
      <c r="P7" s="10" t="s">
        <v>6</v>
      </c>
      <c r="Q7" s="5" t="s">
        <v>415</v>
      </c>
      <c r="R7" s="5" t="s">
        <v>415</v>
      </c>
      <c r="S7" s="5" t="s">
        <v>415</v>
      </c>
      <c r="T7" s="5" t="s">
        <v>415</v>
      </c>
      <c r="U7" s="43" t="s">
        <v>415</v>
      </c>
      <c r="V7" s="17"/>
      <c r="W7" s="17"/>
      <c r="X7" s="17"/>
      <c r="Y7" s="17"/>
      <c r="Z7" s="145"/>
      <c r="AA7" s="137"/>
      <c r="AB7" s="56"/>
      <c r="AC7" s="56"/>
      <c r="AD7" s="56"/>
      <c r="AE7" s="136"/>
      <c r="AF7" s="17"/>
      <c r="AG7" s="144"/>
      <c r="AH7" s="144"/>
      <c r="AI7" s="136"/>
      <c r="AJ7" s="384">
        <f ca="1">IF(OR($E7="Ecoinvent",$E7="Betonsortenrechner",$E7="KBOB",$V7&lt;=0,Table24[[#This Row],[VALID_TO]]&lt;=TODAY()),0,1)</f>
        <v>0</v>
      </c>
      <c r="AK7" s="144">
        <v>1</v>
      </c>
      <c r="AL7" s="144">
        <f ca="1">IF(AND(Table24[[#This Row],[ValidEPD]]&lt;&gt;0,Table24[[#This Row],[Man_Ausschluss]]&lt;&gt;0),1,0)</f>
        <v>0</v>
      </c>
      <c r="AM7" s="17" cm="1">
        <f t="array" aca="1" ref="AM7" ca="1">IF(Table24[[#This Row],[gültig]]&lt;&gt;0,
IF(
OR(
V7=MIN(_xlfn._xlws.FILTER($V$2:$V$298,($P$2:$P$298=P7)*($N$2:$N$298=N7)*($AL$2:$AL$298&lt;&gt;0))),
V7=MAX(_xlfn._xlws.FILTER($V$2:$V$298,($P$2:$P$298=P7)*($N$2:$N$298=N7)*($AL$2:$AL$298&lt;&gt;0))),
ROWS(_xlfn._xlws.FILTER($V$2:$V$298,($P$2:$P$298=P7)*($N$2:$N$298=N7)*($AL$2:$AL$298&lt;&gt;0)))&lt;=2
),1,0),0)</f>
        <v>0</v>
      </c>
      <c r="AN7" s="56"/>
      <c r="AO7" s="4"/>
      <c r="AP7" s="4"/>
    </row>
    <row r="8" spans="1:42" s="3" customFormat="1" x14ac:dyDescent="0.2">
      <c r="A8" s="34" t="s">
        <v>336</v>
      </c>
      <c r="B8" s="58"/>
      <c r="C8" s="92">
        <v>7</v>
      </c>
      <c r="D8" s="4" t="s">
        <v>22</v>
      </c>
      <c r="E8" s="5" t="s">
        <v>9</v>
      </c>
      <c r="F8" s="5"/>
      <c r="G8" s="143" t="s">
        <v>415</v>
      </c>
      <c r="H8" s="10" t="s">
        <v>415</v>
      </c>
      <c r="I8" s="10" t="s">
        <v>51</v>
      </c>
      <c r="J8" s="131" t="s">
        <v>415</v>
      </c>
      <c r="K8" s="38"/>
      <c r="L8" s="16" t="s">
        <v>322</v>
      </c>
      <c r="M8" s="4" t="s">
        <v>314</v>
      </c>
      <c r="N8" s="41" t="s">
        <v>315</v>
      </c>
      <c r="O8" s="4" t="s">
        <v>23</v>
      </c>
      <c r="P8" s="10" t="s">
        <v>27</v>
      </c>
      <c r="Q8" s="5" t="s">
        <v>415</v>
      </c>
      <c r="R8" s="5" t="s">
        <v>415</v>
      </c>
      <c r="S8" s="5" t="s">
        <v>415</v>
      </c>
      <c r="T8" s="5" t="s">
        <v>415</v>
      </c>
      <c r="U8" s="43" t="s">
        <v>415</v>
      </c>
      <c r="V8" s="17"/>
      <c r="W8" s="17"/>
      <c r="X8" s="17"/>
      <c r="Y8" s="17"/>
      <c r="Z8" s="145"/>
      <c r="AA8" s="137"/>
      <c r="AB8" s="56"/>
      <c r="AC8" s="56"/>
      <c r="AD8" s="56"/>
      <c r="AE8" s="136"/>
      <c r="AF8" s="17"/>
      <c r="AG8" s="144"/>
      <c r="AH8" s="144"/>
      <c r="AI8" s="136"/>
      <c r="AJ8" s="384">
        <f ca="1">IF(OR($E8="Ecoinvent",$E8="Betonsortenrechner",$E8="KBOB",$V8&lt;=0,Table24[[#This Row],[VALID_TO]]&lt;=TODAY()),0,1)</f>
        <v>0</v>
      </c>
      <c r="AK8" s="144">
        <v>1</v>
      </c>
      <c r="AL8" s="144">
        <f ca="1">IF(AND(Table24[[#This Row],[ValidEPD]]&lt;&gt;0,Table24[[#This Row],[Man_Ausschluss]]&lt;&gt;0),1,0)</f>
        <v>0</v>
      </c>
      <c r="AM8" s="17" cm="1">
        <f t="array" aca="1" ref="AM8" ca="1">IF(Table24[[#This Row],[gültig]]&lt;&gt;0,
IF(
OR(
V8=MIN(_xlfn._xlws.FILTER($V$2:$V$298,($P$2:$P$298=P8)*($N$2:$N$298=N8)*($AL$2:$AL$298&lt;&gt;0))),
V8=MAX(_xlfn._xlws.FILTER($V$2:$V$298,($P$2:$P$298=P8)*($N$2:$N$298=N8)*($AL$2:$AL$298&lt;&gt;0))),
ROWS(_xlfn._xlws.FILTER($V$2:$V$298,($P$2:$P$298=P8)*($N$2:$N$298=N8)*($AL$2:$AL$298&lt;&gt;0)))&lt;=2
),1,0),0)</f>
        <v>0</v>
      </c>
      <c r="AN8" s="56"/>
      <c r="AO8" s="4"/>
      <c r="AP8" s="4"/>
    </row>
    <row r="9" spans="1:42" s="3" customFormat="1" x14ac:dyDescent="0.2">
      <c r="A9" s="34" t="s">
        <v>337</v>
      </c>
      <c r="B9" s="58"/>
      <c r="C9" s="92">
        <v>8</v>
      </c>
      <c r="D9" s="4" t="s">
        <v>24</v>
      </c>
      <c r="E9" s="5" t="s">
        <v>9</v>
      </c>
      <c r="F9" s="5"/>
      <c r="G9" s="143" t="s">
        <v>415</v>
      </c>
      <c r="H9" s="10" t="s">
        <v>415</v>
      </c>
      <c r="I9" s="10" t="s">
        <v>51</v>
      </c>
      <c r="J9" s="131" t="s">
        <v>415</v>
      </c>
      <c r="K9" s="38"/>
      <c r="L9" s="16" t="s">
        <v>322</v>
      </c>
      <c r="M9" s="4" t="s">
        <v>314</v>
      </c>
      <c r="N9" s="41" t="s">
        <v>315</v>
      </c>
      <c r="O9" s="4" t="s">
        <v>12</v>
      </c>
      <c r="P9" s="10" t="s">
        <v>27</v>
      </c>
      <c r="Q9" s="5" t="s">
        <v>415</v>
      </c>
      <c r="R9" s="5" t="s">
        <v>415</v>
      </c>
      <c r="S9" s="5" t="s">
        <v>415</v>
      </c>
      <c r="T9" s="5" t="s">
        <v>415</v>
      </c>
      <c r="U9" s="43" t="s">
        <v>415</v>
      </c>
      <c r="V9" s="17"/>
      <c r="W9" s="17"/>
      <c r="X9" s="17"/>
      <c r="Y9" s="17"/>
      <c r="Z9" s="145"/>
      <c r="AA9" s="137"/>
      <c r="AB9" s="56"/>
      <c r="AC9" s="56"/>
      <c r="AD9" s="56"/>
      <c r="AE9" s="136"/>
      <c r="AF9" s="17"/>
      <c r="AG9" s="144"/>
      <c r="AH9" s="144"/>
      <c r="AI9" s="136"/>
      <c r="AJ9" s="384">
        <f ca="1">IF(OR($E9="Ecoinvent",$E9="Betonsortenrechner",$E9="KBOB",$V9&lt;=0,Table24[[#This Row],[VALID_TO]]&lt;=TODAY()),0,1)</f>
        <v>0</v>
      </c>
      <c r="AK9" s="144">
        <v>1</v>
      </c>
      <c r="AL9" s="144">
        <f ca="1">IF(AND(Table24[[#This Row],[ValidEPD]]&lt;&gt;0,Table24[[#This Row],[Man_Ausschluss]]&lt;&gt;0),1,0)</f>
        <v>0</v>
      </c>
      <c r="AM9" s="17" cm="1">
        <f t="array" aca="1" ref="AM9" ca="1">IF(Table24[[#This Row],[gültig]]&lt;&gt;0,
IF(
OR(
V9=MIN(_xlfn._xlws.FILTER($V$2:$V$298,($P$2:$P$298=P9)*($N$2:$N$298=N9)*($AL$2:$AL$298&lt;&gt;0))),
V9=MAX(_xlfn._xlws.FILTER($V$2:$V$298,($P$2:$P$298=P9)*($N$2:$N$298=N9)*($AL$2:$AL$298&lt;&gt;0))),
ROWS(_xlfn._xlws.FILTER($V$2:$V$298,($P$2:$P$298=P9)*($N$2:$N$298=N9)*($AL$2:$AL$298&lt;&gt;0)))&lt;=2
),1,0),0)</f>
        <v>0</v>
      </c>
      <c r="AN9" s="56"/>
      <c r="AO9" s="4"/>
      <c r="AP9" s="4"/>
    </row>
    <row r="10" spans="1:42" s="3" customFormat="1" x14ac:dyDescent="0.2">
      <c r="A10" s="34" t="s">
        <v>338</v>
      </c>
      <c r="B10" s="58"/>
      <c r="C10" s="92">
        <v>9</v>
      </c>
      <c r="D10" s="4" t="s">
        <v>25</v>
      </c>
      <c r="E10" s="5" t="s">
        <v>9</v>
      </c>
      <c r="F10" s="5"/>
      <c r="G10" s="143" t="s">
        <v>415</v>
      </c>
      <c r="H10" s="10" t="s">
        <v>415</v>
      </c>
      <c r="I10" s="10" t="s">
        <v>51</v>
      </c>
      <c r="J10" s="131" t="s">
        <v>415</v>
      </c>
      <c r="K10" s="38"/>
      <c r="L10" s="16" t="s">
        <v>322</v>
      </c>
      <c r="M10" s="4" t="s">
        <v>314</v>
      </c>
      <c r="N10" s="41" t="s">
        <v>315</v>
      </c>
      <c r="O10" s="4" t="s">
        <v>26</v>
      </c>
      <c r="P10" s="10" t="s">
        <v>27</v>
      </c>
      <c r="Q10" s="5" t="s">
        <v>415</v>
      </c>
      <c r="R10" s="5" t="s">
        <v>415</v>
      </c>
      <c r="S10" s="5" t="s">
        <v>415</v>
      </c>
      <c r="T10" s="5" t="s">
        <v>415</v>
      </c>
      <c r="U10" s="43" t="s">
        <v>415</v>
      </c>
      <c r="V10" s="17"/>
      <c r="W10" s="17"/>
      <c r="X10" s="17"/>
      <c r="Y10" s="17"/>
      <c r="Z10" s="145"/>
      <c r="AA10" s="137"/>
      <c r="AB10" s="56"/>
      <c r="AC10" s="56"/>
      <c r="AD10" s="56"/>
      <c r="AE10" s="136"/>
      <c r="AF10" s="17"/>
      <c r="AG10" s="144"/>
      <c r="AH10" s="144"/>
      <c r="AI10" s="136"/>
      <c r="AJ10" s="384">
        <f ca="1">IF(OR($E10="Ecoinvent",$E10="Betonsortenrechner",$E10="KBOB",$V10&lt;=0,Table24[[#This Row],[VALID_TO]]&lt;=TODAY()),0,1)</f>
        <v>0</v>
      </c>
      <c r="AK10" s="144">
        <v>1</v>
      </c>
      <c r="AL10" s="144">
        <f ca="1">IF(AND(Table24[[#This Row],[ValidEPD]]&lt;&gt;0,Table24[[#This Row],[Man_Ausschluss]]&lt;&gt;0),1,0)</f>
        <v>0</v>
      </c>
      <c r="AM10" s="17" cm="1">
        <f t="array" aca="1" ref="AM10" ca="1">IF(Table24[[#This Row],[gültig]]&lt;&gt;0,
IF(
OR(
V10=MIN(_xlfn._xlws.FILTER($V$2:$V$298,($P$2:$P$298=P10)*($N$2:$N$298=N10)*($AL$2:$AL$298&lt;&gt;0))),
V10=MAX(_xlfn._xlws.FILTER($V$2:$V$298,($P$2:$P$298=P10)*($N$2:$N$298=N10)*($AL$2:$AL$298&lt;&gt;0))),
ROWS(_xlfn._xlws.FILTER($V$2:$V$298,($P$2:$P$298=P10)*($N$2:$N$298=N10)*($AL$2:$AL$298&lt;&gt;0)))&lt;=2
),1,0),0)</f>
        <v>0</v>
      </c>
      <c r="AN10" s="56"/>
      <c r="AO10" s="4"/>
      <c r="AP10" s="4"/>
    </row>
    <row r="11" spans="1:42" s="3" customFormat="1" x14ac:dyDescent="0.2">
      <c r="A11" s="34" t="s">
        <v>339</v>
      </c>
      <c r="B11" s="58"/>
      <c r="C11" s="92">
        <v>10</v>
      </c>
      <c r="D11" s="4" t="s">
        <v>28</v>
      </c>
      <c r="E11" s="5" t="s">
        <v>9</v>
      </c>
      <c r="F11" s="5"/>
      <c r="G11" s="143" t="s">
        <v>415</v>
      </c>
      <c r="H11" s="10" t="s">
        <v>415</v>
      </c>
      <c r="I11" s="10" t="s">
        <v>51</v>
      </c>
      <c r="J11" s="131" t="s">
        <v>415</v>
      </c>
      <c r="K11" s="38"/>
      <c r="L11" s="16" t="s">
        <v>322</v>
      </c>
      <c r="M11" s="4" t="s">
        <v>314</v>
      </c>
      <c r="N11" s="41" t="s">
        <v>315</v>
      </c>
      <c r="O11" s="4" t="s">
        <v>29</v>
      </c>
      <c r="P11" s="10" t="s">
        <v>6</v>
      </c>
      <c r="Q11" s="5" t="s">
        <v>415</v>
      </c>
      <c r="R11" s="5" t="s">
        <v>415</v>
      </c>
      <c r="S11" s="5" t="s">
        <v>415</v>
      </c>
      <c r="T11" s="5" t="s">
        <v>415</v>
      </c>
      <c r="U11" s="43" t="s">
        <v>415</v>
      </c>
      <c r="V11" s="17"/>
      <c r="W11" s="17"/>
      <c r="X11" s="17"/>
      <c r="Y11" s="17"/>
      <c r="Z11" s="145"/>
      <c r="AA11" s="137"/>
      <c r="AB11" s="56"/>
      <c r="AC11" s="56"/>
      <c r="AD11" s="56"/>
      <c r="AE11" s="136"/>
      <c r="AF11" s="17"/>
      <c r="AG11" s="144"/>
      <c r="AH11" s="144"/>
      <c r="AI11" s="136"/>
      <c r="AJ11" s="384">
        <f ca="1">IF(OR($E11="Ecoinvent",$E11="Betonsortenrechner",$E11="KBOB",$V11&lt;=0,Table24[[#This Row],[VALID_TO]]&lt;=TODAY()),0,1)</f>
        <v>0</v>
      </c>
      <c r="AK11" s="144">
        <v>1</v>
      </c>
      <c r="AL11" s="144">
        <f ca="1">IF(AND(Table24[[#This Row],[ValidEPD]]&lt;&gt;0,Table24[[#This Row],[Man_Ausschluss]]&lt;&gt;0),1,0)</f>
        <v>0</v>
      </c>
      <c r="AM11" s="17" cm="1">
        <f t="array" aca="1" ref="AM11" ca="1">IF(Table24[[#This Row],[gültig]]&lt;&gt;0,
IF(
OR(
V11=MIN(_xlfn._xlws.FILTER($V$2:$V$298,($P$2:$P$298=P11)*($N$2:$N$298=N11)*($AL$2:$AL$298&lt;&gt;0))),
V11=MAX(_xlfn._xlws.FILTER($V$2:$V$298,($P$2:$P$298=P11)*($N$2:$N$298=N11)*($AL$2:$AL$298&lt;&gt;0))),
ROWS(_xlfn._xlws.FILTER($V$2:$V$298,($P$2:$P$298=P11)*($N$2:$N$298=N11)*($AL$2:$AL$298&lt;&gt;0)))&lt;=2
),1,0),0)</f>
        <v>0</v>
      </c>
      <c r="AN11" s="56"/>
      <c r="AO11" s="4"/>
      <c r="AP11" s="4"/>
    </row>
    <row r="12" spans="1:42" s="3" customFormat="1" x14ac:dyDescent="0.2">
      <c r="A12" s="34" t="s">
        <v>340</v>
      </c>
      <c r="B12" s="58"/>
      <c r="C12" s="92">
        <v>11</v>
      </c>
      <c r="D12" s="4" t="s">
        <v>39</v>
      </c>
      <c r="E12" s="5" t="s">
        <v>9</v>
      </c>
      <c r="F12" s="5"/>
      <c r="G12" s="143" t="s">
        <v>415</v>
      </c>
      <c r="H12" s="10" t="s">
        <v>415</v>
      </c>
      <c r="I12" s="10" t="s">
        <v>51</v>
      </c>
      <c r="J12" s="131" t="s">
        <v>415</v>
      </c>
      <c r="K12" s="38"/>
      <c r="L12" s="16" t="s">
        <v>322</v>
      </c>
      <c r="M12" s="4" t="s">
        <v>314</v>
      </c>
      <c r="N12" s="41" t="s">
        <v>315</v>
      </c>
      <c r="O12" s="4" t="s">
        <v>14</v>
      </c>
      <c r="P12" s="10" t="s">
        <v>11</v>
      </c>
      <c r="Q12" s="10">
        <v>2400</v>
      </c>
      <c r="R12" s="5" t="s">
        <v>415</v>
      </c>
      <c r="S12" s="5" t="s">
        <v>415</v>
      </c>
      <c r="T12" s="5" t="s">
        <v>415</v>
      </c>
      <c r="U12" s="43" t="s">
        <v>415</v>
      </c>
      <c r="V12" s="17">
        <f>SUM(Table24[[#This Row],[A1toA3_GWP]:[C1toC4_GWP]])</f>
        <v>89.583333333333329</v>
      </c>
      <c r="W12" s="17"/>
      <c r="X12" s="17"/>
      <c r="Y12" s="17">
        <f>Table24[[#This Row],[Total_GWP]]*Table24[[#This Row],[DENSITY]]/1000</f>
        <v>215</v>
      </c>
      <c r="Z12" s="144">
        <f>215/Table24[[#This Row],[DENSITY]]*1000</f>
        <v>89.583333333333329</v>
      </c>
      <c r="AA12" s="137" t="s">
        <v>415</v>
      </c>
      <c r="AB12" s="56"/>
      <c r="AC12" s="56"/>
      <c r="AD12" s="56"/>
      <c r="AE12" s="136"/>
      <c r="AF12" s="17"/>
      <c r="AG12" s="144"/>
      <c r="AH12" s="144"/>
      <c r="AI12" s="136"/>
      <c r="AJ12" s="384">
        <f ca="1">IF(OR($E12="Ecoinvent",$E12="Betonsortenrechner",$E12="KBOB",$V12&lt;=0,Table24[[#This Row],[VALID_TO]]&lt;=TODAY()),0,1)</f>
        <v>0</v>
      </c>
      <c r="AK12" s="144">
        <v>1</v>
      </c>
      <c r="AL12" s="144">
        <f ca="1">IF(AND(Table24[[#This Row],[ValidEPD]]&lt;&gt;0,Table24[[#This Row],[Man_Ausschluss]]&lt;&gt;0),1,0)</f>
        <v>0</v>
      </c>
      <c r="AM12" s="17" cm="1">
        <f t="array" aca="1" ref="AM12" ca="1">IF(Table24[[#This Row],[gültig]]&lt;&gt;0,
IF(
OR(
V12=MIN(_xlfn._xlws.FILTER($V$2:$V$298,($P$2:$P$298=P12)*($N$2:$N$298=N12)*($AL$2:$AL$298&lt;&gt;0))),
V12=MAX(_xlfn._xlws.FILTER($V$2:$V$298,($P$2:$P$298=P12)*($N$2:$N$298=N12)*($AL$2:$AL$298&lt;&gt;0))),
ROWS(_xlfn._xlws.FILTER($V$2:$V$298,($P$2:$P$298=P12)*($N$2:$N$298=N12)*($AL$2:$AL$298&lt;&gt;0)))&lt;=2
),1,0),0)</f>
        <v>0</v>
      </c>
      <c r="AN12" s="56"/>
      <c r="AO12" s="4"/>
      <c r="AP12" s="4"/>
    </row>
    <row r="13" spans="1:42" s="12" customFormat="1" x14ac:dyDescent="0.2">
      <c r="A13" s="146" t="s">
        <v>341</v>
      </c>
      <c r="B13" s="147"/>
      <c r="C13" s="93">
        <v>12</v>
      </c>
      <c r="D13" s="11" t="s">
        <v>415</v>
      </c>
      <c r="E13" s="148" t="s">
        <v>3</v>
      </c>
      <c r="F13" s="148"/>
      <c r="G13" s="149" t="s">
        <v>415</v>
      </c>
      <c r="H13" s="150" t="s">
        <v>415</v>
      </c>
      <c r="I13" s="150" t="s">
        <v>51</v>
      </c>
      <c r="J13" s="151" t="s">
        <v>415</v>
      </c>
      <c r="K13" s="152" t="s">
        <v>30</v>
      </c>
      <c r="L13" s="153" t="s">
        <v>322</v>
      </c>
      <c r="M13" s="11" t="s">
        <v>314</v>
      </c>
      <c r="N13" s="154" t="s">
        <v>315</v>
      </c>
      <c r="O13" s="11" t="s">
        <v>14</v>
      </c>
      <c r="P13" s="150" t="s">
        <v>27</v>
      </c>
      <c r="Q13" s="150">
        <v>2241</v>
      </c>
      <c r="R13" s="148" t="s">
        <v>415</v>
      </c>
      <c r="S13" s="148" t="s">
        <v>415</v>
      </c>
      <c r="T13" s="148" t="s">
        <v>415</v>
      </c>
      <c r="U13" s="155" t="s">
        <v>415</v>
      </c>
      <c r="V13" s="156">
        <f>SUM(Table24[[#This Row],[A1toA3_GWP]:[C1toC4_GWP]])</f>
        <v>102.36501561802767</v>
      </c>
      <c r="W13" s="156"/>
      <c r="X13" s="156"/>
      <c r="Y13" s="156">
        <f>Table24[[#This Row],[Total_GWP]]*Table24[[#This Row],[DENSITY]]/1000</f>
        <v>229.4</v>
      </c>
      <c r="Z13" s="157">
        <f>201/Table24[[#This Row],[DENSITY]]*1000</f>
        <v>89.692101740294518</v>
      </c>
      <c r="AA13" s="158">
        <f>28.4/Table24[[#This Row],[DENSITY]]*1000</f>
        <v>12.672913877733155</v>
      </c>
      <c r="AB13" s="159"/>
      <c r="AC13" s="159"/>
      <c r="AD13" s="159"/>
      <c r="AE13" s="160"/>
      <c r="AF13" s="156"/>
      <c r="AG13" s="157"/>
      <c r="AH13" s="157"/>
      <c r="AI13" s="160"/>
      <c r="AJ13" s="384">
        <f ca="1">IF(OR($E13="Ecoinvent",$E13="Betonsortenrechner",$E13="KBOB",$V13&lt;=0,Table24[[#This Row],[VALID_TO]]&lt;=TODAY()),0,1)</f>
        <v>0</v>
      </c>
      <c r="AK13" s="144">
        <v>1</v>
      </c>
      <c r="AL13" s="144">
        <f ca="1">IF(AND(Table24[[#This Row],[ValidEPD]]&lt;&gt;0,Table24[[#This Row],[Man_Ausschluss]]&lt;&gt;0),1,0)</f>
        <v>0</v>
      </c>
      <c r="AM13" s="17" cm="1">
        <f t="array" aca="1" ref="AM13" ca="1">IF(Table24[[#This Row],[gültig]]&lt;&gt;0,
IF(
OR(
V13=MIN(_xlfn._xlws.FILTER($V$2:$V$298,($P$2:$P$298=P13)*($N$2:$N$298=N13)*($AL$2:$AL$298&lt;&gt;0))),
V13=MAX(_xlfn._xlws.FILTER($V$2:$V$298,($P$2:$P$298=P13)*($N$2:$N$298=N13)*($AL$2:$AL$298&lt;&gt;0))),
ROWS(_xlfn._xlws.FILTER($V$2:$V$298,($P$2:$P$298=P13)*($N$2:$N$298=N13)*($AL$2:$AL$298&lt;&gt;0)))&lt;=2
),1,0),0)</f>
        <v>0</v>
      </c>
      <c r="AN13" s="56"/>
      <c r="AO13" s="11"/>
      <c r="AP13" s="11"/>
    </row>
    <row r="14" spans="1:42" s="12" customFormat="1" x14ac:dyDescent="0.2">
      <c r="A14" s="146" t="s">
        <v>342</v>
      </c>
      <c r="B14" s="147"/>
      <c r="C14" s="94">
        <v>13</v>
      </c>
      <c r="D14" s="11" t="s">
        <v>415</v>
      </c>
      <c r="E14" s="148" t="s">
        <v>3</v>
      </c>
      <c r="F14" s="148"/>
      <c r="G14" s="149" t="s">
        <v>415</v>
      </c>
      <c r="H14" s="150" t="s">
        <v>415</v>
      </c>
      <c r="I14" s="150" t="s">
        <v>51</v>
      </c>
      <c r="J14" s="151" t="s">
        <v>415</v>
      </c>
      <c r="K14" s="152" t="s">
        <v>30</v>
      </c>
      <c r="L14" s="153" t="s">
        <v>322</v>
      </c>
      <c r="M14" s="11" t="s">
        <v>314</v>
      </c>
      <c r="N14" s="154" t="s">
        <v>315</v>
      </c>
      <c r="O14" s="11" t="s">
        <v>2</v>
      </c>
      <c r="P14" s="150" t="s">
        <v>27</v>
      </c>
      <c r="Q14" s="150">
        <v>2241</v>
      </c>
      <c r="R14" s="148" t="s">
        <v>415</v>
      </c>
      <c r="S14" s="148" t="s">
        <v>415</v>
      </c>
      <c r="T14" s="148" t="s">
        <v>415</v>
      </c>
      <c r="U14" s="155" t="s">
        <v>415</v>
      </c>
      <c r="V14" s="156">
        <f>SUM(Table24[[#This Row],[A1toA3_GWP]:[C1toC4_GWP]])</f>
        <v>100.1338688085676</v>
      </c>
      <c r="W14" s="156"/>
      <c r="X14" s="156"/>
      <c r="Y14" s="156">
        <f>Table24[[#This Row],[Total_GWP]]*Table24[[#This Row],[DENSITY]]/1000</f>
        <v>224.4</v>
      </c>
      <c r="Z14" s="157">
        <f>196/Table24[[#This Row],[DENSITY]]*1000</f>
        <v>87.460954930834447</v>
      </c>
      <c r="AA14" s="158">
        <f>28.4/Table24[[#This Row],[DENSITY]]*1000</f>
        <v>12.672913877733155</v>
      </c>
      <c r="AB14" s="159"/>
      <c r="AC14" s="159"/>
      <c r="AD14" s="159"/>
      <c r="AE14" s="160"/>
      <c r="AF14" s="156"/>
      <c r="AG14" s="157"/>
      <c r="AH14" s="157"/>
      <c r="AI14" s="160"/>
      <c r="AJ14" s="384">
        <f ca="1">IF(OR($E14="Ecoinvent",$E14="Betonsortenrechner",$E14="KBOB",$V14&lt;=0,Table24[[#This Row],[VALID_TO]]&lt;=TODAY()),0,1)</f>
        <v>0</v>
      </c>
      <c r="AK14" s="144">
        <v>1</v>
      </c>
      <c r="AL14" s="144">
        <f ca="1">IF(AND(Table24[[#This Row],[ValidEPD]]&lt;&gt;0,Table24[[#This Row],[Man_Ausschluss]]&lt;&gt;0),1,0)</f>
        <v>0</v>
      </c>
      <c r="AM14" s="17" cm="1">
        <f t="array" aca="1" ref="AM14" ca="1">IF(Table24[[#This Row],[gültig]]&lt;&gt;0,
IF(
OR(
V14=MIN(_xlfn._xlws.FILTER($V$2:$V$298,($P$2:$P$298=P14)*($N$2:$N$298=N14)*($AL$2:$AL$298&lt;&gt;0))),
V14=MAX(_xlfn._xlws.FILTER($V$2:$V$298,($P$2:$P$298=P14)*($N$2:$N$298=N14)*($AL$2:$AL$298&lt;&gt;0))),
ROWS(_xlfn._xlws.FILTER($V$2:$V$298,($P$2:$P$298=P14)*($N$2:$N$298=N14)*($AL$2:$AL$298&lt;&gt;0)))&lt;=2
),1,0),0)</f>
        <v>0</v>
      </c>
      <c r="AN14" s="56"/>
      <c r="AO14" s="11"/>
      <c r="AP14" s="11"/>
    </row>
    <row r="15" spans="1:42" s="12" customFormat="1" x14ac:dyDescent="0.2">
      <c r="A15" s="146" t="s">
        <v>343</v>
      </c>
      <c r="B15" s="147"/>
      <c r="C15" s="94">
        <v>14</v>
      </c>
      <c r="D15" s="11" t="s">
        <v>415</v>
      </c>
      <c r="E15" s="148" t="s">
        <v>3</v>
      </c>
      <c r="F15" s="148"/>
      <c r="G15" s="149" t="s">
        <v>415</v>
      </c>
      <c r="H15" s="150" t="s">
        <v>415</v>
      </c>
      <c r="I15" s="150" t="s">
        <v>51</v>
      </c>
      <c r="J15" s="151" t="s">
        <v>415</v>
      </c>
      <c r="K15" s="152" t="s">
        <v>36</v>
      </c>
      <c r="L15" s="153" t="s">
        <v>322</v>
      </c>
      <c r="M15" s="11" t="s">
        <v>314</v>
      </c>
      <c r="N15" s="154" t="s">
        <v>315</v>
      </c>
      <c r="O15" s="11" t="s">
        <v>2</v>
      </c>
      <c r="P15" s="150" t="s">
        <v>27</v>
      </c>
      <c r="Q15" s="150">
        <v>2242</v>
      </c>
      <c r="R15" s="148" t="s">
        <v>415</v>
      </c>
      <c r="S15" s="148" t="s">
        <v>415</v>
      </c>
      <c r="T15" s="148" t="s">
        <v>415</v>
      </c>
      <c r="U15" s="155" t="s">
        <v>415</v>
      </c>
      <c r="V15" s="156">
        <f>SUM(Table24[[#This Row],[A1toA3_GWP]:[C1toC4_GWP]])</f>
        <v>100.08920606601248</v>
      </c>
      <c r="W15" s="156"/>
      <c r="X15" s="156"/>
      <c r="Y15" s="156">
        <f>Table24[[#This Row],[Total_GWP]]*Table24[[#This Row],[DENSITY]]/1000</f>
        <v>224.39999999999998</v>
      </c>
      <c r="Z15" s="157">
        <f>196/Table24[[#This Row],[DENSITY]]*1000</f>
        <v>87.421944692239066</v>
      </c>
      <c r="AA15" s="158">
        <f>28.4/Table24[[#This Row],[DENSITY]]*1000</f>
        <v>12.667261373773416</v>
      </c>
      <c r="AB15" s="159"/>
      <c r="AC15" s="159"/>
      <c r="AD15" s="159"/>
      <c r="AE15" s="160"/>
      <c r="AF15" s="156"/>
      <c r="AG15" s="157"/>
      <c r="AH15" s="157"/>
      <c r="AI15" s="160"/>
      <c r="AJ15" s="384">
        <f ca="1">IF(OR($E15="Ecoinvent",$E15="Betonsortenrechner",$E15="KBOB",$V15&lt;=0,Table24[[#This Row],[VALID_TO]]&lt;=TODAY()),0,1)</f>
        <v>0</v>
      </c>
      <c r="AK15" s="144">
        <v>1</v>
      </c>
      <c r="AL15" s="144">
        <f ca="1">IF(AND(Table24[[#This Row],[ValidEPD]]&lt;&gt;0,Table24[[#This Row],[Man_Ausschluss]]&lt;&gt;0),1,0)</f>
        <v>0</v>
      </c>
      <c r="AM15" s="17" cm="1">
        <f t="array" aca="1" ref="AM15" ca="1">IF(Table24[[#This Row],[gültig]]&lt;&gt;0,
IF(
OR(
V15=MIN(_xlfn._xlws.FILTER($V$2:$V$298,($P$2:$P$298=P15)*($N$2:$N$298=N15)*($AL$2:$AL$298&lt;&gt;0))),
V15=MAX(_xlfn._xlws.FILTER($V$2:$V$298,($P$2:$P$298=P15)*($N$2:$N$298=N15)*($AL$2:$AL$298&lt;&gt;0))),
ROWS(_xlfn._xlws.FILTER($V$2:$V$298,($P$2:$P$298=P15)*($N$2:$N$298=N15)*($AL$2:$AL$298&lt;&gt;0)))&lt;=2
),1,0),0)</f>
        <v>0</v>
      </c>
      <c r="AN15" s="56"/>
      <c r="AO15" s="11"/>
      <c r="AP15" s="11"/>
    </row>
    <row r="16" spans="1:42" s="12" customFormat="1" x14ac:dyDescent="0.2">
      <c r="A16" s="146" t="s">
        <v>344</v>
      </c>
      <c r="B16" s="147"/>
      <c r="C16" s="94">
        <v>15</v>
      </c>
      <c r="D16" s="11" t="s">
        <v>415</v>
      </c>
      <c r="E16" s="148" t="s">
        <v>3</v>
      </c>
      <c r="F16" s="148"/>
      <c r="G16" s="149" t="s">
        <v>415</v>
      </c>
      <c r="H16" s="150" t="s">
        <v>415</v>
      </c>
      <c r="I16" s="150" t="s">
        <v>51</v>
      </c>
      <c r="J16" s="151" t="s">
        <v>415</v>
      </c>
      <c r="K16" s="152" t="s">
        <v>37</v>
      </c>
      <c r="L16" s="153" t="s">
        <v>322</v>
      </c>
      <c r="M16" s="11" t="s">
        <v>314</v>
      </c>
      <c r="N16" s="154" t="s">
        <v>315</v>
      </c>
      <c r="O16" s="11" t="s">
        <v>2</v>
      </c>
      <c r="P16" s="150" t="s">
        <v>27</v>
      </c>
      <c r="Q16" s="150">
        <v>2242</v>
      </c>
      <c r="R16" s="148" t="s">
        <v>415</v>
      </c>
      <c r="S16" s="148" t="s">
        <v>415</v>
      </c>
      <c r="T16" s="148" t="s">
        <v>415</v>
      </c>
      <c r="U16" s="155" t="s">
        <v>415</v>
      </c>
      <c r="V16" s="156">
        <f>SUM(Table24[[#This Row],[A1toA3_GWP]:[C1toC4_GWP]])</f>
        <v>100.08920606601248</v>
      </c>
      <c r="W16" s="156"/>
      <c r="X16" s="156"/>
      <c r="Y16" s="156">
        <f>Table24[[#This Row],[Total_GWP]]*Table24[[#This Row],[DENSITY]]/1000</f>
        <v>224.39999999999998</v>
      </c>
      <c r="Z16" s="157">
        <f>196/Table24[[#This Row],[DENSITY]]*1000</f>
        <v>87.421944692239066</v>
      </c>
      <c r="AA16" s="158">
        <f>28.4/Table24[[#This Row],[DENSITY]]*1000</f>
        <v>12.667261373773416</v>
      </c>
      <c r="AB16" s="159"/>
      <c r="AC16" s="159"/>
      <c r="AD16" s="159"/>
      <c r="AE16" s="160"/>
      <c r="AF16" s="156"/>
      <c r="AG16" s="157"/>
      <c r="AH16" s="157"/>
      <c r="AI16" s="160"/>
      <c r="AJ16" s="384">
        <f ca="1">IF(OR($E16="Ecoinvent",$E16="Betonsortenrechner",$E16="KBOB",$V16&lt;=0,Table24[[#This Row],[VALID_TO]]&lt;=TODAY()),0,1)</f>
        <v>0</v>
      </c>
      <c r="AK16" s="144">
        <v>1</v>
      </c>
      <c r="AL16" s="144">
        <f ca="1">IF(AND(Table24[[#This Row],[ValidEPD]]&lt;&gt;0,Table24[[#This Row],[Man_Ausschluss]]&lt;&gt;0),1,0)</f>
        <v>0</v>
      </c>
      <c r="AM16" s="17" cm="1">
        <f t="array" aca="1" ref="AM16" ca="1">IF(Table24[[#This Row],[gültig]]&lt;&gt;0,
IF(
OR(
V16=MIN(_xlfn._xlws.FILTER($V$2:$V$298,($P$2:$P$298=P16)*($N$2:$N$298=N16)*($AL$2:$AL$298&lt;&gt;0))),
V16=MAX(_xlfn._xlws.FILTER($V$2:$V$298,($P$2:$P$298=P16)*($N$2:$N$298=N16)*($AL$2:$AL$298&lt;&gt;0))),
ROWS(_xlfn._xlws.FILTER($V$2:$V$298,($P$2:$P$298=P16)*($N$2:$N$298=N16)*($AL$2:$AL$298&lt;&gt;0)))&lt;=2
),1,0),0)</f>
        <v>0</v>
      </c>
      <c r="AN16" s="56"/>
      <c r="AO16" s="11"/>
      <c r="AP16" s="11"/>
    </row>
    <row r="17" spans="1:42" s="12" customFormat="1" x14ac:dyDescent="0.2">
      <c r="A17" s="146" t="s">
        <v>345</v>
      </c>
      <c r="B17" s="147"/>
      <c r="C17" s="94">
        <v>16</v>
      </c>
      <c r="D17" s="11" t="s">
        <v>415</v>
      </c>
      <c r="E17" s="148" t="s">
        <v>3</v>
      </c>
      <c r="F17" s="148"/>
      <c r="G17" s="149" t="s">
        <v>415</v>
      </c>
      <c r="H17" s="150" t="s">
        <v>415</v>
      </c>
      <c r="I17" s="150" t="s">
        <v>51</v>
      </c>
      <c r="J17" s="151" t="s">
        <v>415</v>
      </c>
      <c r="K17" s="152" t="s">
        <v>30</v>
      </c>
      <c r="L17" s="153" t="s">
        <v>322</v>
      </c>
      <c r="M17" s="11" t="s">
        <v>314</v>
      </c>
      <c r="N17" s="154" t="s">
        <v>315</v>
      </c>
      <c r="O17" s="11" t="s">
        <v>41</v>
      </c>
      <c r="P17" s="150" t="s">
        <v>27</v>
      </c>
      <c r="Q17" s="150">
        <v>2332</v>
      </c>
      <c r="R17" s="148" t="s">
        <v>415</v>
      </c>
      <c r="S17" s="148" t="s">
        <v>415</v>
      </c>
      <c r="T17" s="148" t="s">
        <v>415</v>
      </c>
      <c r="U17" s="155" t="s">
        <v>415</v>
      </c>
      <c r="V17" s="156">
        <f>SUM(Table24[[#This Row],[A1toA3_GWP]:[C1toC4_GWP]])</f>
        <v>90.651801029159515</v>
      </c>
      <c r="W17" s="156"/>
      <c r="X17" s="156"/>
      <c r="Y17" s="156">
        <f>Table24[[#This Row],[Total_GWP]]*Table24[[#This Row],[DENSITY]]/1000</f>
        <v>211.4</v>
      </c>
      <c r="Z17" s="157">
        <f>183/Table24[[#This Row],[DENSITY]]*1000</f>
        <v>78.473413379073747</v>
      </c>
      <c r="AA17" s="158">
        <f>28.4/Table24[[#This Row],[DENSITY]]*1000</f>
        <v>12.178387650085762</v>
      </c>
      <c r="AB17" s="159"/>
      <c r="AC17" s="159"/>
      <c r="AD17" s="159"/>
      <c r="AE17" s="160"/>
      <c r="AF17" s="156"/>
      <c r="AG17" s="157"/>
      <c r="AH17" s="157"/>
      <c r="AI17" s="160"/>
      <c r="AJ17" s="384">
        <f ca="1">IF(OR($E17="Ecoinvent",$E17="Betonsortenrechner",$E17="KBOB",$V17&lt;=0,Table24[[#This Row],[VALID_TO]]&lt;=TODAY()),0,1)</f>
        <v>0</v>
      </c>
      <c r="AK17" s="144">
        <v>1</v>
      </c>
      <c r="AL17" s="144">
        <f ca="1">IF(AND(Table24[[#This Row],[ValidEPD]]&lt;&gt;0,Table24[[#This Row],[Man_Ausschluss]]&lt;&gt;0),1,0)</f>
        <v>0</v>
      </c>
      <c r="AM17" s="17" cm="1">
        <f t="array" aca="1" ref="AM17" ca="1">IF(Table24[[#This Row],[gültig]]&lt;&gt;0,
IF(
OR(
V17=MIN(_xlfn._xlws.FILTER($V$2:$V$298,($P$2:$P$298=P17)*($N$2:$N$298=N17)*($AL$2:$AL$298&lt;&gt;0))),
V17=MAX(_xlfn._xlws.FILTER($V$2:$V$298,($P$2:$P$298=P17)*($N$2:$N$298=N17)*($AL$2:$AL$298&lt;&gt;0))),
ROWS(_xlfn._xlws.FILTER($V$2:$V$298,($P$2:$P$298=P17)*($N$2:$N$298=N17)*($AL$2:$AL$298&lt;&gt;0)))&lt;=2
),1,0),0)</f>
        <v>0</v>
      </c>
      <c r="AN17" s="56"/>
      <c r="AO17" s="11"/>
      <c r="AP17" s="11"/>
    </row>
    <row r="18" spans="1:42" s="12" customFormat="1" x14ac:dyDescent="0.2">
      <c r="A18" s="146" t="s">
        <v>346</v>
      </c>
      <c r="B18" s="147"/>
      <c r="C18" s="94">
        <v>17</v>
      </c>
      <c r="D18" s="11" t="s">
        <v>415</v>
      </c>
      <c r="E18" s="148" t="s">
        <v>3</v>
      </c>
      <c r="F18" s="148"/>
      <c r="G18" s="149" t="s">
        <v>415</v>
      </c>
      <c r="H18" s="150" t="s">
        <v>415</v>
      </c>
      <c r="I18" s="150" t="s">
        <v>51</v>
      </c>
      <c r="J18" s="151" t="s">
        <v>415</v>
      </c>
      <c r="K18" s="152" t="s">
        <v>33</v>
      </c>
      <c r="L18" s="153" t="s">
        <v>322</v>
      </c>
      <c r="M18" s="11" t="s">
        <v>314</v>
      </c>
      <c r="N18" s="154" t="s">
        <v>315</v>
      </c>
      <c r="O18" s="11" t="s">
        <v>2</v>
      </c>
      <c r="P18" s="150" t="s">
        <v>6</v>
      </c>
      <c r="Q18" s="150">
        <v>2242</v>
      </c>
      <c r="R18" s="148" t="s">
        <v>415</v>
      </c>
      <c r="S18" s="148" t="s">
        <v>415</v>
      </c>
      <c r="T18" s="148" t="s">
        <v>415</v>
      </c>
      <c r="U18" s="155" t="s">
        <v>415</v>
      </c>
      <c r="V18" s="156">
        <f>SUM(Table24[[#This Row],[A1toA3_GWP]:[C1toC4_GWP]])</f>
        <v>100.08920606601248</v>
      </c>
      <c r="W18" s="156"/>
      <c r="X18" s="156"/>
      <c r="Y18" s="156">
        <f>Table24[[#This Row],[Total_GWP]]*Table24[[#This Row],[DENSITY]]/1000</f>
        <v>224.39999999999998</v>
      </c>
      <c r="Z18" s="157">
        <f>196/Table24[[#This Row],[DENSITY]]*1000</f>
        <v>87.421944692239066</v>
      </c>
      <c r="AA18" s="158">
        <f>28.4/Table24[[#This Row],[DENSITY]]*1000</f>
        <v>12.667261373773416</v>
      </c>
      <c r="AB18" s="159"/>
      <c r="AC18" s="159"/>
      <c r="AD18" s="159"/>
      <c r="AE18" s="160"/>
      <c r="AF18" s="156"/>
      <c r="AG18" s="157"/>
      <c r="AH18" s="157"/>
      <c r="AI18" s="160"/>
      <c r="AJ18" s="384">
        <f ca="1">IF(OR($E18="Ecoinvent",$E18="Betonsortenrechner",$E18="KBOB",$V18&lt;=0,Table24[[#This Row],[VALID_TO]]&lt;=TODAY()),0,1)</f>
        <v>0</v>
      </c>
      <c r="AK18" s="144">
        <v>1</v>
      </c>
      <c r="AL18" s="144">
        <f ca="1">IF(AND(Table24[[#This Row],[ValidEPD]]&lt;&gt;0,Table24[[#This Row],[Man_Ausschluss]]&lt;&gt;0),1,0)</f>
        <v>0</v>
      </c>
      <c r="AM18" s="17" cm="1">
        <f t="array" aca="1" ref="AM18" ca="1">IF(Table24[[#This Row],[gültig]]&lt;&gt;0,
IF(
OR(
V18=MIN(_xlfn._xlws.FILTER($V$2:$V$298,($P$2:$P$298=P18)*($N$2:$N$298=N18)*($AL$2:$AL$298&lt;&gt;0))),
V18=MAX(_xlfn._xlws.FILTER($V$2:$V$298,($P$2:$P$298=P18)*($N$2:$N$298=N18)*($AL$2:$AL$298&lt;&gt;0))),
ROWS(_xlfn._xlws.FILTER($V$2:$V$298,($P$2:$P$298=P18)*($N$2:$N$298=N18)*($AL$2:$AL$298&lt;&gt;0)))&lt;=2
),1,0),0)</f>
        <v>0</v>
      </c>
      <c r="AN18" s="56"/>
      <c r="AO18" s="11"/>
      <c r="AP18" s="11"/>
    </row>
    <row r="19" spans="1:42" s="12" customFormat="1" x14ac:dyDescent="0.2">
      <c r="A19" s="146" t="s">
        <v>347</v>
      </c>
      <c r="B19" s="147"/>
      <c r="C19" s="94">
        <v>18</v>
      </c>
      <c r="D19" s="11" t="s">
        <v>415</v>
      </c>
      <c r="E19" s="148" t="s">
        <v>3</v>
      </c>
      <c r="F19" s="148"/>
      <c r="G19" s="149" t="s">
        <v>415</v>
      </c>
      <c r="H19" s="150" t="s">
        <v>415</v>
      </c>
      <c r="I19" s="150" t="s">
        <v>51</v>
      </c>
      <c r="J19" s="151" t="s">
        <v>415</v>
      </c>
      <c r="K19" s="152" t="s">
        <v>40</v>
      </c>
      <c r="L19" s="153" t="s">
        <v>322</v>
      </c>
      <c r="M19" s="11" t="s">
        <v>314</v>
      </c>
      <c r="N19" s="154" t="s">
        <v>315</v>
      </c>
      <c r="O19" s="11" t="s">
        <v>2</v>
      </c>
      <c r="P19" s="150" t="s">
        <v>6</v>
      </c>
      <c r="Q19" s="150">
        <v>2242</v>
      </c>
      <c r="R19" s="148" t="s">
        <v>415</v>
      </c>
      <c r="S19" s="148" t="s">
        <v>415</v>
      </c>
      <c r="T19" s="148" t="s">
        <v>415</v>
      </c>
      <c r="U19" s="155" t="s">
        <v>415</v>
      </c>
      <c r="V19" s="156">
        <f>SUM(Table24[[#This Row],[A1toA3_GWP]:[C1toC4_GWP]])</f>
        <v>100.08920606601248</v>
      </c>
      <c r="W19" s="156"/>
      <c r="X19" s="156"/>
      <c r="Y19" s="156">
        <f>Table24[[#This Row],[Total_GWP]]*Table24[[#This Row],[DENSITY]]/1000</f>
        <v>224.39999999999998</v>
      </c>
      <c r="Z19" s="157">
        <f>196/Table24[[#This Row],[DENSITY]]*1000</f>
        <v>87.421944692239066</v>
      </c>
      <c r="AA19" s="158">
        <f>28.4/Table24[[#This Row],[DENSITY]]*1000</f>
        <v>12.667261373773416</v>
      </c>
      <c r="AB19" s="159"/>
      <c r="AC19" s="159"/>
      <c r="AD19" s="159"/>
      <c r="AE19" s="160"/>
      <c r="AF19" s="156"/>
      <c r="AG19" s="157"/>
      <c r="AH19" s="157"/>
      <c r="AI19" s="160"/>
      <c r="AJ19" s="384">
        <f ca="1">IF(OR($E19="Ecoinvent",$E19="Betonsortenrechner",$E19="KBOB",$V19&lt;=0,Table24[[#This Row],[VALID_TO]]&lt;=TODAY()),0,1)</f>
        <v>0</v>
      </c>
      <c r="AK19" s="144">
        <v>1</v>
      </c>
      <c r="AL19" s="144">
        <f ca="1">IF(AND(Table24[[#This Row],[ValidEPD]]&lt;&gt;0,Table24[[#This Row],[Man_Ausschluss]]&lt;&gt;0),1,0)</f>
        <v>0</v>
      </c>
      <c r="AM19" s="17" cm="1">
        <f t="array" aca="1" ref="AM19" ca="1">IF(Table24[[#This Row],[gültig]]&lt;&gt;0,
IF(
OR(
V19=MIN(_xlfn._xlws.FILTER($V$2:$V$298,($P$2:$P$298=P19)*($N$2:$N$298=N19)*($AL$2:$AL$298&lt;&gt;0))),
V19=MAX(_xlfn._xlws.FILTER($V$2:$V$298,($P$2:$P$298=P19)*($N$2:$N$298=N19)*($AL$2:$AL$298&lt;&gt;0))),
ROWS(_xlfn._xlws.FILTER($V$2:$V$298,($P$2:$P$298=P19)*($N$2:$N$298=N19)*($AL$2:$AL$298&lt;&gt;0)))&lt;=2
),1,0),0)</f>
        <v>0</v>
      </c>
      <c r="AN19" s="56"/>
      <c r="AO19" s="11"/>
      <c r="AP19" s="11"/>
    </row>
    <row r="20" spans="1:42" s="12" customFormat="1" x14ac:dyDescent="0.2">
      <c r="A20" s="146" t="s">
        <v>348</v>
      </c>
      <c r="B20" s="147"/>
      <c r="C20" s="94">
        <v>19</v>
      </c>
      <c r="D20" s="11" t="s">
        <v>415</v>
      </c>
      <c r="E20" s="148" t="s">
        <v>3</v>
      </c>
      <c r="F20" s="148"/>
      <c r="G20" s="149" t="s">
        <v>415</v>
      </c>
      <c r="H20" s="150" t="s">
        <v>415</v>
      </c>
      <c r="I20" s="150" t="s">
        <v>51</v>
      </c>
      <c r="J20" s="151" t="s">
        <v>415</v>
      </c>
      <c r="K20" s="152" t="s">
        <v>5</v>
      </c>
      <c r="L20" s="153" t="s">
        <v>322</v>
      </c>
      <c r="M20" s="11" t="s">
        <v>314</v>
      </c>
      <c r="N20" s="154" t="s">
        <v>315</v>
      </c>
      <c r="O20" s="11" t="s">
        <v>2</v>
      </c>
      <c r="P20" s="150" t="s">
        <v>6</v>
      </c>
      <c r="Q20" s="150">
        <v>2242</v>
      </c>
      <c r="R20" s="148" t="s">
        <v>415</v>
      </c>
      <c r="S20" s="148" t="s">
        <v>415</v>
      </c>
      <c r="T20" s="148" t="s">
        <v>415</v>
      </c>
      <c r="U20" s="155" t="s">
        <v>415</v>
      </c>
      <c r="V20" s="156">
        <f>SUM(Table24[[#This Row],[A1toA3_GWP]:[C1toC4_GWP]])</f>
        <v>100.08920606601248</v>
      </c>
      <c r="W20" s="156"/>
      <c r="X20" s="156"/>
      <c r="Y20" s="156">
        <f>Table24[[#This Row],[Total_GWP]]*Table24[[#This Row],[DENSITY]]/1000</f>
        <v>224.39999999999998</v>
      </c>
      <c r="Z20" s="157">
        <f>196/Table24[[#This Row],[DENSITY]]*1000</f>
        <v>87.421944692239066</v>
      </c>
      <c r="AA20" s="158">
        <f>28.4/Table24[[#This Row],[DENSITY]]*1000</f>
        <v>12.667261373773416</v>
      </c>
      <c r="AB20" s="159"/>
      <c r="AC20" s="159"/>
      <c r="AD20" s="159"/>
      <c r="AE20" s="160"/>
      <c r="AF20" s="156"/>
      <c r="AG20" s="157"/>
      <c r="AH20" s="157"/>
      <c r="AI20" s="160"/>
      <c r="AJ20" s="384">
        <f ca="1">IF(OR($E20="Ecoinvent",$E20="Betonsortenrechner",$E20="KBOB",$V20&lt;=0,Table24[[#This Row],[VALID_TO]]&lt;=TODAY()),0,1)</f>
        <v>0</v>
      </c>
      <c r="AK20" s="144">
        <v>1</v>
      </c>
      <c r="AL20" s="144">
        <f ca="1">IF(AND(Table24[[#This Row],[ValidEPD]]&lt;&gt;0,Table24[[#This Row],[Man_Ausschluss]]&lt;&gt;0),1,0)</f>
        <v>0</v>
      </c>
      <c r="AM20" s="17" cm="1">
        <f t="array" aca="1" ref="AM20" ca="1">IF(Table24[[#This Row],[gültig]]&lt;&gt;0,
IF(
OR(
V20=MIN(_xlfn._xlws.FILTER($V$2:$V$298,($P$2:$P$298=P20)*($N$2:$N$298=N20)*($AL$2:$AL$298&lt;&gt;0))),
V20=MAX(_xlfn._xlws.FILTER($V$2:$V$298,($P$2:$P$298=P20)*($N$2:$N$298=N20)*($AL$2:$AL$298&lt;&gt;0))),
ROWS(_xlfn._xlws.FILTER($V$2:$V$298,($P$2:$P$298=P20)*($N$2:$N$298=N20)*($AL$2:$AL$298&lt;&gt;0)))&lt;=2
),1,0),0)</f>
        <v>0</v>
      </c>
      <c r="AN20" s="56"/>
      <c r="AO20" s="11"/>
      <c r="AP20" s="11"/>
    </row>
    <row r="21" spans="1:42" s="12" customFormat="1" x14ac:dyDescent="0.2">
      <c r="A21" s="146" t="s">
        <v>349</v>
      </c>
      <c r="B21" s="147"/>
      <c r="C21" s="94">
        <v>20</v>
      </c>
      <c r="D21" s="11" t="s">
        <v>415</v>
      </c>
      <c r="E21" s="148" t="s">
        <v>3</v>
      </c>
      <c r="F21" s="148"/>
      <c r="G21" s="149" t="s">
        <v>415</v>
      </c>
      <c r="H21" s="150" t="s">
        <v>415</v>
      </c>
      <c r="I21" s="150" t="s">
        <v>51</v>
      </c>
      <c r="J21" s="151" t="s">
        <v>415</v>
      </c>
      <c r="K21" s="152" t="s">
        <v>33</v>
      </c>
      <c r="L21" s="153" t="s">
        <v>322</v>
      </c>
      <c r="M21" s="11" t="s">
        <v>314</v>
      </c>
      <c r="N21" s="154" t="s">
        <v>315</v>
      </c>
      <c r="O21" s="11" t="s">
        <v>41</v>
      </c>
      <c r="P21" s="150" t="s">
        <v>6</v>
      </c>
      <c r="Q21" s="150">
        <v>2242</v>
      </c>
      <c r="R21" s="148" t="s">
        <v>415</v>
      </c>
      <c r="S21" s="148" t="s">
        <v>415</v>
      </c>
      <c r="T21" s="148" t="s">
        <v>415</v>
      </c>
      <c r="U21" s="155" t="s">
        <v>415</v>
      </c>
      <c r="V21" s="156">
        <f>SUM(Table24[[#This Row],[A1toA3_GWP]:[C1toC4_GWP]])</f>
        <v>94.736842105263165</v>
      </c>
      <c r="W21" s="156"/>
      <c r="X21" s="156"/>
      <c r="Y21" s="156">
        <f>Table24[[#This Row],[Total_GWP]]*Table24[[#This Row],[DENSITY]]/1000</f>
        <v>212.40000000000003</v>
      </c>
      <c r="Z21" s="157">
        <f>184/Table24[[#This Row],[DENSITY]]*1000</f>
        <v>82.069580731489751</v>
      </c>
      <c r="AA21" s="158">
        <f>28.4/Table24[[#This Row],[DENSITY]]*1000</f>
        <v>12.667261373773416</v>
      </c>
      <c r="AB21" s="159"/>
      <c r="AC21" s="159"/>
      <c r="AD21" s="159"/>
      <c r="AE21" s="160"/>
      <c r="AF21" s="156"/>
      <c r="AG21" s="157"/>
      <c r="AH21" s="157"/>
      <c r="AI21" s="160"/>
      <c r="AJ21" s="384">
        <f ca="1">IF(OR($E21="Ecoinvent",$E21="Betonsortenrechner",$E21="KBOB",$V21&lt;=0,Table24[[#This Row],[VALID_TO]]&lt;=TODAY()),0,1)</f>
        <v>0</v>
      </c>
      <c r="AK21" s="144">
        <v>1</v>
      </c>
      <c r="AL21" s="144">
        <f ca="1">IF(AND(Table24[[#This Row],[ValidEPD]]&lt;&gt;0,Table24[[#This Row],[Man_Ausschluss]]&lt;&gt;0),1,0)</f>
        <v>0</v>
      </c>
      <c r="AM21" s="17" cm="1">
        <f t="array" aca="1" ref="AM21" ca="1">IF(Table24[[#This Row],[gültig]]&lt;&gt;0,
IF(
OR(
V21=MIN(_xlfn._xlws.FILTER($V$2:$V$298,($P$2:$P$298=P21)*($N$2:$N$298=N21)*($AL$2:$AL$298&lt;&gt;0))),
V21=MAX(_xlfn._xlws.FILTER($V$2:$V$298,($P$2:$P$298=P21)*($N$2:$N$298=N21)*($AL$2:$AL$298&lt;&gt;0))),
ROWS(_xlfn._xlws.FILTER($V$2:$V$298,($P$2:$P$298=P21)*($N$2:$N$298=N21)*($AL$2:$AL$298&lt;&gt;0)))&lt;=2
),1,0),0)</f>
        <v>0</v>
      </c>
      <c r="AN21" s="56"/>
      <c r="AO21" s="11"/>
      <c r="AP21" s="11"/>
    </row>
    <row r="22" spans="1:42" s="12" customFormat="1" x14ac:dyDescent="0.2">
      <c r="A22" s="146" t="s">
        <v>350</v>
      </c>
      <c r="B22" s="147"/>
      <c r="C22" s="94">
        <v>21</v>
      </c>
      <c r="D22" s="11" t="s">
        <v>415</v>
      </c>
      <c r="E22" s="148" t="s">
        <v>3</v>
      </c>
      <c r="F22" s="148"/>
      <c r="G22" s="149" t="s">
        <v>415</v>
      </c>
      <c r="H22" s="150" t="s">
        <v>415</v>
      </c>
      <c r="I22" s="150" t="s">
        <v>51</v>
      </c>
      <c r="J22" s="151" t="s">
        <v>415</v>
      </c>
      <c r="K22" s="152" t="s">
        <v>35</v>
      </c>
      <c r="L22" s="153" t="s">
        <v>322</v>
      </c>
      <c r="M22" s="11" t="s">
        <v>314</v>
      </c>
      <c r="N22" s="154" t="s">
        <v>315</v>
      </c>
      <c r="O22" s="11" t="s">
        <v>2</v>
      </c>
      <c r="P22" s="150" t="s">
        <v>11</v>
      </c>
      <c r="Q22" s="150">
        <v>2332</v>
      </c>
      <c r="R22" s="148" t="s">
        <v>415</v>
      </c>
      <c r="S22" s="148" t="s">
        <v>415</v>
      </c>
      <c r="T22" s="148" t="s">
        <v>415</v>
      </c>
      <c r="U22" s="155" t="s">
        <v>415</v>
      </c>
      <c r="V22" s="156">
        <f>SUM(Table24[[#This Row],[A1toA3_GWP]:[C1toC4_GWP]])</f>
        <v>102.22984562607205</v>
      </c>
      <c r="W22" s="156"/>
      <c r="X22" s="156"/>
      <c r="Y22" s="156">
        <f>Table24[[#This Row],[Total_GWP]]*Table24[[#This Row],[DENSITY]]/1000</f>
        <v>238.40000000000003</v>
      </c>
      <c r="Z22" s="157">
        <f>210/Table24[[#This Row],[DENSITY]]*1000</f>
        <v>90.051457975986281</v>
      </c>
      <c r="AA22" s="158">
        <f>28.4/Table24[[#This Row],[DENSITY]]*1000</f>
        <v>12.178387650085762</v>
      </c>
      <c r="AB22" s="159"/>
      <c r="AC22" s="159"/>
      <c r="AD22" s="159"/>
      <c r="AE22" s="160"/>
      <c r="AF22" s="156"/>
      <c r="AG22" s="157"/>
      <c r="AH22" s="157"/>
      <c r="AI22" s="160"/>
      <c r="AJ22" s="384">
        <f ca="1">IF(OR($E22="Ecoinvent",$E22="Betonsortenrechner",$E22="KBOB",$V22&lt;=0,Table24[[#This Row],[VALID_TO]]&lt;=TODAY()),0,1)</f>
        <v>0</v>
      </c>
      <c r="AK22" s="144">
        <v>1</v>
      </c>
      <c r="AL22" s="144">
        <f ca="1">IF(AND(Table24[[#This Row],[ValidEPD]]&lt;&gt;0,Table24[[#This Row],[Man_Ausschluss]]&lt;&gt;0),1,0)</f>
        <v>0</v>
      </c>
      <c r="AM22" s="17" cm="1">
        <f t="array" aca="1" ref="AM22" ca="1">IF(Table24[[#This Row],[gültig]]&lt;&gt;0,
IF(
OR(
V22=MIN(_xlfn._xlws.FILTER($V$2:$V$298,($P$2:$P$298=P22)*($N$2:$N$298=N22)*($AL$2:$AL$298&lt;&gt;0))),
V22=MAX(_xlfn._xlws.FILTER($V$2:$V$298,($P$2:$P$298=P22)*($N$2:$N$298=N22)*($AL$2:$AL$298&lt;&gt;0))),
ROWS(_xlfn._xlws.FILTER($V$2:$V$298,($P$2:$P$298=P22)*($N$2:$N$298=N22)*($AL$2:$AL$298&lt;&gt;0)))&lt;=2
),1,0),0)</f>
        <v>0</v>
      </c>
      <c r="AN22" s="56"/>
      <c r="AO22" s="11"/>
      <c r="AP22" s="11"/>
    </row>
    <row r="23" spans="1:42" s="12" customFormat="1" x14ac:dyDescent="0.2">
      <c r="A23" s="146" t="s">
        <v>351</v>
      </c>
      <c r="B23" s="147"/>
      <c r="C23" s="94">
        <v>22</v>
      </c>
      <c r="D23" s="11" t="s">
        <v>415</v>
      </c>
      <c r="E23" s="148" t="s">
        <v>3</v>
      </c>
      <c r="F23" s="148"/>
      <c r="G23" s="149" t="s">
        <v>415</v>
      </c>
      <c r="H23" s="150" t="s">
        <v>415</v>
      </c>
      <c r="I23" s="150" t="s">
        <v>51</v>
      </c>
      <c r="J23" s="151" t="s">
        <v>415</v>
      </c>
      <c r="K23" s="152" t="s">
        <v>35</v>
      </c>
      <c r="L23" s="153" t="s">
        <v>322</v>
      </c>
      <c r="M23" s="11" t="s">
        <v>314</v>
      </c>
      <c r="N23" s="154" t="s">
        <v>315</v>
      </c>
      <c r="O23" s="11" t="s">
        <v>41</v>
      </c>
      <c r="P23" s="150" t="s">
        <v>11</v>
      </c>
      <c r="Q23" s="150">
        <v>2332</v>
      </c>
      <c r="R23" s="148" t="s">
        <v>415</v>
      </c>
      <c r="S23" s="148" t="s">
        <v>415</v>
      </c>
      <c r="T23" s="148" t="s">
        <v>415</v>
      </c>
      <c r="U23" s="155" t="s">
        <v>415</v>
      </c>
      <c r="V23" s="156">
        <f>SUM(Table24[[#This Row],[A1toA3_GWP]:[C1toC4_GWP]])</f>
        <v>96.655231560891949</v>
      </c>
      <c r="W23" s="156"/>
      <c r="X23" s="156"/>
      <c r="Y23" s="156">
        <f>Table24[[#This Row],[Total_GWP]]*Table24[[#This Row],[DENSITY]]/1000</f>
        <v>225.40000000000003</v>
      </c>
      <c r="Z23" s="157">
        <f>197/Table24[[#This Row],[DENSITY]]*1000</f>
        <v>84.476843910806181</v>
      </c>
      <c r="AA23" s="158">
        <f>28.4/Table24[[#This Row],[DENSITY]]*1000</f>
        <v>12.178387650085762</v>
      </c>
      <c r="AB23" s="159"/>
      <c r="AC23" s="159"/>
      <c r="AD23" s="159"/>
      <c r="AE23" s="160"/>
      <c r="AF23" s="156"/>
      <c r="AG23" s="157"/>
      <c r="AH23" s="157"/>
      <c r="AI23" s="160"/>
      <c r="AJ23" s="384">
        <f ca="1">IF(OR($E23="Ecoinvent",$E23="Betonsortenrechner",$E23="KBOB",$V23&lt;=0,Table24[[#This Row],[VALID_TO]]&lt;=TODAY()),0,1)</f>
        <v>0</v>
      </c>
      <c r="AK23" s="144">
        <v>1</v>
      </c>
      <c r="AL23" s="144">
        <f ca="1">IF(AND(Table24[[#This Row],[ValidEPD]]&lt;&gt;0,Table24[[#This Row],[Man_Ausschluss]]&lt;&gt;0),1,0)</f>
        <v>0</v>
      </c>
      <c r="AM23" s="17" cm="1">
        <f t="array" aca="1" ref="AM23" ca="1">IF(Table24[[#This Row],[gültig]]&lt;&gt;0,
IF(
OR(
V23=MIN(_xlfn._xlws.FILTER($V$2:$V$298,($P$2:$P$298=P23)*($N$2:$N$298=N23)*($AL$2:$AL$298&lt;&gt;0))),
V23=MAX(_xlfn._xlws.FILTER($V$2:$V$298,($P$2:$P$298=P23)*($N$2:$N$298=N23)*($AL$2:$AL$298&lt;&gt;0))),
ROWS(_xlfn._xlws.FILTER($V$2:$V$298,($P$2:$P$298=P23)*($N$2:$N$298=N23)*($AL$2:$AL$298&lt;&gt;0)))&lt;=2
),1,0),0)</f>
        <v>0</v>
      </c>
      <c r="AN23" s="56"/>
      <c r="AO23" s="11"/>
      <c r="AP23" s="11"/>
    </row>
    <row r="24" spans="1:42" x14ac:dyDescent="0.2">
      <c r="A24" s="161" t="s">
        <v>192</v>
      </c>
      <c r="B24" s="9"/>
      <c r="C24" s="95">
        <v>23</v>
      </c>
      <c r="D24" s="1" t="s">
        <v>31</v>
      </c>
      <c r="E24" s="162" t="s">
        <v>42</v>
      </c>
      <c r="F24" s="162"/>
      <c r="G24" s="163">
        <v>45068</v>
      </c>
      <c r="H24" s="163">
        <v>46894</v>
      </c>
      <c r="I24" s="84" t="s">
        <v>51</v>
      </c>
      <c r="J24" s="164" t="s">
        <v>51</v>
      </c>
      <c r="K24" s="165" t="s">
        <v>30</v>
      </c>
      <c r="L24" s="166" t="s">
        <v>322</v>
      </c>
      <c r="M24" s="1" t="s">
        <v>314</v>
      </c>
      <c r="N24" s="167" t="s">
        <v>315</v>
      </c>
      <c r="O24" s="1" t="s">
        <v>415</v>
      </c>
      <c r="P24" s="84" t="s">
        <v>27</v>
      </c>
      <c r="Q24" s="84">
        <v>2440</v>
      </c>
      <c r="R24" s="162" t="s">
        <v>43</v>
      </c>
      <c r="S24" s="162">
        <v>32</v>
      </c>
      <c r="T24" s="162">
        <v>0.1</v>
      </c>
      <c r="U24" s="168" t="s">
        <v>44</v>
      </c>
      <c r="V24" s="81">
        <f>SUM(Table24[[#This Row],[A1toA3_GWP]:[C1toC4_GWP]])</f>
        <v>77.002049180327873</v>
      </c>
      <c r="W24" s="81"/>
      <c r="X24" s="81"/>
      <c r="Y24" s="81">
        <f>Table24[[#This Row],[Total_GWP]]*Table24[[#This Row],[DENSITY]]/1000</f>
        <v>187.88499999999999</v>
      </c>
      <c r="Z24" s="129">
        <f>170.624/Table24[[#This Row],[DENSITY]]*1000</f>
        <v>69.927868852459014</v>
      </c>
      <c r="AA24" s="72">
        <f>(7.278+9.774+0.209)/Table24[[#This Row],[DENSITY]]*1000</f>
        <v>7.0741803278688522</v>
      </c>
      <c r="AB24" s="73"/>
      <c r="AC24" s="73"/>
      <c r="AD24" s="73"/>
      <c r="AE24" s="75"/>
      <c r="AF24" s="107"/>
      <c r="AG24" s="129"/>
      <c r="AH24" s="129"/>
      <c r="AI24" s="75"/>
      <c r="AJ24" s="384">
        <f ca="1">IF(OR($E24="Ecoinvent",$E24="Betonsortenrechner",$E24="KBOB",$V24&lt;=0,Table24[[#This Row],[VALID_TO]]&lt;=TODAY()),0,1)</f>
        <v>1</v>
      </c>
      <c r="AK24" s="144">
        <v>1</v>
      </c>
      <c r="AL24" s="144">
        <f ca="1">IF(AND(Table24[[#This Row],[ValidEPD]]&lt;&gt;0,Table24[[#This Row],[Man_Ausschluss]]&lt;&gt;0),1,0)</f>
        <v>1</v>
      </c>
      <c r="AM24" s="17" cm="1">
        <f t="array" aca="1" ref="AM24" ca="1">IF(Table24[[#This Row],[gültig]]&lt;&gt;0,
IF(
OR(
V24=MIN(_xlfn._xlws.FILTER($V$2:$V$298,($P$2:$P$298=P24)*($N$2:$N$298=N24)*($AL$2:$AL$298&lt;&gt;0))),
V24=MAX(_xlfn._xlws.FILTER($V$2:$V$298,($P$2:$P$298=P24)*($N$2:$N$298=N24)*($AL$2:$AL$298&lt;&gt;0))),
ROWS(_xlfn._xlws.FILTER($V$2:$V$298,($P$2:$P$298=P24)*($N$2:$N$298=N24)*($AL$2:$AL$298&lt;&gt;0)))&lt;=2
),1,0),0)</f>
        <v>1</v>
      </c>
      <c r="AN24" s="56"/>
      <c r="AO24" s="1"/>
      <c r="AP24" s="1"/>
    </row>
    <row r="25" spans="1:42" x14ac:dyDescent="0.2">
      <c r="A25" s="161" t="s">
        <v>193</v>
      </c>
      <c r="B25" s="9"/>
      <c r="C25" s="96">
        <v>24</v>
      </c>
      <c r="D25" s="1" t="s">
        <v>32</v>
      </c>
      <c r="E25" s="162" t="s">
        <v>42</v>
      </c>
      <c r="F25" s="162"/>
      <c r="G25" s="163">
        <v>45068</v>
      </c>
      <c r="H25" s="163">
        <v>46894</v>
      </c>
      <c r="I25" s="84" t="s">
        <v>51</v>
      </c>
      <c r="J25" s="164" t="s">
        <v>51</v>
      </c>
      <c r="K25" s="165" t="s">
        <v>33</v>
      </c>
      <c r="L25" s="166" t="s">
        <v>322</v>
      </c>
      <c r="M25" s="1" t="s">
        <v>314</v>
      </c>
      <c r="N25" s="167" t="s">
        <v>315</v>
      </c>
      <c r="O25" s="1" t="s">
        <v>415</v>
      </c>
      <c r="P25" s="84" t="s">
        <v>6</v>
      </c>
      <c r="Q25" s="84">
        <v>2439</v>
      </c>
      <c r="R25" s="162" t="s">
        <v>80</v>
      </c>
      <c r="S25" s="162">
        <v>32</v>
      </c>
      <c r="T25" s="162">
        <v>0.1</v>
      </c>
      <c r="U25" s="168" t="s">
        <v>44</v>
      </c>
      <c r="V25" s="81">
        <f>SUM(Table24[[#This Row],[A1toA3_GWP]:[C1toC4_GWP]])</f>
        <v>78.746617466174669</v>
      </c>
      <c r="W25" s="81"/>
      <c r="X25" s="81"/>
      <c r="Y25" s="81">
        <f>Table24[[#This Row],[Total_GWP]]*Table24[[#This Row],[DENSITY]]/1000</f>
        <v>192.06300000000002</v>
      </c>
      <c r="Z25" s="129">
        <f>174.764/Table24[[#This Row],[DENSITY]]*1000</f>
        <v>71.653956539565399</v>
      </c>
      <c r="AA25" s="72">
        <f>(7.278+9.812+0.209)/Table24[[#This Row],[DENSITY]]*1000</f>
        <v>7.0926609266092653</v>
      </c>
      <c r="AB25" s="73"/>
      <c r="AC25" s="73"/>
      <c r="AD25" s="73"/>
      <c r="AE25" s="75"/>
      <c r="AF25" s="107"/>
      <c r="AG25" s="129"/>
      <c r="AH25" s="129"/>
      <c r="AI25" s="75"/>
      <c r="AJ25" s="384">
        <f ca="1">IF(OR($E25="Ecoinvent",$E25="Betonsortenrechner",$E25="KBOB",$V25&lt;=0,Table24[[#This Row],[VALID_TO]]&lt;=TODAY()),0,1)</f>
        <v>1</v>
      </c>
      <c r="AK25" s="144">
        <v>1</v>
      </c>
      <c r="AL25" s="144">
        <f ca="1">IF(AND(Table24[[#This Row],[ValidEPD]]&lt;&gt;0,Table24[[#This Row],[Man_Ausschluss]]&lt;&gt;0),1,0)</f>
        <v>1</v>
      </c>
      <c r="AM25" s="17" cm="1">
        <f t="array" aca="1" ref="AM25" ca="1">IF(Table24[[#This Row],[gültig]]&lt;&gt;0,
IF(
OR(
V25=MIN(_xlfn._xlws.FILTER($V$2:$V$298,($P$2:$P$298=P25)*($N$2:$N$298=N25)*($AL$2:$AL$298&lt;&gt;0))),
V25=MAX(_xlfn._xlws.FILTER($V$2:$V$298,($P$2:$P$298=P25)*($N$2:$N$298=N25)*($AL$2:$AL$298&lt;&gt;0))),
ROWS(_xlfn._xlws.FILTER($V$2:$V$298,($P$2:$P$298=P25)*($N$2:$N$298=N25)*($AL$2:$AL$298&lt;&gt;0)))&lt;=2
),1,0),0)</f>
        <v>0</v>
      </c>
      <c r="AN25" s="56"/>
      <c r="AO25" s="1"/>
      <c r="AP25" s="1"/>
    </row>
    <row r="26" spans="1:42" x14ac:dyDescent="0.2">
      <c r="A26" s="161" t="s">
        <v>194</v>
      </c>
      <c r="B26" s="9"/>
      <c r="C26" s="96">
        <v>25</v>
      </c>
      <c r="D26" s="1" t="s">
        <v>34</v>
      </c>
      <c r="E26" s="162" t="s">
        <v>42</v>
      </c>
      <c r="F26" s="162"/>
      <c r="G26" s="163">
        <v>45068</v>
      </c>
      <c r="H26" s="163">
        <v>46894</v>
      </c>
      <c r="I26" s="84" t="s">
        <v>51</v>
      </c>
      <c r="J26" s="164" t="s">
        <v>51</v>
      </c>
      <c r="K26" s="165" t="s">
        <v>35</v>
      </c>
      <c r="L26" s="166" t="s">
        <v>322</v>
      </c>
      <c r="M26" s="1" t="s">
        <v>314</v>
      </c>
      <c r="N26" s="167" t="s">
        <v>315</v>
      </c>
      <c r="O26" s="1" t="s">
        <v>415</v>
      </c>
      <c r="P26" s="84" t="s">
        <v>11</v>
      </c>
      <c r="Q26" s="84">
        <v>2347</v>
      </c>
      <c r="R26" s="162" t="s">
        <v>81</v>
      </c>
      <c r="S26" s="162">
        <v>32</v>
      </c>
      <c r="T26" s="162">
        <v>0.1</v>
      </c>
      <c r="U26" s="168" t="s">
        <v>82</v>
      </c>
      <c r="V26" s="81">
        <f>SUM(Table24[[#This Row],[A1toA3_GWP]:[C1toC4_GWP]])</f>
        <v>87.201533873029405</v>
      </c>
      <c r="W26" s="81"/>
      <c r="X26" s="81"/>
      <c r="Y26" s="81">
        <f>Table24[[#This Row],[Total_GWP]]*Table24[[#This Row],[DENSITY]]/1000</f>
        <v>204.66200000000001</v>
      </c>
      <c r="Z26" s="129">
        <f>187.792/Table24[[#This Row],[DENSITY]]*1000</f>
        <v>80.013634426927993</v>
      </c>
      <c r="AA26" s="72">
        <f>(7.278+9.392+0.2)/Table24[[#This Row],[DENSITY]]*1000</f>
        <v>7.1878994461014054</v>
      </c>
      <c r="AB26" s="73"/>
      <c r="AC26" s="73"/>
      <c r="AD26" s="73"/>
      <c r="AE26" s="75"/>
      <c r="AF26" s="107"/>
      <c r="AG26" s="129"/>
      <c r="AH26" s="129"/>
      <c r="AI26" s="75"/>
      <c r="AJ26" s="384">
        <f ca="1">IF(OR($E26="Ecoinvent",$E26="Betonsortenrechner",$E26="KBOB",$V26&lt;=0,Table24[[#This Row],[VALID_TO]]&lt;=TODAY()),0,1)</f>
        <v>1</v>
      </c>
      <c r="AK26" s="144">
        <v>1</v>
      </c>
      <c r="AL26" s="144">
        <f ca="1">IF(AND(Table24[[#This Row],[ValidEPD]]&lt;&gt;0,Table24[[#This Row],[Man_Ausschluss]]&lt;&gt;0),1,0)</f>
        <v>1</v>
      </c>
      <c r="AM26" s="17" cm="1">
        <f t="array" aca="1" ref="AM26" ca="1">IF(Table24[[#This Row],[gültig]]&lt;&gt;0,
IF(
OR(
V26=MIN(_xlfn._xlws.FILTER($V$2:$V$298,($P$2:$P$298=P26)*($N$2:$N$298=N26)*($AL$2:$AL$298&lt;&gt;0))),
V26=MAX(_xlfn._xlws.FILTER($V$2:$V$298,($P$2:$P$298=P26)*($N$2:$N$298=N26)*($AL$2:$AL$298&lt;&gt;0))),
ROWS(_xlfn._xlws.FILTER($V$2:$V$298,($P$2:$P$298=P26)*($N$2:$N$298=N26)*($AL$2:$AL$298&lt;&gt;0)))&lt;=2
),1,0),0)</f>
        <v>0</v>
      </c>
      <c r="AN26" s="56"/>
      <c r="AO26" s="1"/>
      <c r="AP26" s="1"/>
    </row>
    <row r="27" spans="1:42" x14ac:dyDescent="0.2">
      <c r="A27" s="161" t="s">
        <v>195</v>
      </c>
      <c r="B27" s="9"/>
      <c r="C27" s="96">
        <v>26</v>
      </c>
      <c r="D27" s="1" t="s">
        <v>83</v>
      </c>
      <c r="E27" s="162" t="s">
        <v>42</v>
      </c>
      <c r="F27" s="162"/>
      <c r="G27" s="163">
        <v>45068</v>
      </c>
      <c r="H27" s="163">
        <v>46894</v>
      </c>
      <c r="I27" s="84" t="s">
        <v>51</v>
      </c>
      <c r="J27" s="164" t="s">
        <v>51</v>
      </c>
      <c r="K27" s="165" t="s">
        <v>84</v>
      </c>
      <c r="L27" s="166" t="s">
        <v>322</v>
      </c>
      <c r="M27" s="1" t="s">
        <v>314</v>
      </c>
      <c r="N27" s="167" t="s">
        <v>315</v>
      </c>
      <c r="O27" s="1" t="s">
        <v>415</v>
      </c>
      <c r="P27" s="84" t="s">
        <v>6</v>
      </c>
      <c r="Q27" s="84">
        <v>2437</v>
      </c>
      <c r="R27" s="162" t="s">
        <v>85</v>
      </c>
      <c r="S27" s="162">
        <v>32</v>
      </c>
      <c r="T27" s="162">
        <v>0.1</v>
      </c>
      <c r="U27" s="168" t="s">
        <v>82</v>
      </c>
      <c r="V27" s="81">
        <f>SUM(Table24[[#This Row],[A1toA3_GWP]:[C1toC4_GWP]])</f>
        <v>84.09766105867871</v>
      </c>
      <c r="W27" s="81"/>
      <c r="X27" s="81"/>
      <c r="Y27" s="81">
        <f>Table24[[#This Row],[Total_GWP]]*Table24[[#This Row],[DENSITY]]/1000</f>
        <v>204.94600000000003</v>
      </c>
      <c r="Z27" s="129">
        <f>187.822/Table24[[#This Row],[DENSITY]]*1000</f>
        <v>77.070988920804268</v>
      </c>
      <c r="AA27" s="72">
        <f>(7.278+9.64+0.206)/Table24[[#This Row],[DENSITY]]*1000</f>
        <v>7.026672137874435</v>
      </c>
      <c r="AB27" s="73"/>
      <c r="AC27" s="73"/>
      <c r="AD27" s="73"/>
      <c r="AE27" s="75"/>
      <c r="AF27" s="107"/>
      <c r="AG27" s="129"/>
      <c r="AH27" s="129"/>
      <c r="AI27" s="75"/>
      <c r="AJ27" s="384">
        <f ca="1">IF(OR($E27="Ecoinvent",$E27="Betonsortenrechner",$E27="KBOB",$V27&lt;=0,Table24[[#This Row],[VALID_TO]]&lt;=TODAY()),0,1)</f>
        <v>1</v>
      </c>
      <c r="AK27" s="144">
        <v>0</v>
      </c>
      <c r="AL27" s="144">
        <f ca="1">IF(AND(Table24[[#This Row],[ValidEPD]]&lt;&gt;0,Table24[[#This Row],[Man_Ausschluss]]&lt;&gt;0),1,0)</f>
        <v>0</v>
      </c>
      <c r="AM27" s="17" cm="1">
        <f t="array" aca="1" ref="AM27" ca="1">IF(Table24[[#This Row],[gültig]]&lt;&gt;0,
IF(
OR(
V27=MIN(_xlfn._xlws.FILTER($V$2:$V$298,($P$2:$P$298=P27)*($N$2:$N$298=N27)*($AL$2:$AL$298&lt;&gt;0))),
V27=MAX(_xlfn._xlws.FILTER($V$2:$V$298,($P$2:$P$298=P27)*($N$2:$N$298=N27)*($AL$2:$AL$298&lt;&gt;0))),
ROWS(_xlfn._xlws.FILTER($V$2:$V$298,($P$2:$P$298=P27)*($N$2:$N$298=N27)*($AL$2:$AL$298&lt;&gt;0)))&lt;=2
),1,0),0)</f>
        <v>0</v>
      </c>
      <c r="AN27" s="56"/>
      <c r="AO27" s="1"/>
      <c r="AP27" s="1"/>
    </row>
    <row r="28" spans="1:42" x14ac:dyDescent="0.2">
      <c r="A28" s="161" t="s">
        <v>196</v>
      </c>
      <c r="B28" s="9"/>
      <c r="C28" s="96">
        <v>27</v>
      </c>
      <c r="D28" s="1" t="s">
        <v>86</v>
      </c>
      <c r="E28" s="162" t="s">
        <v>42</v>
      </c>
      <c r="F28" s="162"/>
      <c r="G28" s="163">
        <v>45068</v>
      </c>
      <c r="H28" s="163">
        <v>46894</v>
      </c>
      <c r="I28" s="84" t="s">
        <v>51</v>
      </c>
      <c r="J28" s="164" t="s">
        <v>51</v>
      </c>
      <c r="K28" s="165" t="s">
        <v>87</v>
      </c>
      <c r="L28" s="166" t="s">
        <v>322</v>
      </c>
      <c r="M28" s="1" t="s">
        <v>314</v>
      </c>
      <c r="N28" s="167" t="s">
        <v>315</v>
      </c>
      <c r="O28" s="1" t="s">
        <v>415</v>
      </c>
      <c r="P28" s="84" t="s">
        <v>6</v>
      </c>
      <c r="Q28" s="84">
        <v>2400</v>
      </c>
      <c r="R28" s="162" t="s">
        <v>88</v>
      </c>
      <c r="S28" s="162">
        <v>32</v>
      </c>
      <c r="T28" s="162">
        <v>0.1</v>
      </c>
      <c r="U28" s="168" t="s">
        <v>82</v>
      </c>
      <c r="V28" s="81">
        <f>SUM(Table24[[#This Row],[A1toA3_GWP]:[C1toC4_GWP]])</f>
        <v>87.324999999999989</v>
      </c>
      <c r="W28" s="81"/>
      <c r="X28" s="81"/>
      <c r="Y28" s="81">
        <f>Table24[[#This Row],[Total_GWP]]*Table24[[#This Row],[DENSITY]]/1000</f>
        <v>209.57999999999998</v>
      </c>
      <c r="Z28" s="129">
        <f>192.159/Table24[[#This Row],[DENSITY]]*1000</f>
        <v>80.066249999999997</v>
      </c>
      <c r="AA28" s="72">
        <f>(7.278+9.931+0.212)/Table24[[#This Row],[DENSITY]]*1000</f>
        <v>7.2587499999999991</v>
      </c>
      <c r="AB28" s="73"/>
      <c r="AC28" s="73"/>
      <c r="AD28" s="73"/>
      <c r="AE28" s="75"/>
      <c r="AF28" s="107"/>
      <c r="AG28" s="129"/>
      <c r="AH28" s="129"/>
      <c r="AI28" s="75"/>
      <c r="AJ28" s="384">
        <f ca="1">IF(OR($E28="Ecoinvent",$E28="Betonsortenrechner",$E28="KBOB",$V28&lt;=0,Table24[[#This Row],[VALID_TO]]&lt;=TODAY()),0,1)</f>
        <v>1</v>
      </c>
      <c r="AK28" s="144">
        <v>0</v>
      </c>
      <c r="AL28" s="144">
        <f ca="1">IF(AND(Table24[[#This Row],[ValidEPD]]&lt;&gt;0,Table24[[#This Row],[Man_Ausschluss]]&lt;&gt;0),1,0)</f>
        <v>0</v>
      </c>
      <c r="AM28" s="17" cm="1">
        <f t="array" aca="1" ref="AM28" ca="1">IF(Table24[[#This Row],[gültig]]&lt;&gt;0,
IF(
OR(
V28=MIN(_xlfn._xlws.FILTER($V$2:$V$298,($P$2:$P$298=P28)*($N$2:$N$298=N28)*($AL$2:$AL$298&lt;&gt;0))),
V28=MAX(_xlfn._xlws.FILTER($V$2:$V$298,($P$2:$P$298=P28)*($N$2:$N$298=N28)*($AL$2:$AL$298&lt;&gt;0))),
ROWS(_xlfn._xlws.FILTER($V$2:$V$298,($P$2:$P$298=P28)*($N$2:$N$298=N28)*($AL$2:$AL$298&lt;&gt;0)))&lt;=2
),1,0),0)</f>
        <v>0</v>
      </c>
      <c r="AN28" s="56"/>
      <c r="AO28" s="1"/>
      <c r="AP28" s="1"/>
    </row>
    <row r="29" spans="1:42" x14ac:dyDescent="0.2">
      <c r="A29" s="161" t="s">
        <v>197</v>
      </c>
      <c r="B29" s="9"/>
      <c r="C29" s="96">
        <v>28</v>
      </c>
      <c r="D29" s="1" t="s">
        <v>89</v>
      </c>
      <c r="E29" s="162" t="s">
        <v>42</v>
      </c>
      <c r="F29" s="162"/>
      <c r="G29" s="163">
        <v>45068</v>
      </c>
      <c r="H29" s="163">
        <v>46894</v>
      </c>
      <c r="I29" s="84" t="s">
        <v>51</v>
      </c>
      <c r="J29" s="164" t="s">
        <v>51</v>
      </c>
      <c r="K29" s="165" t="s">
        <v>90</v>
      </c>
      <c r="L29" s="166" t="s">
        <v>322</v>
      </c>
      <c r="M29" s="1" t="s">
        <v>314</v>
      </c>
      <c r="N29" s="167" t="s">
        <v>315</v>
      </c>
      <c r="O29" s="1" t="s">
        <v>415</v>
      </c>
      <c r="P29" s="84" t="s">
        <v>11</v>
      </c>
      <c r="Q29" s="84">
        <v>2420</v>
      </c>
      <c r="R29" s="162" t="s">
        <v>91</v>
      </c>
      <c r="S29" s="162">
        <v>32</v>
      </c>
      <c r="T29" s="162">
        <v>0.1</v>
      </c>
      <c r="U29" s="168" t="s">
        <v>82</v>
      </c>
      <c r="V29" s="81">
        <f>SUM(Table24[[#This Row],[A1toA3_GWP]:[C1toC4_GWP]])</f>
        <v>91.627272727272739</v>
      </c>
      <c r="W29" s="81"/>
      <c r="X29" s="81"/>
      <c r="Y29" s="81">
        <f>Table24[[#This Row],[Total_GWP]]*Table24[[#This Row],[DENSITY]]/1000</f>
        <v>221.73800000000003</v>
      </c>
      <c r="Z29" s="129">
        <f>204.59/Table24[[#This Row],[DENSITY]]*1000</f>
        <v>84.541322314049594</v>
      </c>
      <c r="AA29" s="72">
        <f>(7.278+9.664+0.206)/Table24[[#This Row],[DENSITY]]*1000</f>
        <v>7.0859504132231406</v>
      </c>
      <c r="AB29" s="73"/>
      <c r="AC29" s="73"/>
      <c r="AD29" s="73"/>
      <c r="AE29" s="75"/>
      <c r="AF29" s="107"/>
      <c r="AG29" s="129"/>
      <c r="AH29" s="129"/>
      <c r="AI29" s="75"/>
      <c r="AJ29" s="384">
        <f ca="1">IF(OR($E29="Ecoinvent",$E29="Betonsortenrechner",$E29="KBOB",$V29&lt;=0,Table24[[#This Row],[VALID_TO]]&lt;=TODAY()),0,1)</f>
        <v>1</v>
      </c>
      <c r="AK29" s="144">
        <v>0</v>
      </c>
      <c r="AL29" s="144">
        <f ca="1">IF(AND(Table24[[#This Row],[ValidEPD]]&lt;&gt;0,Table24[[#This Row],[Man_Ausschluss]]&lt;&gt;0),1,0)</f>
        <v>0</v>
      </c>
      <c r="AM29" s="17" cm="1">
        <f t="array" aca="1" ref="AM29" ca="1">IF(Table24[[#This Row],[gültig]]&lt;&gt;0,
IF(
OR(
V29=MIN(_xlfn._xlws.FILTER($V$2:$V$298,($P$2:$P$298=P29)*($N$2:$N$298=N29)*($AL$2:$AL$298&lt;&gt;0))),
V29=MAX(_xlfn._xlws.FILTER($V$2:$V$298,($P$2:$P$298=P29)*($N$2:$N$298=N29)*($AL$2:$AL$298&lt;&gt;0))),
ROWS(_xlfn._xlws.FILTER($V$2:$V$298,($P$2:$P$298=P29)*($N$2:$N$298=N29)*($AL$2:$AL$298&lt;&gt;0)))&lt;=2
),1,0),0)</f>
        <v>0</v>
      </c>
      <c r="AN29" s="56"/>
      <c r="AO29" s="1"/>
      <c r="AP29" s="1"/>
    </row>
    <row r="30" spans="1:42" x14ac:dyDescent="0.2">
      <c r="A30" s="161" t="s">
        <v>198</v>
      </c>
      <c r="B30" s="9"/>
      <c r="C30" s="96">
        <v>29</v>
      </c>
      <c r="D30" s="1" t="s">
        <v>92</v>
      </c>
      <c r="E30" s="162" t="s">
        <v>42</v>
      </c>
      <c r="F30" s="162"/>
      <c r="G30" s="163">
        <v>45068</v>
      </c>
      <c r="H30" s="163">
        <v>46894</v>
      </c>
      <c r="I30" s="84" t="s">
        <v>51</v>
      </c>
      <c r="J30" s="164" t="s">
        <v>51</v>
      </c>
      <c r="K30" s="165" t="s">
        <v>93</v>
      </c>
      <c r="L30" s="166" t="s">
        <v>322</v>
      </c>
      <c r="M30" s="1" t="s">
        <v>314</v>
      </c>
      <c r="N30" s="167" t="s">
        <v>315</v>
      </c>
      <c r="O30" s="1" t="s">
        <v>415</v>
      </c>
      <c r="P30" s="84" t="s">
        <v>11</v>
      </c>
      <c r="Q30" s="84">
        <v>2430</v>
      </c>
      <c r="R30" s="162" t="s">
        <v>94</v>
      </c>
      <c r="S30" s="162">
        <v>32</v>
      </c>
      <c r="T30" s="162">
        <v>0.1</v>
      </c>
      <c r="U30" s="168" t="s">
        <v>82</v>
      </c>
      <c r="V30" s="81">
        <f>SUM(Table24[[#This Row],[A1toA3_GWP]:[C1toC4_GWP]])</f>
        <v>76.722633744855969</v>
      </c>
      <c r="W30" s="81"/>
      <c r="X30" s="81"/>
      <c r="Y30" s="81">
        <f>Table24[[#This Row],[Total_GWP]]*Table24[[#This Row],[DENSITY]]/1000</f>
        <v>186.43600000000001</v>
      </c>
      <c r="Z30" s="129">
        <f>169.181/Table24[[#This Row],[DENSITY]]*1000</f>
        <v>69.62181069958848</v>
      </c>
      <c r="AA30" s="72">
        <f>(7.278+9.768+0.209)/Table24[[#This Row],[DENSITY]]*1000</f>
        <v>7.1008230452674894</v>
      </c>
      <c r="AB30" s="73"/>
      <c r="AC30" s="73"/>
      <c r="AD30" s="73"/>
      <c r="AE30" s="75"/>
      <c r="AF30" s="107"/>
      <c r="AG30" s="129"/>
      <c r="AH30" s="129"/>
      <c r="AI30" s="75"/>
      <c r="AJ30" s="384">
        <f ca="1">IF(OR($E30="Ecoinvent",$E30="Betonsortenrechner",$E30="KBOB",$V30&lt;=0,Table24[[#This Row],[VALID_TO]]&lt;=TODAY()),0,1)</f>
        <v>1</v>
      </c>
      <c r="AK30" s="144">
        <v>0</v>
      </c>
      <c r="AL30" s="144">
        <f ca="1">IF(AND(Table24[[#This Row],[ValidEPD]]&lt;&gt;0,Table24[[#This Row],[Man_Ausschluss]]&lt;&gt;0),1,0)</f>
        <v>0</v>
      </c>
      <c r="AM30" s="17" cm="1">
        <f t="array" aca="1" ref="AM30" ca="1">IF(Table24[[#This Row],[gültig]]&lt;&gt;0,
IF(
OR(
V30=MIN(_xlfn._xlws.FILTER($V$2:$V$298,($P$2:$P$298=P30)*($N$2:$N$298=N30)*($AL$2:$AL$298&lt;&gt;0))),
V30=MAX(_xlfn._xlws.FILTER($V$2:$V$298,($P$2:$P$298=P30)*($N$2:$N$298=N30)*($AL$2:$AL$298&lt;&gt;0))),
ROWS(_xlfn._xlws.FILTER($V$2:$V$298,($P$2:$P$298=P30)*($N$2:$N$298=N30)*($AL$2:$AL$298&lt;&gt;0)))&lt;=2
),1,0),0)</f>
        <v>0</v>
      </c>
      <c r="AN30" s="56"/>
      <c r="AO30" s="1"/>
      <c r="AP30" s="1"/>
    </row>
    <row r="31" spans="1:42" x14ac:dyDescent="0.2">
      <c r="A31" s="161" t="s">
        <v>623</v>
      </c>
      <c r="B31" s="9"/>
      <c r="C31" s="96">
        <v>30</v>
      </c>
      <c r="D31" s="102" t="s">
        <v>643</v>
      </c>
      <c r="E31" s="169" t="s">
        <v>642</v>
      </c>
      <c r="F31" s="169"/>
      <c r="G31" s="170">
        <v>45758</v>
      </c>
      <c r="H31" s="170">
        <v>47583</v>
      </c>
      <c r="I31" s="104" t="s">
        <v>51</v>
      </c>
      <c r="J31" s="164" t="s">
        <v>51</v>
      </c>
      <c r="K31" s="171" t="s">
        <v>30</v>
      </c>
      <c r="L31" s="166" t="s">
        <v>322</v>
      </c>
      <c r="M31" s="1" t="s">
        <v>314</v>
      </c>
      <c r="N31" s="167" t="s">
        <v>315</v>
      </c>
      <c r="O31" s="1" t="s">
        <v>415</v>
      </c>
      <c r="P31" s="84" t="s">
        <v>11</v>
      </c>
      <c r="Q31" s="104">
        <v>2400</v>
      </c>
      <c r="R31" s="169" t="s">
        <v>644</v>
      </c>
      <c r="S31" s="169">
        <v>32</v>
      </c>
      <c r="T31" s="169">
        <v>0.1</v>
      </c>
      <c r="U31" s="172" t="s">
        <v>82</v>
      </c>
      <c r="V31" s="81">
        <f>SUM(Table24[[#This Row],[A1toA3_GWP]:[C1toC4_GWP]])</f>
        <v>69.807500000000005</v>
      </c>
      <c r="W31" s="81"/>
      <c r="X31" s="81"/>
      <c r="Y31" s="81">
        <f>Table24[[#This Row],[Total_GWP]]*Table24[[#This Row],[DENSITY]]/1000</f>
        <v>167.53800000000001</v>
      </c>
      <c r="Z31" s="129">
        <f>150.465/Table24[[#This Row],[DENSITY]]*1000</f>
        <v>62.693750000000009</v>
      </c>
      <c r="AA31" s="72">
        <f>(7.278+9.59+0.205)/Table24[[#This Row],[DENSITY]]*1000</f>
        <v>7.1137499999999987</v>
      </c>
      <c r="AB31" s="77">
        <f>SUM(Table24[[#This Row],[A1toA3_GWP-biogenic]:[C1toC4_GWP-biogenic]])</f>
        <v>0.98125000000000007</v>
      </c>
      <c r="AC31" s="73">
        <f>Table24[[#This Row],[GWP-biogenic]]*Table24[[#This Row],[DENSITY]]/1000</f>
        <v>2.355</v>
      </c>
      <c r="AD31" s="73">
        <f>(2.343)/Table24[[#This Row],[DENSITY]]*1000</f>
        <v>0.97625000000000006</v>
      </c>
      <c r="AE31" s="75">
        <f>(0.003+0.008+0.001)/Table24[[#This Row],[DENSITY]]*1000</f>
        <v>5.0000000000000001E-3</v>
      </c>
      <c r="AF31" s="107"/>
      <c r="AG31" s="129"/>
      <c r="AH31" s="129"/>
      <c r="AI31" s="75"/>
      <c r="AJ31" s="384">
        <f ca="1">IF(OR($E31="Ecoinvent",$E31="Betonsortenrechner",$E31="KBOB",$V31&lt;=0,Table24[[#This Row],[VALID_TO]]&lt;=TODAY()),0,1)</f>
        <v>1</v>
      </c>
      <c r="AK31" s="144">
        <v>1</v>
      </c>
      <c r="AL31" s="144">
        <f ca="1">IF(AND(Table24[[#This Row],[ValidEPD]]&lt;&gt;0,Table24[[#This Row],[Man_Ausschluss]]&lt;&gt;0),1,0)</f>
        <v>1</v>
      </c>
      <c r="AM31" s="17" cm="1">
        <f t="array" aca="1" ref="AM31" ca="1">IF(Table24[[#This Row],[gültig]]&lt;&gt;0,
IF(
OR(
V31=MIN(_xlfn._xlws.FILTER($V$2:$V$298,($P$2:$P$298=P31)*($N$2:$N$298=N31)*($AL$2:$AL$298&lt;&gt;0))),
V31=MAX(_xlfn._xlws.FILTER($V$2:$V$298,($P$2:$P$298=P31)*($N$2:$N$298=N31)*($AL$2:$AL$298&lt;&gt;0))),
ROWS(_xlfn._xlws.FILTER($V$2:$V$298,($P$2:$P$298=P31)*($N$2:$N$298=N31)*($AL$2:$AL$298&lt;&gt;0)))&lt;=2
),1,0),0)</f>
        <v>0</v>
      </c>
      <c r="AN31" s="56"/>
      <c r="AO31" s="102"/>
      <c r="AP31" s="1"/>
    </row>
    <row r="32" spans="1:42" x14ac:dyDescent="0.2">
      <c r="A32" s="161" t="s">
        <v>624</v>
      </c>
      <c r="B32" s="9"/>
      <c r="C32" s="96">
        <v>31</v>
      </c>
      <c r="D32" s="102" t="s">
        <v>645</v>
      </c>
      <c r="E32" s="169" t="s">
        <v>642</v>
      </c>
      <c r="F32" s="169"/>
      <c r="G32" s="170">
        <v>45758</v>
      </c>
      <c r="H32" s="170">
        <v>47583</v>
      </c>
      <c r="I32" s="104" t="s">
        <v>51</v>
      </c>
      <c r="J32" s="164" t="s">
        <v>51</v>
      </c>
      <c r="K32" s="171" t="s">
        <v>30</v>
      </c>
      <c r="L32" s="166" t="s">
        <v>322</v>
      </c>
      <c r="M32" s="1" t="s">
        <v>314</v>
      </c>
      <c r="N32" s="167" t="s">
        <v>315</v>
      </c>
      <c r="O32" s="1" t="s">
        <v>415</v>
      </c>
      <c r="P32" s="84" t="s">
        <v>11</v>
      </c>
      <c r="Q32" s="104">
        <v>2427</v>
      </c>
      <c r="R32" s="169" t="s">
        <v>644</v>
      </c>
      <c r="S32" s="169">
        <v>32</v>
      </c>
      <c r="T32" s="169">
        <v>0.1</v>
      </c>
      <c r="U32" s="172" t="s">
        <v>82</v>
      </c>
      <c r="V32" s="81">
        <f>SUM(Table24[[#This Row],[A1toA3_GWP]:[C1toC4_GWP]])</f>
        <v>63.484548825710746</v>
      </c>
      <c r="W32" s="81"/>
      <c r="X32" s="81"/>
      <c r="Y32" s="81">
        <f>Table24[[#This Row],[Total_GWP]]*Table24[[#This Row],[DENSITY]]/1000</f>
        <v>154.07699999999997</v>
      </c>
      <c r="Z32" s="129">
        <f>136.896/Table24[[#This Row],[DENSITY]]*1000</f>
        <v>56.405438813349804</v>
      </c>
      <c r="AA32" s="72">
        <f>(7.278+9.696+0.207)/Table24[[#This Row],[DENSITY]]*1000</f>
        <v>7.0791100123609398</v>
      </c>
      <c r="AB32" s="77">
        <f>SUM(Table24[[#This Row],[A1toA3_GWP-biogenic]:[C1toC4_GWP-biogenic]])</f>
        <v>0.89204779563246805</v>
      </c>
      <c r="AC32" s="73">
        <f>Table24[[#This Row],[GWP-biogenic]]*Table24[[#This Row],[DENSITY]]/1000</f>
        <v>2.165</v>
      </c>
      <c r="AD32" s="73">
        <f>(2.153)/Table24[[#This Row],[DENSITY]]*1000</f>
        <v>0.88710341985990937</v>
      </c>
      <c r="AE32" s="75">
        <f>(0.003+0.008+0.001)/Table24[[#This Row],[DENSITY]]*1000</f>
        <v>4.944375772558714E-3</v>
      </c>
      <c r="AF32" s="107"/>
      <c r="AG32" s="129"/>
      <c r="AH32" s="129"/>
      <c r="AI32" s="75"/>
      <c r="AJ32" s="385">
        <f ca="1">IF(OR($E32="Ecoinvent",$E32="Betonsortenrechner",$E32="KBOB",$V32&lt;=0,Table24[[#This Row],[VALID_TO]]&lt;=TODAY()),0,1)</f>
        <v>1</v>
      </c>
      <c r="AK32" s="199">
        <v>1</v>
      </c>
      <c r="AL32" s="199">
        <f ca="1">IF(AND(Table24[[#This Row],[ValidEPD]]&lt;&gt;0,Table24[[#This Row],[Man_Ausschluss]]&lt;&gt;0),1,0)</f>
        <v>1</v>
      </c>
      <c r="AM32" s="17" cm="1">
        <f t="array" aca="1" ref="AM32" ca="1">IF(Table24[[#This Row],[gültig]]&lt;&gt;0,
IF(
OR(
V32=MIN(_xlfn._xlws.FILTER($V$2:$V$298,($P$2:$P$298=P32)*($N$2:$N$298=N32)*($AL$2:$AL$298&lt;&gt;0))),
V32=MAX(_xlfn._xlws.FILTER($V$2:$V$298,($P$2:$P$298=P32)*($N$2:$N$298=N32)*($AL$2:$AL$298&lt;&gt;0))),
ROWS(_xlfn._xlws.FILTER($V$2:$V$298,($P$2:$P$298=P32)*($N$2:$N$298=N32)*($AL$2:$AL$298&lt;&gt;0)))&lt;=2
),1,0),0)</f>
        <v>1</v>
      </c>
      <c r="AN32" s="138"/>
      <c r="AO32" s="102"/>
      <c r="AP32" s="1"/>
    </row>
    <row r="33" spans="1:42" x14ac:dyDescent="0.2">
      <c r="A33" s="161" t="s">
        <v>625</v>
      </c>
      <c r="B33" s="9"/>
      <c r="C33" s="96">
        <v>32</v>
      </c>
      <c r="D33" s="102" t="s">
        <v>646</v>
      </c>
      <c r="E33" s="169" t="s">
        <v>642</v>
      </c>
      <c r="F33" s="169"/>
      <c r="G33" s="170">
        <v>45758</v>
      </c>
      <c r="H33" s="170">
        <v>47583</v>
      </c>
      <c r="I33" s="104" t="s">
        <v>51</v>
      </c>
      <c r="J33" s="164" t="s">
        <v>51</v>
      </c>
      <c r="K33" s="171" t="s">
        <v>30</v>
      </c>
      <c r="L33" s="166" t="s">
        <v>322</v>
      </c>
      <c r="M33" s="1" t="s">
        <v>314</v>
      </c>
      <c r="N33" s="167" t="s">
        <v>315</v>
      </c>
      <c r="O33" s="1" t="s">
        <v>415</v>
      </c>
      <c r="P33" s="84" t="s">
        <v>11</v>
      </c>
      <c r="Q33" s="104">
        <v>2398</v>
      </c>
      <c r="R33" s="169" t="s">
        <v>644</v>
      </c>
      <c r="S33" s="169">
        <v>32</v>
      </c>
      <c r="T33" s="169">
        <v>0.1</v>
      </c>
      <c r="U33" s="172" t="s">
        <v>647</v>
      </c>
      <c r="V33" s="81">
        <f>SUM(Table24[[#This Row],[A1toA3_GWP]:[C1toC4_GWP]])</f>
        <v>81.817347789824851</v>
      </c>
      <c r="W33" s="81"/>
      <c r="X33" s="81"/>
      <c r="Y33" s="81">
        <f>Table24[[#This Row],[Total_GWP]]*Table24[[#This Row],[DENSITY]]/1000</f>
        <v>196.19800000000001</v>
      </c>
      <c r="Z33" s="129">
        <f>179.135/Table24[[#This Row],[DENSITY]]*1000</f>
        <v>74.701834862385311</v>
      </c>
      <c r="AA33" s="72">
        <f>(7.278+9.58+0.205)/Table24[[#This Row],[DENSITY]]*1000</f>
        <v>7.1155129274395321</v>
      </c>
      <c r="AB33" s="77">
        <f>SUM(Table24[[#This Row],[A1toA3_GWP-biogenic]:[C1toC4_GWP-biogenic]])</f>
        <v>1.1547122602168474</v>
      </c>
      <c r="AC33" s="73">
        <f>Table24[[#This Row],[GWP-biogenic]]*Table24[[#This Row],[DENSITY]]/1000</f>
        <v>2.7690000000000001</v>
      </c>
      <c r="AD33" s="73">
        <f>(2.757)/Table24[[#This Row],[DENSITY]]*1000</f>
        <v>1.1497080900750625</v>
      </c>
      <c r="AE33" s="75">
        <f>(0.003+0.008+0.001)/Table24[[#This Row],[DENSITY]]*1000</f>
        <v>5.0041701417848205E-3</v>
      </c>
      <c r="AF33" s="107"/>
      <c r="AG33" s="129"/>
      <c r="AH33" s="129"/>
      <c r="AI33" s="75"/>
      <c r="AJ33" s="384">
        <f ca="1">IF(OR($E33="Ecoinvent",$E33="Betonsortenrechner",$E33="KBOB",$V33&lt;=0,Table24[[#This Row],[VALID_TO]]&lt;=TODAY()),0,1)</f>
        <v>1</v>
      </c>
      <c r="AK33" s="144">
        <v>1</v>
      </c>
      <c r="AL33" s="144">
        <f ca="1">IF(AND(Table24[[#This Row],[ValidEPD]]&lt;&gt;0,Table24[[#This Row],[Man_Ausschluss]]&lt;&gt;0),1,0)</f>
        <v>1</v>
      </c>
      <c r="AM33" s="17" cm="1">
        <f t="array" aca="1" ref="AM33" ca="1">IF(Table24[[#This Row],[gültig]]&lt;&gt;0,
IF(
OR(
V33=MIN(_xlfn._xlws.FILTER($V$2:$V$298,($P$2:$P$298=P33)*($N$2:$N$298=N33)*($AL$2:$AL$298&lt;&gt;0))),
V33=MAX(_xlfn._xlws.FILTER($V$2:$V$298,($P$2:$P$298=P33)*($N$2:$N$298=N33)*($AL$2:$AL$298&lt;&gt;0))),
ROWS(_xlfn._xlws.FILTER($V$2:$V$298,($P$2:$P$298=P33)*($N$2:$N$298=N33)*($AL$2:$AL$298&lt;&gt;0)))&lt;=2
),1,0),0)</f>
        <v>0</v>
      </c>
      <c r="AN33" s="56"/>
      <c r="AO33" s="102"/>
      <c r="AP33" s="1"/>
    </row>
    <row r="34" spans="1:42" x14ac:dyDescent="0.2">
      <c r="A34" s="161" t="s">
        <v>626</v>
      </c>
      <c r="B34" s="9"/>
      <c r="C34" s="96">
        <v>33</v>
      </c>
      <c r="D34" s="102" t="s">
        <v>649</v>
      </c>
      <c r="E34" s="169" t="s">
        <v>648</v>
      </c>
      <c r="F34" s="169"/>
      <c r="G34" s="170">
        <v>45855</v>
      </c>
      <c r="H34" s="170">
        <v>47680</v>
      </c>
      <c r="I34" s="104" t="s">
        <v>51</v>
      </c>
      <c r="J34" s="164" t="s">
        <v>51</v>
      </c>
      <c r="K34" s="171" t="s">
        <v>33</v>
      </c>
      <c r="L34" s="166" t="s">
        <v>322</v>
      </c>
      <c r="M34" s="1" t="s">
        <v>314</v>
      </c>
      <c r="N34" s="167" t="s">
        <v>315</v>
      </c>
      <c r="O34" s="1" t="s">
        <v>650</v>
      </c>
      <c r="P34" s="104" t="s">
        <v>6</v>
      </c>
      <c r="Q34" s="104">
        <v>2362</v>
      </c>
      <c r="R34" s="169" t="s">
        <v>80</v>
      </c>
      <c r="S34" s="169">
        <v>32</v>
      </c>
      <c r="T34" s="169">
        <v>0.1</v>
      </c>
      <c r="U34" s="172" t="s">
        <v>82</v>
      </c>
      <c r="V34" s="81">
        <f>SUM(Table24[[#This Row],[A1toA3_GWP]:[C1toC4_GWP]])</f>
        <v>70.331922099915332</v>
      </c>
      <c r="W34" s="81"/>
      <c r="X34" s="81"/>
      <c r="Y34" s="81">
        <f>Table24[[#This Row],[Total_GWP]]*Table24[[#This Row],[DENSITY]]/1000</f>
        <v>166.124</v>
      </c>
      <c r="Z34" s="129">
        <f>149.208/Table24[[#This Row],[DENSITY]]*1000</f>
        <v>63.170194750211685</v>
      </c>
      <c r="AA34" s="72">
        <f>(7.278+9.437+0.201)/Table24[[#This Row],[DENSITY]]*1000</f>
        <v>7.1617273497036411</v>
      </c>
      <c r="AB34" s="77">
        <f>SUM(Table24[[#This Row],[A1toA3_GWP-biogenic]:[C1toC4_GWP-biogenic]])</f>
        <v>1.0084674005080441</v>
      </c>
      <c r="AC34" s="73">
        <f>Table24[[#This Row],[GWP-biogenic]]*Table24[[#This Row],[DENSITY]]/1000</f>
        <v>2.3820000000000001</v>
      </c>
      <c r="AD34" s="73">
        <f>(2.37)/Table24[[#This Row],[DENSITY]]*1000</f>
        <v>1.0033869602032177</v>
      </c>
      <c r="AE34" s="75">
        <f>(0.003+0.008+0.001)/Table24[[#This Row],[DENSITY]]*1000</f>
        <v>5.0804403048264179E-3</v>
      </c>
      <c r="AF34" s="107"/>
      <c r="AG34" s="129"/>
      <c r="AH34" s="129"/>
      <c r="AI34" s="75"/>
      <c r="AJ34" s="385">
        <f ca="1">IF(OR($E34="Ecoinvent",$E34="Betonsortenrechner",$E34="KBOB",$V34&lt;=0,Table24[[#This Row],[VALID_TO]]&lt;=TODAY()),0,1)</f>
        <v>1</v>
      </c>
      <c r="AK34" s="199">
        <v>1</v>
      </c>
      <c r="AL34" s="199">
        <f ca="1">IF(AND(Table24[[#This Row],[ValidEPD]]&lt;&gt;0,Table24[[#This Row],[Man_Ausschluss]]&lt;&gt;0),1,0)</f>
        <v>1</v>
      </c>
      <c r="AM34" s="17" cm="1">
        <f t="array" aca="1" ref="AM34" ca="1">IF(Table24[[#This Row],[gültig]]&lt;&gt;0,
IF(
OR(
V34=MIN(_xlfn._xlws.FILTER($V$2:$V$298,($P$2:$P$298=P34)*($N$2:$N$298=N34)*($AL$2:$AL$298&lt;&gt;0))),
V34=MAX(_xlfn._xlws.FILTER($V$2:$V$298,($P$2:$P$298=P34)*($N$2:$N$298=N34)*($AL$2:$AL$298&lt;&gt;0))),
ROWS(_xlfn._xlws.FILTER($V$2:$V$298,($P$2:$P$298=P34)*($N$2:$N$298=N34)*($AL$2:$AL$298&lt;&gt;0)))&lt;=2
),1,0),0)</f>
        <v>1</v>
      </c>
      <c r="AN34" s="138"/>
      <c r="AO34" s="102"/>
      <c r="AP34" s="1"/>
    </row>
    <row r="35" spans="1:42" x14ac:dyDescent="0.2">
      <c r="A35" s="161" t="s">
        <v>627</v>
      </c>
      <c r="B35" s="9"/>
      <c r="C35" s="96">
        <v>34</v>
      </c>
      <c r="D35" s="102" t="s">
        <v>651</v>
      </c>
      <c r="E35" s="169" t="s">
        <v>648</v>
      </c>
      <c r="F35" s="169"/>
      <c r="G35" s="170">
        <v>45855</v>
      </c>
      <c r="H35" s="170">
        <v>47680</v>
      </c>
      <c r="I35" s="104" t="s">
        <v>51</v>
      </c>
      <c r="J35" s="164" t="s">
        <v>51</v>
      </c>
      <c r="K35" s="171" t="s">
        <v>30</v>
      </c>
      <c r="L35" s="166" t="s">
        <v>322</v>
      </c>
      <c r="M35" s="1" t="s">
        <v>314</v>
      </c>
      <c r="N35" s="167" t="s">
        <v>315</v>
      </c>
      <c r="O35" s="169" t="s">
        <v>470</v>
      </c>
      <c r="P35" s="104" t="s">
        <v>27</v>
      </c>
      <c r="Q35" s="104">
        <v>2359</v>
      </c>
      <c r="R35" s="169" t="s">
        <v>644</v>
      </c>
      <c r="S35" s="169">
        <v>32</v>
      </c>
      <c r="T35" s="169">
        <v>0.1</v>
      </c>
      <c r="U35" s="172" t="s">
        <v>82</v>
      </c>
      <c r="V35" s="81">
        <f>SUM(Table24[[#This Row],[A1toA3_GWP]:[C1toC4_GWP]])</f>
        <v>79.657058075455708</v>
      </c>
      <c r="W35" s="81"/>
      <c r="X35" s="81"/>
      <c r="Y35" s="81">
        <f>Table24[[#This Row],[Total_GWP]]*Table24[[#This Row],[DENSITY]]/1000</f>
        <v>187.91100000000003</v>
      </c>
      <c r="Z35" s="129">
        <f>171.008/Table24[[#This Row],[DENSITY]]*1000</f>
        <v>72.491733785502333</v>
      </c>
      <c r="AA35" s="72">
        <f>(7.278+9.424+0.201)/Table24[[#This Row],[DENSITY]]*1000</f>
        <v>7.1653242899533689</v>
      </c>
      <c r="AB35" s="77">
        <f>SUM(Table24[[#This Row],[A1toA3_GWP-biogenic]:[C1toC4_GWP-biogenic]])</f>
        <v>0.18397626112759644</v>
      </c>
      <c r="AC35" s="73">
        <f>Table24[[#This Row],[GWP-biogenic]]*Table24[[#This Row],[DENSITY]]/1000</f>
        <v>0.434</v>
      </c>
      <c r="AD35" s="73">
        <f>(0.422)/Table24[[#This Row],[DENSITY]]*1000</f>
        <v>0.17888935989826196</v>
      </c>
      <c r="AE35" s="75">
        <f>(0.003+0.008+0.001)/Table24[[#This Row],[DENSITY]]*1000</f>
        <v>5.0869012293344642E-3</v>
      </c>
      <c r="AF35" s="107"/>
      <c r="AG35" s="129"/>
      <c r="AH35" s="129"/>
      <c r="AI35" s="75"/>
      <c r="AJ35" s="384">
        <f ca="1">IF(OR($E35="Ecoinvent",$E35="Betonsortenrechner",$E35="KBOB",$V35&lt;=0,Table24[[#This Row],[VALID_TO]]&lt;=TODAY()),0,1)</f>
        <v>1</v>
      </c>
      <c r="AK35" s="144">
        <v>1</v>
      </c>
      <c r="AL35" s="144">
        <f ca="1">IF(AND(Table24[[#This Row],[ValidEPD]]&lt;&gt;0,Table24[[#This Row],[Man_Ausschluss]]&lt;&gt;0),1,0)</f>
        <v>1</v>
      </c>
      <c r="AM35" s="17" cm="1">
        <f t="array" aca="1" ref="AM35" ca="1">IF(Table24[[#This Row],[gültig]]&lt;&gt;0,
IF(
OR(
V35=MIN(_xlfn._xlws.FILTER($V$2:$V$298,($P$2:$P$298=P35)*($N$2:$N$298=N35)*($AL$2:$AL$298&lt;&gt;0))),
V35=MAX(_xlfn._xlws.FILTER($V$2:$V$298,($P$2:$P$298=P35)*($N$2:$N$298=N35)*($AL$2:$AL$298&lt;&gt;0))),
ROWS(_xlfn._xlws.FILTER($V$2:$V$298,($P$2:$P$298=P35)*($N$2:$N$298=N35)*($AL$2:$AL$298&lt;&gt;0)))&lt;=2
),1,0),0)</f>
        <v>1</v>
      </c>
      <c r="AN35" s="56"/>
      <c r="AO35" s="102"/>
      <c r="AP35" s="1"/>
    </row>
    <row r="36" spans="1:42" x14ac:dyDescent="0.2">
      <c r="A36" s="161" t="s">
        <v>628</v>
      </c>
      <c r="B36" s="9"/>
      <c r="C36" s="96">
        <v>35</v>
      </c>
      <c r="D36" s="102" t="s">
        <v>652</v>
      </c>
      <c r="E36" s="169" t="s">
        <v>648</v>
      </c>
      <c r="F36" s="169"/>
      <c r="G36" s="170">
        <v>45855</v>
      </c>
      <c r="H36" s="170">
        <v>47680</v>
      </c>
      <c r="I36" s="104" t="s">
        <v>51</v>
      </c>
      <c r="J36" s="164" t="s">
        <v>51</v>
      </c>
      <c r="K36" s="171" t="s">
        <v>33</v>
      </c>
      <c r="L36" s="166" t="s">
        <v>322</v>
      </c>
      <c r="M36" s="1" t="s">
        <v>314</v>
      </c>
      <c r="N36" s="167" t="s">
        <v>315</v>
      </c>
      <c r="O36" s="169" t="s">
        <v>470</v>
      </c>
      <c r="P36" s="104" t="s">
        <v>6</v>
      </c>
      <c r="Q36" s="104">
        <v>2362</v>
      </c>
      <c r="R36" s="169" t="s">
        <v>80</v>
      </c>
      <c r="S36" s="169">
        <v>32</v>
      </c>
      <c r="T36" s="169">
        <v>0.1</v>
      </c>
      <c r="U36" s="172" t="s">
        <v>82</v>
      </c>
      <c r="V36" s="81">
        <f>SUM(Table24[[#This Row],[A1toA3_GWP]:[C1toC4_GWP]])</f>
        <v>82.62658763759525</v>
      </c>
      <c r="W36" s="81"/>
      <c r="X36" s="81"/>
      <c r="Y36" s="81">
        <f>Table24[[#This Row],[Total_GWP]]*Table24[[#This Row],[DENSITY]]/1000</f>
        <v>195.16399999999996</v>
      </c>
      <c r="Z36" s="129">
        <f>178.248/Table24[[#This Row],[DENSITY]]*1000</f>
        <v>75.464860287891611</v>
      </c>
      <c r="AA36" s="72">
        <f>(7.278+9.437+0.201)/Table24[[#This Row],[DENSITY]]*1000</f>
        <v>7.1617273497036411</v>
      </c>
      <c r="AB36" s="77">
        <f>SUM(Table24[[#This Row],[A1toA3_GWP-biogenic]:[C1toC4_GWP-biogenic]])</f>
        <v>0.20533446232006772</v>
      </c>
      <c r="AC36" s="73">
        <f>Table24[[#This Row],[GWP-biogenic]]*Table24[[#This Row],[DENSITY]]/1000</f>
        <v>0.48499999999999993</v>
      </c>
      <c r="AD36" s="73">
        <f>(0.473)/Table24[[#This Row],[DENSITY]]*1000</f>
        <v>0.20025402201524131</v>
      </c>
      <c r="AE36" s="75">
        <f>(0.003+0.008+0.001)/Table24[[#This Row],[DENSITY]]*1000</f>
        <v>5.0804403048264179E-3</v>
      </c>
      <c r="AF36" s="107"/>
      <c r="AG36" s="129"/>
      <c r="AH36" s="129"/>
      <c r="AI36" s="75"/>
      <c r="AJ36" s="384">
        <f ca="1">IF(OR($E36="Ecoinvent",$E36="Betonsortenrechner",$E36="KBOB",$V36&lt;=0,Table24[[#This Row],[VALID_TO]]&lt;=TODAY()),0,1)</f>
        <v>1</v>
      </c>
      <c r="AK36" s="144">
        <v>1</v>
      </c>
      <c r="AL36" s="144">
        <f ca="1">IF(AND(Table24[[#This Row],[ValidEPD]]&lt;&gt;0,Table24[[#This Row],[Man_Ausschluss]]&lt;&gt;0),1,0)</f>
        <v>1</v>
      </c>
      <c r="AM36" s="17" cm="1">
        <f t="array" aca="1" ref="AM36" ca="1">IF(Table24[[#This Row],[gültig]]&lt;&gt;0,
IF(
OR(
V36=MIN(_xlfn._xlws.FILTER($V$2:$V$298,($P$2:$P$298=P36)*($N$2:$N$298=N36)*($AL$2:$AL$298&lt;&gt;0))),
V36=MAX(_xlfn._xlws.FILTER($V$2:$V$298,($P$2:$P$298=P36)*($N$2:$N$298=N36)*($AL$2:$AL$298&lt;&gt;0))),
ROWS(_xlfn._xlws.FILTER($V$2:$V$298,($P$2:$P$298=P36)*($N$2:$N$298=N36)*($AL$2:$AL$298&lt;&gt;0)))&lt;=2
),1,0),0)</f>
        <v>1</v>
      </c>
      <c r="AN36" s="56"/>
      <c r="AO36" s="102"/>
      <c r="AP36" s="1"/>
    </row>
    <row r="37" spans="1:42" x14ac:dyDescent="0.2">
      <c r="A37" s="161" t="s">
        <v>629</v>
      </c>
      <c r="B37" s="9"/>
      <c r="C37" s="96">
        <v>36</v>
      </c>
      <c r="D37" s="102" t="s">
        <v>653</v>
      </c>
      <c r="E37" s="169" t="s">
        <v>648</v>
      </c>
      <c r="F37" s="169"/>
      <c r="G37" s="170">
        <v>45855</v>
      </c>
      <c r="H37" s="170">
        <v>47680</v>
      </c>
      <c r="I37" s="104" t="s">
        <v>51</v>
      </c>
      <c r="J37" s="164" t="s">
        <v>51</v>
      </c>
      <c r="K37" s="171" t="s">
        <v>35</v>
      </c>
      <c r="L37" s="166" t="s">
        <v>322</v>
      </c>
      <c r="M37" s="1" t="s">
        <v>314</v>
      </c>
      <c r="N37" s="167" t="s">
        <v>315</v>
      </c>
      <c r="O37" s="169" t="s">
        <v>470</v>
      </c>
      <c r="P37" s="84" t="s">
        <v>11</v>
      </c>
      <c r="Q37" s="104">
        <v>2408</v>
      </c>
      <c r="R37" s="169" t="s">
        <v>81</v>
      </c>
      <c r="S37" s="169">
        <v>32</v>
      </c>
      <c r="T37" s="169">
        <v>0.1</v>
      </c>
      <c r="U37" s="172" t="s">
        <v>82</v>
      </c>
      <c r="V37" s="81">
        <f>SUM(Table24[[#This Row],[A1toA3_GWP]:[C1toC4_GWP]])</f>
        <v>84.256644518272424</v>
      </c>
      <c r="W37" s="81"/>
      <c r="X37" s="81"/>
      <c r="Y37" s="81">
        <f>Table24[[#This Row],[Total_GWP]]*Table24[[#This Row],[DENSITY]]/1000</f>
        <v>202.89</v>
      </c>
      <c r="Z37" s="129">
        <f>185.788/Table24[[#This Row],[DENSITY]]*1000</f>
        <v>77.154485049833895</v>
      </c>
      <c r="AA37" s="72">
        <f>(7.278+9.619+0.205)/Table24[[#This Row],[DENSITY]]*1000</f>
        <v>7.1021594684385363</v>
      </c>
      <c r="AB37" s="77">
        <f>SUM(Table24[[#This Row],[A1toA3_GWP-biogenic]:[C1toC4_GWP-biogenic]])</f>
        <v>0.22715946843853824</v>
      </c>
      <c r="AC37" s="73">
        <f>Table24[[#This Row],[GWP-biogenic]]*Table24[[#This Row],[DENSITY]]/1000</f>
        <v>0.54700000000000015</v>
      </c>
      <c r="AD37" s="73">
        <f>(0.535)/Table24[[#This Row],[DENSITY]]*1000</f>
        <v>0.2221760797342193</v>
      </c>
      <c r="AE37" s="75">
        <f>(0.003+0.008+0.001)/Table24[[#This Row],[DENSITY]]*1000</f>
        <v>4.9833887043189366E-3</v>
      </c>
      <c r="AF37" s="107"/>
      <c r="AG37" s="129"/>
      <c r="AH37" s="129"/>
      <c r="AI37" s="75"/>
      <c r="AJ37" s="384">
        <f ca="1">IF(OR($E37="Ecoinvent",$E37="Betonsortenrechner",$E37="KBOB",$V37&lt;=0,Table24[[#This Row],[VALID_TO]]&lt;=TODAY()),0,1)</f>
        <v>1</v>
      </c>
      <c r="AK37" s="144">
        <v>1</v>
      </c>
      <c r="AL37" s="144">
        <f ca="1">IF(AND(Table24[[#This Row],[ValidEPD]]&lt;&gt;0,Table24[[#This Row],[Man_Ausschluss]]&lt;&gt;0),1,0)</f>
        <v>1</v>
      </c>
      <c r="AM37" s="17" cm="1">
        <f t="array" aca="1" ref="AM37" ca="1">IF(Table24[[#This Row],[gültig]]&lt;&gt;0,
IF(
OR(
V37=MIN(_xlfn._xlws.FILTER($V$2:$V$298,($P$2:$P$298=P37)*($N$2:$N$298=N37)*($AL$2:$AL$298&lt;&gt;0))),
V37=MAX(_xlfn._xlws.FILTER($V$2:$V$298,($P$2:$P$298=P37)*($N$2:$N$298=N37)*($AL$2:$AL$298&lt;&gt;0))),
ROWS(_xlfn._xlws.FILTER($V$2:$V$298,($P$2:$P$298=P37)*($N$2:$N$298=N37)*($AL$2:$AL$298&lt;&gt;0)))&lt;=2
),1,0),0)</f>
        <v>0</v>
      </c>
      <c r="AN37" s="56"/>
      <c r="AO37" s="102"/>
      <c r="AP37" s="1"/>
    </row>
    <row r="38" spans="1:42" x14ac:dyDescent="0.2">
      <c r="A38" s="161" t="s">
        <v>630</v>
      </c>
      <c r="B38" s="9"/>
      <c r="C38" s="96">
        <v>37</v>
      </c>
      <c r="D38" s="102" t="s">
        <v>654</v>
      </c>
      <c r="E38" s="169" t="s">
        <v>655</v>
      </c>
      <c r="F38" s="169"/>
      <c r="G38" s="170">
        <v>45702</v>
      </c>
      <c r="H38" s="170">
        <v>47527</v>
      </c>
      <c r="I38" s="104" t="s">
        <v>51</v>
      </c>
      <c r="J38" s="164" t="s">
        <v>51</v>
      </c>
      <c r="K38" s="165" t="s">
        <v>37</v>
      </c>
      <c r="L38" s="166" t="s">
        <v>322</v>
      </c>
      <c r="M38" s="1" t="s">
        <v>314</v>
      </c>
      <c r="N38" s="167" t="s">
        <v>315</v>
      </c>
      <c r="O38" s="162" t="s">
        <v>415</v>
      </c>
      <c r="P38" s="84" t="s">
        <v>6</v>
      </c>
      <c r="Q38" s="104">
        <v>2350</v>
      </c>
      <c r="R38" s="169" t="s">
        <v>644</v>
      </c>
      <c r="S38" s="169">
        <v>32</v>
      </c>
      <c r="T38" s="169">
        <v>0.1</v>
      </c>
      <c r="U38" s="172" t="s">
        <v>82</v>
      </c>
      <c r="V38" s="81">
        <f>SUM(Table24[[#This Row],[A1toA3_GWP]:[C1toC4_GWP]])</f>
        <v>75.460851063829779</v>
      </c>
      <c r="W38" s="81"/>
      <c r="X38" s="81"/>
      <c r="Y38" s="81">
        <f>Table24[[#This Row],[Total_GWP]]*Table24[[#This Row],[DENSITY]]/1000</f>
        <v>177.33299999999997</v>
      </c>
      <c r="Z38" s="129">
        <f>160.467/Table24[[#This Row],[DENSITY]]*1000</f>
        <v>68.283829787234041</v>
      </c>
      <c r="AA38" s="72">
        <f>(7.278+9.388+0.2)/Table24[[#This Row],[DENSITY]]*1000</f>
        <v>7.1770212765957444</v>
      </c>
      <c r="AB38" s="77">
        <f>SUM(Table24[[#This Row],[A1toA3_GWP-biogenic]:[C1toC4_GWP-biogenic]])</f>
        <v>0.24851063829787232</v>
      </c>
      <c r="AC38" s="73">
        <f>Table24[[#This Row],[GWP-biogenic]]*Table24[[#This Row],[DENSITY]]/1000</f>
        <v>0.58399999999999985</v>
      </c>
      <c r="AD38" s="73">
        <f>(0.572)/Table24[[#This Row],[DENSITY]]*1000</f>
        <v>0.24340425531914892</v>
      </c>
      <c r="AE38" s="75">
        <f>(0.003+0.008+0.001)/Table24[[#This Row],[DENSITY]]*1000</f>
        <v>5.106382978723404E-3</v>
      </c>
      <c r="AF38" s="107"/>
      <c r="AG38" s="129"/>
      <c r="AH38" s="129"/>
      <c r="AI38" s="75"/>
      <c r="AJ38" s="384">
        <f ca="1">IF(OR($E38="Ecoinvent",$E38="Betonsortenrechner",$E38="KBOB",$V38&lt;=0,Table24[[#This Row],[VALID_TO]]&lt;=TODAY()),0,1)</f>
        <v>1</v>
      </c>
      <c r="AK38" s="144">
        <v>1</v>
      </c>
      <c r="AL38" s="144">
        <f ca="1">IF(AND(Table24[[#This Row],[ValidEPD]]&lt;&gt;0,Table24[[#This Row],[Man_Ausschluss]]&lt;&gt;0),1,0)</f>
        <v>1</v>
      </c>
      <c r="AM38" s="17" cm="1">
        <f t="array" aca="1" ref="AM38" ca="1">IF(Table24[[#This Row],[gültig]]&lt;&gt;0,
IF(
OR(
V38=MIN(_xlfn._xlws.FILTER($V$2:$V$298,($P$2:$P$298=P38)*($N$2:$N$298=N38)*($AL$2:$AL$298&lt;&gt;0))),
V38=MAX(_xlfn._xlws.FILTER($V$2:$V$298,($P$2:$P$298=P38)*($N$2:$N$298=N38)*($AL$2:$AL$298&lt;&gt;0))),
ROWS(_xlfn._xlws.FILTER($V$2:$V$298,($P$2:$P$298=P38)*($N$2:$N$298=N38)*($AL$2:$AL$298&lt;&gt;0)))&lt;=2
),1,0),0)</f>
        <v>0</v>
      </c>
      <c r="AN38" s="56"/>
      <c r="AO38" s="102"/>
      <c r="AP38" s="1"/>
    </row>
    <row r="39" spans="1:42" x14ac:dyDescent="0.2">
      <c r="A39" s="161" t="s">
        <v>631</v>
      </c>
      <c r="B39" s="9"/>
      <c r="C39" s="96">
        <v>38</v>
      </c>
      <c r="D39" s="102" t="s">
        <v>656</v>
      </c>
      <c r="E39" s="169" t="s">
        <v>655</v>
      </c>
      <c r="F39" s="169"/>
      <c r="G39" s="170">
        <v>45702</v>
      </c>
      <c r="H39" s="170">
        <v>47527</v>
      </c>
      <c r="I39" s="104" t="s">
        <v>51</v>
      </c>
      <c r="J39" s="164" t="s">
        <v>51</v>
      </c>
      <c r="K39" s="165" t="s">
        <v>5</v>
      </c>
      <c r="L39" s="166" t="s">
        <v>322</v>
      </c>
      <c r="M39" s="1" t="s">
        <v>314</v>
      </c>
      <c r="N39" s="167" t="s">
        <v>315</v>
      </c>
      <c r="O39" s="162" t="s">
        <v>415</v>
      </c>
      <c r="P39" s="84" t="s">
        <v>6</v>
      </c>
      <c r="Q39" s="104">
        <v>2350</v>
      </c>
      <c r="R39" s="162" t="s">
        <v>80</v>
      </c>
      <c r="S39" s="169">
        <v>32</v>
      </c>
      <c r="T39" s="169">
        <v>0.1</v>
      </c>
      <c r="U39" s="172" t="s">
        <v>82</v>
      </c>
      <c r="V39" s="81">
        <f>SUM(Table24[[#This Row],[A1toA3_GWP]:[C1toC4_GWP]])</f>
        <v>75.113617021276596</v>
      </c>
      <c r="W39" s="81"/>
      <c r="X39" s="81"/>
      <c r="Y39" s="81">
        <f>Table24[[#This Row],[Total_GWP]]*Table24[[#This Row],[DENSITY]]/1000</f>
        <v>176.517</v>
      </c>
      <c r="Z39" s="129">
        <f>159.651/Table24[[#This Row],[DENSITY]]*1000</f>
        <v>67.936595744680858</v>
      </c>
      <c r="AA39" s="72">
        <f>(7.278+9.388+0.2)/Table24[[#This Row],[DENSITY]]*1000</f>
        <v>7.1770212765957444</v>
      </c>
      <c r="AB39" s="77">
        <f>SUM(Table24[[#This Row],[A1toA3_GWP-biogenic]:[C1toC4_GWP-biogenic]])</f>
        <v>0.24042553191489363</v>
      </c>
      <c r="AC39" s="73">
        <f>Table24[[#This Row],[GWP-biogenic]]*Table24[[#This Row],[DENSITY]]/1000</f>
        <v>0.56499999999999995</v>
      </c>
      <c r="AD39" s="73">
        <f>(0.553)/Table24[[#This Row],[DENSITY]]*1000</f>
        <v>0.23531914893617023</v>
      </c>
      <c r="AE39" s="75">
        <f>(0.003+0.008+0.001)/Table24[[#This Row],[DENSITY]]*1000</f>
        <v>5.106382978723404E-3</v>
      </c>
      <c r="AF39" s="107"/>
      <c r="AG39" s="129"/>
      <c r="AH39" s="129"/>
      <c r="AI39" s="75"/>
      <c r="AJ39" s="384">
        <f ca="1">IF(OR($E39="Ecoinvent",$E39="Betonsortenrechner",$E39="KBOB",$V39&lt;=0,Table24[[#This Row],[VALID_TO]]&lt;=TODAY()),0,1)</f>
        <v>1</v>
      </c>
      <c r="AK39" s="144">
        <v>1</v>
      </c>
      <c r="AL39" s="144">
        <f ca="1">IF(AND(Table24[[#This Row],[ValidEPD]]&lt;&gt;0,Table24[[#This Row],[Man_Ausschluss]]&lt;&gt;0),1,0)</f>
        <v>1</v>
      </c>
      <c r="AM39" s="17" cm="1">
        <f t="array" aca="1" ref="AM39" ca="1">IF(Table24[[#This Row],[gültig]]&lt;&gt;0,
IF(
OR(
V39=MIN(_xlfn._xlws.FILTER($V$2:$V$298,($P$2:$P$298=P39)*($N$2:$N$298=N39)*($AL$2:$AL$298&lt;&gt;0))),
V39=MAX(_xlfn._xlws.FILTER($V$2:$V$298,($P$2:$P$298=P39)*($N$2:$N$298=N39)*($AL$2:$AL$298&lt;&gt;0))),
ROWS(_xlfn._xlws.FILTER($V$2:$V$298,($P$2:$P$298=P39)*($N$2:$N$298=N39)*($AL$2:$AL$298&lt;&gt;0)))&lt;=2
),1,0),0)</f>
        <v>0</v>
      </c>
      <c r="AN39" s="56"/>
      <c r="AO39" s="102"/>
      <c r="AP39" s="1"/>
    </row>
    <row r="40" spans="1:42" x14ac:dyDescent="0.2">
      <c r="A40" s="161" t="s">
        <v>632</v>
      </c>
      <c r="B40" s="9"/>
      <c r="C40" s="96">
        <v>39</v>
      </c>
      <c r="D40" s="102" t="s">
        <v>657</v>
      </c>
      <c r="E40" s="169" t="s">
        <v>655</v>
      </c>
      <c r="F40" s="169"/>
      <c r="G40" s="170">
        <v>45702</v>
      </c>
      <c r="H40" s="170">
        <v>47527</v>
      </c>
      <c r="I40" s="104" t="s">
        <v>51</v>
      </c>
      <c r="J40" s="164" t="s">
        <v>51</v>
      </c>
      <c r="K40" s="165" t="s">
        <v>658</v>
      </c>
      <c r="L40" s="166" t="s">
        <v>322</v>
      </c>
      <c r="M40" s="1" t="s">
        <v>314</v>
      </c>
      <c r="N40" s="167" t="s">
        <v>315</v>
      </c>
      <c r="O40" s="162" t="s">
        <v>415</v>
      </c>
      <c r="P40" s="84" t="s">
        <v>11</v>
      </c>
      <c r="Q40" s="104">
        <v>2350</v>
      </c>
      <c r="R40" s="169" t="s">
        <v>81</v>
      </c>
      <c r="S40" s="169">
        <v>32</v>
      </c>
      <c r="T40" s="169">
        <v>0.1</v>
      </c>
      <c r="U40" s="172" t="s">
        <v>82</v>
      </c>
      <c r="V40" s="81">
        <f>SUM(Table24[[#This Row],[A1toA3_GWP]:[C1toC4_GWP]])</f>
        <v>80.165531914893606</v>
      </c>
      <c r="W40" s="81"/>
      <c r="X40" s="81"/>
      <c r="Y40" s="81">
        <f>Table24[[#This Row],[Total_GWP]]*Table24[[#This Row],[DENSITY]]/1000</f>
        <v>188.38899999999998</v>
      </c>
      <c r="Z40" s="129">
        <f>171.523/Table24[[#This Row],[DENSITY]]*1000</f>
        <v>72.988510638297868</v>
      </c>
      <c r="AA40" s="72">
        <f>(7.278+9.388+0.2)/Table24[[#This Row],[DENSITY]]*1000</f>
        <v>7.1770212765957444</v>
      </c>
      <c r="AB40" s="77">
        <f>SUM(Table24[[#This Row],[A1toA3_GWP-biogenic]:[C1toC4_GWP-biogenic]])</f>
        <v>0.25744680851063828</v>
      </c>
      <c r="AC40" s="73">
        <f>Table24[[#This Row],[GWP-biogenic]]*Table24[[#This Row],[DENSITY]]/1000</f>
        <v>0.60499999999999998</v>
      </c>
      <c r="AD40" s="73">
        <f>(0.593)/Table24[[#This Row],[DENSITY]]*1000</f>
        <v>0.25234042553191488</v>
      </c>
      <c r="AE40" s="75">
        <f>(0.003+0.008+0.001)/Table24[[#This Row],[DENSITY]]*1000</f>
        <v>5.106382978723404E-3</v>
      </c>
      <c r="AF40" s="107"/>
      <c r="AG40" s="129"/>
      <c r="AH40" s="129"/>
      <c r="AI40" s="75"/>
      <c r="AJ40" s="384">
        <f ca="1">IF(OR($E40="Ecoinvent",$E40="Betonsortenrechner",$E40="KBOB",$V40&lt;=0,Table24[[#This Row],[VALID_TO]]&lt;=TODAY()),0,1)</f>
        <v>1</v>
      </c>
      <c r="AK40" s="144">
        <v>1</v>
      </c>
      <c r="AL40" s="144">
        <f ca="1">IF(AND(Table24[[#This Row],[ValidEPD]]&lt;&gt;0,Table24[[#This Row],[Man_Ausschluss]]&lt;&gt;0),1,0)</f>
        <v>1</v>
      </c>
      <c r="AM40" s="17" cm="1">
        <f t="array" aca="1" ref="AM40" ca="1">IF(Table24[[#This Row],[gültig]]&lt;&gt;0,
IF(
OR(
V40=MIN(_xlfn._xlws.FILTER($V$2:$V$298,($P$2:$P$298=P40)*($N$2:$N$298=N40)*($AL$2:$AL$298&lt;&gt;0))),
V40=MAX(_xlfn._xlws.FILTER($V$2:$V$298,($P$2:$P$298=P40)*($N$2:$N$298=N40)*($AL$2:$AL$298&lt;&gt;0))),
ROWS(_xlfn._xlws.FILTER($V$2:$V$298,($P$2:$P$298=P40)*($N$2:$N$298=N40)*($AL$2:$AL$298&lt;&gt;0)))&lt;=2
),1,0),0)</f>
        <v>0</v>
      </c>
      <c r="AN40" s="56"/>
      <c r="AO40" s="102"/>
      <c r="AP40" s="1"/>
    </row>
    <row r="41" spans="1:42" x14ac:dyDescent="0.2">
      <c r="A41" s="161" t="s">
        <v>633</v>
      </c>
      <c r="B41" s="9"/>
      <c r="C41" s="96">
        <v>40</v>
      </c>
      <c r="D41" s="102" t="s">
        <v>659</v>
      </c>
      <c r="E41" s="169" t="s">
        <v>655</v>
      </c>
      <c r="F41" s="169"/>
      <c r="G41" s="170">
        <v>45702</v>
      </c>
      <c r="H41" s="170">
        <v>47527</v>
      </c>
      <c r="I41" s="104" t="s">
        <v>51</v>
      </c>
      <c r="J41" s="164" t="s">
        <v>51</v>
      </c>
      <c r="K41" s="165" t="s">
        <v>660</v>
      </c>
      <c r="L41" s="166" t="s">
        <v>322</v>
      </c>
      <c r="M41" s="1" t="s">
        <v>314</v>
      </c>
      <c r="N41" s="167" t="s">
        <v>315</v>
      </c>
      <c r="O41" s="162" t="s">
        <v>415</v>
      </c>
      <c r="P41" s="84" t="s">
        <v>6</v>
      </c>
      <c r="Q41" s="104">
        <v>2350</v>
      </c>
      <c r="R41" s="169" t="s">
        <v>644</v>
      </c>
      <c r="S41" s="169">
        <v>32</v>
      </c>
      <c r="T41" s="169">
        <v>0.1</v>
      </c>
      <c r="U41" s="172" t="s">
        <v>82</v>
      </c>
      <c r="V41" s="81">
        <f>SUM(Table24[[#This Row],[A1toA3_GWP]:[C1toC4_GWP]])</f>
        <v>75.320425531914893</v>
      </c>
      <c r="W41" s="81"/>
      <c r="X41" s="81"/>
      <c r="Y41" s="81">
        <f>Table24[[#This Row],[Total_GWP]]*Table24[[#This Row],[DENSITY]]/1000</f>
        <v>177.00299999999999</v>
      </c>
      <c r="Z41" s="129">
        <f>160.136/Table24[[#This Row],[DENSITY]]*1000</f>
        <v>68.142978723404255</v>
      </c>
      <c r="AA41" s="72">
        <f>(7.278+9.389+0.2)/Table24[[#This Row],[DENSITY]]*1000</f>
        <v>7.1774468085106378</v>
      </c>
      <c r="AB41" s="77">
        <f>SUM(Table24[[#This Row],[A1toA3_GWP-biogenic]:[C1toC4_GWP-biogenic]])</f>
        <v>0.245531914893617</v>
      </c>
      <c r="AC41" s="73">
        <f>Table24[[#This Row],[GWP-biogenic]]*Table24[[#This Row],[DENSITY]]/1000</f>
        <v>0.57699999999999996</v>
      </c>
      <c r="AD41" s="73">
        <f>(0.565)/Table24[[#This Row],[DENSITY]]*1000</f>
        <v>0.2404255319148936</v>
      </c>
      <c r="AE41" s="75">
        <f>(0.003+0.008+0.001)/Table24[[#This Row],[DENSITY]]*1000</f>
        <v>5.106382978723404E-3</v>
      </c>
      <c r="AF41" s="107"/>
      <c r="AG41" s="129"/>
      <c r="AH41" s="129"/>
      <c r="AI41" s="75"/>
      <c r="AJ41" s="384">
        <f ca="1">IF(OR($E41="Ecoinvent",$E41="Betonsortenrechner",$E41="KBOB",$V41&lt;=0,Table24[[#This Row],[VALID_TO]]&lt;=TODAY()),0,1)</f>
        <v>1</v>
      </c>
      <c r="AK41" s="144">
        <v>1</v>
      </c>
      <c r="AL41" s="144">
        <f ca="1">IF(AND(Table24[[#This Row],[ValidEPD]]&lt;&gt;0,Table24[[#This Row],[Man_Ausschluss]]&lt;&gt;0),1,0)</f>
        <v>1</v>
      </c>
      <c r="AM41" s="17" cm="1">
        <f t="array" aca="1" ref="AM41" ca="1">IF(Table24[[#This Row],[gültig]]&lt;&gt;0,
IF(
OR(
V41=MIN(_xlfn._xlws.FILTER($V$2:$V$298,($P$2:$P$298=P41)*($N$2:$N$298=N41)*($AL$2:$AL$298&lt;&gt;0))),
V41=MAX(_xlfn._xlws.FILTER($V$2:$V$298,($P$2:$P$298=P41)*($N$2:$N$298=N41)*($AL$2:$AL$298&lt;&gt;0))),
ROWS(_xlfn._xlws.FILTER($V$2:$V$298,($P$2:$P$298=P41)*($N$2:$N$298=N41)*($AL$2:$AL$298&lt;&gt;0)))&lt;=2
),1,0),0)</f>
        <v>0</v>
      </c>
      <c r="AN41" s="56"/>
      <c r="AO41" s="102"/>
      <c r="AP41" s="1"/>
    </row>
    <row r="42" spans="1:42" x14ac:dyDescent="0.2">
      <c r="A42" s="161" t="s">
        <v>634</v>
      </c>
      <c r="B42" s="9"/>
      <c r="C42" s="96">
        <v>41</v>
      </c>
      <c r="D42" s="102" t="s">
        <v>661</v>
      </c>
      <c r="E42" s="169" t="s">
        <v>655</v>
      </c>
      <c r="F42" s="169"/>
      <c r="G42" s="170">
        <v>45702</v>
      </c>
      <c r="H42" s="170">
        <v>47527</v>
      </c>
      <c r="I42" s="104" t="s">
        <v>51</v>
      </c>
      <c r="J42" s="164" t="s">
        <v>51</v>
      </c>
      <c r="K42" s="165" t="s">
        <v>37</v>
      </c>
      <c r="L42" s="166" t="s">
        <v>322</v>
      </c>
      <c r="M42" s="1" t="s">
        <v>314</v>
      </c>
      <c r="N42" s="167" t="s">
        <v>315</v>
      </c>
      <c r="O42" s="162" t="s">
        <v>415</v>
      </c>
      <c r="P42" s="84" t="s">
        <v>6</v>
      </c>
      <c r="Q42" s="104">
        <v>2350</v>
      </c>
      <c r="R42" s="169" t="s">
        <v>644</v>
      </c>
      <c r="S42" s="169">
        <v>32</v>
      </c>
      <c r="T42" s="169">
        <v>0.1</v>
      </c>
      <c r="U42" s="172" t="s">
        <v>82</v>
      </c>
      <c r="V42" s="81">
        <f>SUM(Table24[[#This Row],[A1toA3_GWP]:[C1toC4_GWP]])</f>
        <v>75.14382978723404</v>
      </c>
      <c r="W42" s="81"/>
      <c r="X42" s="81"/>
      <c r="Y42" s="81">
        <f>Table24[[#This Row],[Total_GWP]]*Table24[[#This Row],[DENSITY]]/1000</f>
        <v>176.58799999999999</v>
      </c>
      <c r="Z42" s="129">
        <f>159.722/Table24[[#This Row],[DENSITY]]*1000</f>
        <v>67.966808510638302</v>
      </c>
      <c r="AA42" s="72">
        <f>(7.278+9.388+0.2)/Table24[[#This Row],[DENSITY]]*1000</f>
        <v>7.1770212765957444</v>
      </c>
      <c r="AB42" s="77">
        <f>SUM(Table24[[#This Row],[A1toA3_GWP-biogenic]:[C1toC4_GWP-biogenic]])</f>
        <v>0.24085106382978724</v>
      </c>
      <c r="AC42" s="73">
        <f>Table24[[#This Row],[GWP-biogenic]]*Table24[[#This Row],[DENSITY]]/1000</f>
        <v>0.56599999999999995</v>
      </c>
      <c r="AD42" s="73">
        <f>(0.554)/Table24[[#This Row],[DENSITY]]*1000</f>
        <v>0.23574468085106384</v>
      </c>
      <c r="AE42" s="75">
        <f>(0.003+0.008+0.001)/Table24[[#This Row],[DENSITY]]*1000</f>
        <v>5.106382978723404E-3</v>
      </c>
      <c r="AF42" s="107"/>
      <c r="AG42" s="129"/>
      <c r="AH42" s="129"/>
      <c r="AI42" s="75"/>
      <c r="AJ42" s="384">
        <f ca="1">IF(OR($E42="Ecoinvent",$E42="Betonsortenrechner",$E42="KBOB",$V42&lt;=0,Table24[[#This Row],[VALID_TO]]&lt;=TODAY()),0,1)</f>
        <v>1</v>
      </c>
      <c r="AK42" s="144">
        <v>1</v>
      </c>
      <c r="AL42" s="144">
        <f ca="1">IF(AND(Table24[[#This Row],[ValidEPD]]&lt;&gt;0,Table24[[#This Row],[Man_Ausschluss]]&lt;&gt;0),1,0)</f>
        <v>1</v>
      </c>
      <c r="AM42" s="17" cm="1">
        <f t="array" aca="1" ref="AM42" ca="1">IF(Table24[[#This Row],[gültig]]&lt;&gt;0,
IF(
OR(
V42=MIN(_xlfn._xlws.FILTER($V$2:$V$298,($P$2:$P$298=P42)*($N$2:$N$298=N42)*($AL$2:$AL$298&lt;&gt;0))),
V42=MAX(_xlfn._xlws.FILTER($V$2:$V$298,($P$2:$P$298=P42)*($N$2:$N$298=N42)*($AL$2:$AL$298&lt;&gt;0))),
ROWS(_xlfn._xlws.FILTER($V$2:$V$298,($P$2:$P$298=P42)*($N$2:$N$298=N42)*($AL$2:$AL$298&lt;&gt;0)))&lt;=2
),1,0),0)</f>
        <v>0</v>
      </c>
      <c r="AN42" s="56"/>
      <c r="AO42" s="102"/>
      <c r="AP42" s="1"/>
    </row>
    <row r="43" spans="1:42" x14ac:dyDescent="0.2">
      <c r="A43" s="161" t="s">
        <v>635</v>
      </c>
      <c r="B43" s="9"/>
      <c r="C43" s="96">
        <v>42</v>
      </c>
      <c r="D43" s="102" t="s">
        <v>662</v>
      </c>
      <c r="E43" s="162" t="s">
        <v>663</v>
      </c>
      <c r="F43" s="169"/>
      <c r="G43" s="170">
        <v>45166</v>
      </c>
      <c r="H43" s="170">
        <v>46992</v>
      </c>
      <c r="I43" s="104" t="s">
        <v>51</v>
      </c>
      <c r="J43" s="164" t="s">
        <v>51</v>
      </c>
      <c r="K43" s="165" t="s">
        <v>733</v>
      </c>
      <c r="L43" s="166" t="s">
        <v>322</v>
      </c>
      <c r="M43" s="1" t="s">
        <v>314</v>
      </c>
      <c r="N43" s="167" t="s">
        <v>315</v>
      </c>
      <c r="O43" s="162" t="s">
        <v>415</v>
      </c>
      <c r="P43" s="84" t="s">
        <v>11</v>
      </c>
      <c r="Q43" s="104">
        <v>2465</v>
      </c>
      <c r="R43" s="169" t="s">
        <v>81</v>
      </c>
      <c r="S43" s="169">
        <v>32</v>
      </c>
      <c r="T43" s="169">
        <v>0.1</v>
      </c>
      <c r="U43" s="172" t="s">
        <v>82</v>
      </c>
      <c r="V43" s="81">
        <f>SUM(Table24[[#This Row],[A1toA3_GWP]:[C1toC4_GWP]])</f>
        <v>83.971196754563891</v>
      </c>
      <c r="W43" s="81"/>
      <c r="X43" s="81"/>
      <c r="Y43" s="81">
        <f>Table24[[#This Row],[Total_GWP]]*Table24[[#This Row],[DENSITY]]/1000</f>
        <v>206.989</v>
      </c>
      <c r="Z43" s="129">
        <f>189.653/Table24[[#This Row],[DENSITY]]*1000</f>
        <v>76.938336713995938</v>
      </c>
      <c r="AA43" s="72">
        <f>(7.278+9.848+0.21)/Table24[[#This Row],[DENSITY]]*1000</f>
        <v>7.032860040567952</v>
      </c>
      <c r="AB43" s="77">
        <f>SUM(Table24[[#This Row],[A1toA3_GWP-biogenic]:[C1toC4_GWP-biogenic]])</f>
        <v>0.27626774847870184</v>
      </c>
      <c r="AC43" s="73">
        <f>Table24[[#This Row],[GWP-biogenic]]*Table24[[#This Row],[DENSITY]]/1000</f>
        <v>0.68100000000000005</v>
      </c>
      <c r="AD43" s="73">
        <f>(0.669)/Table24[[#This Row],[DENSITY]]*1000</f>
        <v>0.27139959432048683</v>
      </c>
      <c r="AE43" s="75">
        <f>(0.003+0.008+0.001)/Table24[[#This Row],[DENSITY]]*1000</f>
        <v>4.8681541582150101E-3</v>
      </c>
      <c r="AF43" s="107"/>
      <c r="AG43" s="129"/>
      <c r="AH43" s="129"/>
      <c r="AI43" s="75"/>
      <c r="AJ43" s="384">
        <f ca="1">IF(OR($E43="Ecoinvent",$E43="Betonsortenrechner",$E43="KBOB",$V43&lt;=0,Table24[[#This Row],[VALID_TO]]&lt;=TODAY()),0,1)</f>
        <v>1</v>
      </c>
      <c r="AK43" s="144">
        <v>1</v>
      </c>
      <c r="AL43" s="144">
        <f ca="1">IF(AND(Table24[[#This Row],[ValidEPD]]&lt;&gt;0,Table24[[#This Row],[Man_Ausschluss]]&lt;&gt;0),1,0)</f>
        <v>1</v>
      </c>
      <c r="AM43" s="17" cm="1">
        <f t="array" aca="1" ref="AM43" ca="1">IF(Table24[[#This Row],[gültig]]&lt;&gt;0,
IF(
OR(
V43=MIN(_xlfn._xlws.FILTER($V$2:$V$298,($P$2:$P$298=P43)*($N$2:$N$298=N43)*($AL$2:$AL$298&lt;&gt;0))),
V43=MAX(_xlfn._xlws.FILTER($V$2:$V$298,($P$2:$P$298=P43)*($N$2:$N$298=N43)*($AL$2:$AL$298&lt;&gt;0))),
ROWS(_xlfn._xlws.FILTER($V$2:$V$298,($P$2:$P$298=P43)*($N$2:$N$298=N43)*($AL$2:$AL$298&lt;&gt;0)))&lt;=2
),1,0),0)</f>
        <v>0</v>
      </c>
      <c r="AN43" s="56"/>
      <c r="AO43" s="102"/>
      <c r="AP43" s="1"/>
    </row>
    <row r="44" spans="1:42" x14ac:dyDescent="0.2">
      <c r="A44" s="161" t="s">
        <v>636</v>
      </c>
      <c r="B44" s="9"/>
      <c r="C44" s="96">
        <v>43</v>
      </c>
      <c r="D44" s="1" t="s">
        <v>677</v>
      </c>
      <c r="E44" s="162" t="s">
        <v>678</v>
      </c>
      <c r="F44" s="162"/>
      <c r="G44" s="163">
        <v>45630</v>
      </c>
      <c r="H44" s="163">
        <v>47455</v>
      </c>
      <c r="I44" s="104" t="s">
        <v>51</v>
      </c>
      <c r="J44" s="164" t="s">
        <v>51</v>
      </c>
      <c r="K44" s="165" t="s">
        <v>734</v>
      </c>
      <c r="L44" s="166" t="s">
        <v>322</v>
      </c>
      <c r="M44" s="1" t="s">
        <v>314</v>
      </c>
      <c r="N44" s="167" t="s">
        <v>315</v>
      </c>
      <c r="O44" s="162" t="s">
        <v>415</v>
      </c>
      <c r="P44" s="84" t="s">
        <v>11</v>
      </c>
      <c r="Q44" s="84">
        <v>2359</v>
      </c>
      <c r="R44" s="89" t="s">
        <v>415</v>
      </c>
      <c r="S44" s="89" t="s">
        <v>415</v>
      </c>
      <c r="T44" s="89" t="s">
        <v>415</v>
      </c>
      <c r="U44" s="173" t="s">
        <v>415</v>
      </c>
      <c r="V44" s="81">
        <f>SUM(Table24[[#This Row],[A1toA3_GWP]:[C1toC4_GWP]])</f>
        <v>85.926239932174653</v>
      </c>
      <c r="W44" s="81"/>
      <c r="X44" s="81"/>
      <c r="Y44" s="81">
        <f>Table24[[#This Row],[Total_GWP]]*Table24[[#This Row],[DENSITY]]/1000</f>
        <v>202.7</v>
      </c>
      <c r="Z44" s="129">
        <f>193/Table24[[#This Row],[DENSITY]]*1000</f>
        <v>81.814328105129292</v>
      </c>
      <c r="AA44" s="72">
        <f>(9.63+1.73-1.66)/Table24[[#This Row],[DENSITY]]*1000</f>
        <v>4.1119118270453585</v>
      </c>
      <c r="AB44" s="77">
        <f>SUM(Table24[[#This Row],[A1toA3_GWP-biogenic]:[C1toC4_GWP-biogenic]])</f>
        <v>0.28868164476473085</v>
      </c>
      <c r="AC44" s="73">
        <f>Table24[[#This Row],[GWP-biogenic]]*Table24[[#This Row],[DENSITY]]/1000</f>
        <v>0.68100000000000016</v>
      </c>
      <c r="AD44" s="73">
        <f>(0.669)/Table24[[#This Row],[DENSITY]]*1000</f>
        <v>0.28359474353539638</v>
      </c>
      <c r="AE44" s="75">
        <f>(0.003+0.008+0.001)/Table24[[#This Row],[DENSITY]]*1000</f>
        <v>5.0869012293344642E-3</v>
      </c>
      <c r="AF44" s="107"/>
      <c r="AG44" s="129"/>
      <c r="AH44" s="129"/>
      <c r="AI44" s="75"/>
      <c r="AJ44" s="384">
        <f ca="1">IF(OR($E44="Ecoinvent",$E44="Betonsortenrechner",$E44="KBOB",$V44&lt;=0,Table24[[#This Row],[VALID_TO]]&lt;=TODAY()),0,1)</f>
        <v>1</v>
      </c>
      <c r="AK44" s="144">
        <v>1</v>
      </c>
      <c r="AL44" s="144">
        <f ca="1">IF(AND(Table24[[#This Row],[ValidEPD]]&lt;&gt;0,Table24[[#This Row],[Man_Ausschluss]]&lt;&gt;0),1,0)</f>
        <v>1</v>
      </c>
      <c r="AM44" s="17" cm="1">
        <f t="array" aca="1" ref="AM44" ca="1">IF(Table24[[#This Row],[gültig]]&lt;&gt;0,
IF(
OR(
V44=MIN(_xlfn._xlws.FILTER($V$2:$V$298,($P$2:$P$298=P44)*($N$2:$N$298=N44)*($AL$2:$AL$298&lt;&gt;0))),
V44=MAX(_xlfn._xlws.FILTER($V$2:$V$298,($P$2:$P$298=P44)*($N$2:$N$298=N44)*($AL$2:$AL$298&lt;&gt;0))),
ROWS(_xlfn._xlws.FILTER($V$2:$V$298,($P$2:$P$298=P44)*($N$2:$N$298=N44)*($AL$2:$AL$298&lt;&gt;0)))&lt;=2
),1,0),0)</f>
        <v>0</v>
      </c>
      <c r="AN44" s="56"/>
      <c r="AO44" s="1"/>
      <c r="AP44" s="1"/>
    </row>
    <row r="45" spans="1:42" x14ac:dyDescent="0.2">
      <c r="A45" s="161" t="s">
        <v>637</v>
      </c>
      <c r="B45" s="9"/>
      <c r="C45" s="96">
        <v>44</v>
      </c>
      <c r="D45" s="1" t="s">
        <v>679</v>
      </c>
      <c r="E45" s="162" t="s">
        <v>678</v>
      </c>
      <c r="F45" s="162"/>
      <c r="G45" s="163">
        <v>45866</v>
      </c>
      <c r="H45" s="163">
        <v>47691</v>
      </c>
      <c r="I45" s="104" t="s">
        <v>51</v>
      </c>
      <c r="J45" s="164" t="s">
        <v>51</v>
      </c>
      <c r="K45" s="165" t="s">
        <v>735</v>
      </c>
      <c r="L45" s="166" t="s">
        <v>322</v>
      </c>
      <c r="M45" s="1" t="s">
        <v>314</v>
      </c>
      <c r="N45" s="167" t="s">
        <v>315</v>
      </c>
      <c r="O45" s="162" t="s">
        <v>415</v>
      </c>
      <c r="P45" s="84" t="s">
        <v>11</v>
      </c>
      <c r="Q45" s="84">
        <v>2391</v>
      </c>
      <c r="R45" s="89" t="s">
        <v>415</v>
      </c>
      <c r="S45" s="89" t="s">
        <v>415</v>
      </c>
      <c r="T45" s="89" t="s">
        <v>415</v>
      </c>
      <c r="U45" s="173" t="s">
        <v>415</v>
      </c>
      <c r="V45" s="81">
        <f>SUM(Table24[[#This Row],[A1toA3_GWP]:[C1toC4_GWP]])</f>
        <v>121.00376411543287</v>
      </c>
      <c r="W45" s="81"/>
      <c r="X45" s="81"/>
      <c r="Y45" s="81">
        <f>Table24[[#This Row],[Total_GWP]]*Table24[[#This Row],[DENSITY]]/1000</f>
        <v>289.32</v>
      </c>
      <c r="Z45" s="129">
        <f>279/Table24[[#This Row],[DENSITY]]*1000</f>
        <v>116.68757841907151</v>
      </c>
      <c r="AA45" s="72">
        <f>(9.53+2.21-1.42)/Table24[[#This Row],[DENSITY]]*1000</f>
        <v>4.3161856963613543</v>
      </c>
      <c r="AB45" s="77">
        <f>SUM(Table24[[#This Row],[A1toA3_GWP-biogenic]:[C1toC4_GWP-biogenic]])</f>
        <v>0.15207611877875366</v>
      </c>
      <c r="AC45" s="73">
        <f>Table24[[#This Row],[GWP-biogenic]]*Table24[[#This Row],[DENSITY]]/1000</f>
        <v>0.36361399999999999</v>
      </c>
      <c r="AD45" s="73">
        <f>(0.36)/Table24[[#This Row],[DENSITY]]*1000</f>
        <v>0.15056461731493098</v>
      </c>
      <c r="AE45" s="75">
        <f>(1.25*10^-3+6.04*10^-4+1.76*10^-3)/Table24[[#This Row],[DENSITY]]*1000</f>
        <v>1.5115014638226684E-3</v>
      </c>
      <c r="AF45" s="107"/>
      <c r="AG45" s="129"/>
      <c r="AH45" s="129"/>
      <c r="AI45" s="75"/>
      <c r="AJ45" s="385">
        <f ca="1">IF(OR($E45="Ecoinvent",$E45="Betonsortenrechner",$E45="KBOB",$V45&lt;=0,Table24[[#This Row],[VALID_TO]]&lt;=TODAY()),0,1)</f>
        <v>1</v>
      </c>
      <c r="AK45" s="199">
        <v>1</v>
      </c>
      <c r="AL45" s="199">
        <f ca="1">IF(AND(Table24[[#This Row],[ValidEPD]]&lt;&gt;0,Table24[[#This Row],[Man_Ausschluss]]&lt;&gt;0),1,0)</f>
        <v>1</v>
      </c>
      <c r="AM45" s="17" cm="1">
        <f t="array" aca="1" ref="AM45" ca="1">IF(Table24[[#This Row],[gültig]]&lt;&gt;0,
IF(
OR(
V45=MIN(_xlfn._xlws.FILTER($V$2:$V$298,($P$2:$P$298=P45)*($N$2:$N$298=N45)*($AL$2:$AL$298&lt;&gt;0))),
V45=MAX(_xlfn._xlws.FILTER($V$2:$V$298,($P$2:$P$298=P45)*($N$2:$N$298=N45)*($AL$2:$AL$298&lt;&gt;0))),
ROWS(_xlfn._xlws.FILTER($V$2:$V$298,($P$2:$P$298=P45)*($N$2:$N$298=N45)*($AL$2:$AL$298&lt;&gt;0)))&lt;=2
),1,0),0)</f>
        <v>1</v>
      </c>
      <c r="AN45" s="138"/>
      <c r="AO45" s="1"/>
      <c r="AP45" s="1"/>
    </row>
    <row r="46" spans="1:42" x14ac:dyDescent="0.2">
      <c r="A46" s="161" t="s">
        <v>638</v>
      </c>
      <c r="B46" s="9"/>
      <c r="C46" s="96">
        <v>45</v>
      </c>
      <c r="D46" s="1" t="s">
        <v>680</v>
      </c>
      <c r="E46" s="162" t="s">
        <v>678</v>
      </c>
      <c r="F46" s="162"/>
      <c r="G46" s="163">
        <v>45874</v>
      </c>
      <c r="H46" s="163">
        <v>47699</v>
      </c>
      <c r="I46" s="104" t="s">
        <v>51</v>
      </c>
      <c r="J46" s="164" t="s">
        <v>51</v>
      </c>
      <c r="K46" s="165" t="s">
        <v>736</v>
      </c>
      <c r="L46" s="166" t="s">
        <v>322</v>
      </c>
      <c r="M46" s="1" t="s">
        <v>314</v>
      </c>
      <c r="N46" s="167" t="s">
        <v>315</v>
      </c>
      <c r="O46" s="162" t="s">
        <v>415</v>
      </c>
      <c r="P46" s="84" t="s">
        <v>11</v>
      </c>
      <c r="Q46" s="84">
        <v>2366</v>
      </c>
      <c r="R46" s="89" t="s">
        <v>415</v>
      </c>
      <c r="S46" s="89" t="s">
        <v>415</v>
      </c>
      <c r="T46" s="89" t="s">
        <v>415</v>
      </c>
      <c r="U46" s="173" t="s">
        <v>415</v>
      </c>
      <c r="V46" s="81">
        <f>SUM(Table24[[#This Row],[A1toA3_GWP]:[C1toC4_GWP]])</f>
        <v>118.13186813186813</v>
      </c>
      <c r="W46" s="81"/>
      <c r="X46" s="81"/>
      <c r="Y46" s="81">
        <f>Table24[[#This Row],[Total_GWP]]*Table24[[#This Row],[DENSITY]]/1000</f>
        <v>279.5</v>
      </c>
      <c r="Z46" s="129">
        <f>269/Table24[[#This Row],[DENSITY]]*1000</f>
        <v>113.69399830938292</v>
      </c>
      <c r="AA46" s="72">
        <f>(9.53+2.2-1.23)/Table24[[#This Row],[DENSITY]]*1000</f>
        <v>4.4378698224852071</v>
      </c>
      <c r="AB46" s="77">
        <f>SUM(Table24[[#This Row],[A1toA3_GWP-biogenic]:[C1toC4_GWP-biogenic]])</f>
        <v>0.14945097210481825</v>
      </c>
      <c r="AC46" s="73">
        <f>Table24[[#This Row],[GWP-biogenic]]*Table24[[#This Row],[DENSITY]]/1000</f>
        <v>0.353601</v>
      </c>
      <c r="AD46" s="73">
        <f>(0.35)/Table24[[#This Row],[DENSITY]]*1000</f>
        <v>0.14792899408284024</v>
      </c>
      <c r="AE46" s="75">
        <f>(1.25*10^-3+6.01*10^-4+1.75*10^-3)/Table24[[#This Row],[DENSITY]]*1000</f>
        <v>1.5219780219780218E-3</v>
      </c>
      <c r="AF46" s="107"/>
      <c r="AG46" s="129"/>
      <c r="AH46" s="129"/>
      <c r="AI46" s="75"/>
      <c r="AJ46" s="384">
        <f ca="1">IF(OR($E46="Ecoinvent",$E46="Betonsortenrechner",$E46="KBOB",$V46&lt;=0,Table24[[#This Row],[VALID_TO]]&lt;=TODAY()),0,1)</f>
        <v>1</v>
      </c>
      <c r="AK46" s="144">
        <v>1</v>
      </c>
      <c r="AL46" s="144">
        <f ca="1">IF(AND(Table24[[#This Row],[ValidEPD]]&lt;&gt;0,Table24[[#This Row],[Man_Ausschluss]]&lt;&gt;0),1,0)</f>
        <v>1</v>
      </c>
      <c r="AM46" s="17" cm="1">
        <f t="array" aca="1" ref="AM46" ca="1">IF(Table24[[#This Row],[gültig]]&lt;&gt;0,
IF(
OR(
V46=MIN(_xlfn._xlws.FILTER($V$2:$V$298,($P$2:$P$298=P46)*($N$2:$N$298=N46)*($AL$2:$AL$298&lt;&gt;0))),
V46=MAX(_xlfn._xlws.FILTER($V$2:$V$298,($P$2:$P$298=P46)*($N$2:$N$298=N46)*($AL$2:$AL$298&lt;&gt;0))),
ROWS(_xlfn._xlws.FILTER($V$2:$V$298,($P$2:$P$298=P46)*($N$2:$N$298=N46)*($AL$2:$AL$298&lt;&gt;0)))&lt;=2
),1,0),0)</f>
        <v>0</v>
      </c>
      <c r="AN46" s="56"/>
      <c r="AO46" s="1"/>
      <c r="AP46" s="1"/>
    </row>
    <row r="47" spans="1:42" x14ac:dyDescent="0.2">
      <c r="A47" s="161" t="s">
        <v>639</v>
      </c>
      <c r="B47" s="9"/>
      <c r="C47" s="96">
        <v>46</v>
      </c>
      <c r="D47" s="1" t="s">
        <v>681</v>
      </c>
      <c r="E47" s="162" t="s">
        <v>678</v>
      </c>
      <c r="F47" s="162"/>
      <c r="G47" s="163">
        <v>45866</v>
      </c>
      <c r="H47" s="163">
        <v>47691</v>
      </c>
      <c r="I47" s="104" t="s">
        <v>51</v>
      </c>
      <c r="J47" s="164" t="s">
        <v>51</v>
      </c>
      <c r="K47" s="165" t="s">
        <v>737</v>
      </c>
      <c r="L47" s="166" t="s">
        <v>322</v>
      </c>
      <c r="M47" s="1" t="s">
        <v>314</v>
      </c>
      <c r="N47" s="167" t="s">
        <v>315</v>
      </c>
      <c r="O47" s="162" t="s">
        <v>415</v>
      </c>
      <c r="P47" s="84" t="s">
        <v>6</v>
      </c>
      <c r="Q47" s="84">
        <v>2401</v>
      </c>
      <c r="R47" s="89" t="s">
        <v>415</v>
      </c>
      <c r="S47" s="89" t="s">
        <v>415</v>
      </c>
      <c r="T47" s="89" t="s">
        <v>415</v>
      </c>
      <c r="U47" s="173" t="s">
        <v>415</v>
      </c>
      <c r="V47" s="81">
        <f>SUM(Table24[[#This Row],[A1toA3_GWP]:[C1toC4_GWP]])</f>
        <v>82.107455226988748</v>
      </c>
      <c r="W47" s="81"/>
      <c r="X47" s="81"/>
      <c r="Y47" s="81">
        <f>Table24[[#This Row],[Total_GWP]]*Table24[[#This Row],[DENSITY]]/1000</f>
        <v>197.13999999999996</v>
      </c>
      <c r="Z47" s="129">
        <f>187/Table24[[#This Row],[DENSITY]]*1000</f>
        <v>77.884214910453977</v>
      </c>
      <c r="AA47" s="72">
        <f>(9.53+2.23-1.62)/Table24[[#This Row],[DENSITY]]*1000</f>
        <v>4.2232403165347776</v>
      </c>
      <c r="AB47" s="77">
        <f>SUM(Table24[[#This Row],[A1toA3_GWP-biogenic]:[C1toC4_GWP-biogenic]])</f>
        <v>7.231570179092045E-2</v>
      </c>
      <c r="AC47" s="73">
        <f>Table24[[#This Row],[GWP-biogenic]]*Table24[[#This Row],[DENSITY]]/1000</f>
        <v>0.17363000000000001</v>
      </c>
      <c r="AD47" s="73">
        <f>(0.17)/Table24[[#This Row],[DENSITY]]*1000</f>
        <v>7.0803831736776346E-2</v>
      </c>
      <c r="AE47" s="75">
        <f>(1.25*10^-3+6.1*10^-4+1.77*10^-3)/Table24[[#This Row],[DENSITY]]*1000</f>
        <v>1.511870054144107E-3</v>
      </c>
      <c r="AF47" s="107"/>
      <c r="AG47" s="129"/>
      <c r="AH47" s="129"/>
      <c r="AI47" s="75"/>
      <c r="AJ47" s="384">
        <f ca="1">IF(OR($E47="Ecoinvent",$E47="Betonsortenrechner",$E47="KBOB",$V47&lt;=0,Table24[[#This Row],[VALID_TO]]&lt;=TODAY()),0,1)</f>
        <v>1</v>
      </c>
      <c r="AK47" s="144">
        <v>1</v>
      </c>
      <c r="AL47" s="144">
        <f ca="1">IF(AND(Table24[[#This Row],[ValidEPD]]&lt;&gt;0,Table24[[#This Row],[Man_Ausschluss]]&lt;&gt;0),1,0)</f>
        <v>1</v>
      </c>
      <c r="AM47" s="17" cm="1">
        <f t="array" aca="1" ref="AM47" ca="1">IF(Table24[[#This Row],[gültig]]&lt;&gt;0,
IF(
OR(
V47=MIN(_xlfn._xlws.FILTER($V$2:$V$298,($P$2:$P$298=P47)*($N$2:$N$298=N47)*($AL$2:$AL$298&lt;&gt;0))),
V47=MAX(_xlfn._xlws.FILTER($V$2:$V$298,($P$2:$P$298=P47)*($N$2:$N$298=N47)*($AL$2:$AL$298&lt;&gt;0))),
ROWS(_xlfn._xlws.FILTER($V$2:$V$298,($P$2:$P$298=P47)*($N$2:$N$298=N47)*($AL$2:$AL$298&lt;&gt;0)))&lt;=2
),1,0),0)</f>
        <v>0</v>
      </c>
      <c r="AN47" s="56"/>
      <c r="AO47" s="1"/>
      <c r="AP47" s="1"/>
    </row>
    <row r="48" spans="1:42" s="134" customFormat="1" x14ac:dyDescent="0.2">
      <c r="A48" s="161" t="s">
        <v>640</v>
      </c>
      <c r="B48" s="174"/>
      <c r="C48" s="96">
        <v>47</v>
      </c>
      <c r="D48" s="133"/>
      <c r="E48" s="175"/>
      <c r="F48" s="175"/>
      <c r="G48" s="176"/>
      <c r="H48" s="176"/>
      <c r="I48" s="177"/>
      <c r="J48" s="178"/>
      <c r="K48" s="179"/>
      <c r="L48" s="180"/>
      <c r="M48" s="133"/>
      <c r="N48" s="181"/>
      <c r="O48" s="175"/>
      <c r="P48" s="177"/>
      <c r="Q48" s="177"/>
      <c r="R48" s="182"/>
      <c r="S48" s="182"/>
      <c r="T48" s="182"/>
      <c r="U48" s="183"/>
      <c r="V48" s="184"/>
      <c r="W48" s="184"/>
      <c r="X48" s="184"/>
      <c r="Y48" s="184"/>
      <c r="Z48" s="185"/>
      <c r="AA48" s="186"/>
      <c r="AB48" s="187"/>
      <c r="AC48" s="188"/>
      <c r="AD48" s="188"/>
      <c r="AE48" s="189"/>
      <c r="AF48" s="375"/>
      <c r="AG48" s="185"/>
      <c r="AH48" s="185"/>
      <c r="AI48" s="189"/>
      <c r="AJ48" s="80">
        <f ca="1">IF(OR($E48="Ecoinvent",$E48="Betonsortenrechner",$E48="KBOB",$V48&lt;=0,Table24[[#This Row],[VALID_TO]]&lt;=TODAY()),0,1)</f>
        <v>0</v>
      </c>
      <c r="AK48" s="87">
        <v>0</v>
      </c>
      <c r="AL48" s="87">
        <f ca="1">IF(AND(Table24[[#This Row],[ValidEPD]]&lt;&gt;0,Table24[[#This Row],[Man_Ausschluss]]&lt;&gt;0),1,0)</f>
        <v>0</v>
      </c>
      <c r="AM48" s="17" cm="1">
        <f t="array" aca="1" ref="AM48" ca="1">IF(Table24[[#This Row],[gültig]]&lt;&gt;0,
IF(
OR(
V48=MIN(_xlfn._xlws.FILTER($V$2:$V$298,($P$2:$P$298=P48)*($N$2:$N$298=N48)*($AL$2:$AL$298&lt;&gt;0))),
V48=MAX(_xlfn._xlws.FILTER($V$2:$V$298,($P$2:$P$298=P48)*($N$2:$N$298=N48)*($AL$2:$AL$298&lt;&gt;0))),
ROWS(_xlfn._xlws.FILTER($V$2:$V$298,($P$2:$P$298=P48)*($N$2:$N$298=N48)*($AL$2:$AL$298&lt;&gt;0)))&lt;=2
),1,0),0)</f>
        <v>0</v>
      </c>
      <c r="AN48" s="56"/>
      <c r="AO48" s="133"/>
      <c r="AP48" s="133"/>
    </row>
    <row r="49" spans="1:42" x14ac:dyDescent="0.2">
      <c r="A49" s="161" t="s">
        <v>641</v>
      </c>
      <c r="B49" s="9"/>
      <c r="C49" s="96">
        <v>48</v>
      </c>
      <c r="D49" s="1" t="s">
        <v>682</v>
      </c>
      <c r="E49" s="162" t="s">
        <v>678</v>
      </c>
      <c r="F49" s="162"/>
      <c r="G49" s="163">
        <v>45866</v>
      </c>
      <c r="H49" s="163">
        <v>47691</v>
      </c>
      <c r="I49" s="104" t="s">
        <v>51</v>
      </c>
      <c r="J49" s="164" t="s">
        <v>51</v>
      </c>
      <c r="K49" s="165" t="s">
        <v>738</v>
      </c>
      <c r="L49" s="166" t="s">
        <v>322</v>
      </c>
      <c r="M49" s="1" t="s">
        <v>314</v>
      </c>
      <c r="N49" s="167" t="s">
        <v>315</v>
      </c>
      <c r="O49" s="162" t="s">
        <v>415</v>
      </c>
      <c r="P49" s="84" t="s">
        <v>11</v>
      </c>
      <c r="Q49" s="84">
        <v>2367</v>
      </c>
      <c r="R49" s="89" t="s">
        <v>415</v>
      </c>
      <c r="S49" s="89" t="s">
        <v>415</v>
      </c>
      <c r="T49" s="89" t="s">
        <v>415</v>
      </c>
      <c r="U49" s="173" t="s">
        <v>415</v>
      </c>
      <c r="V49" s="81">
        <f>SUM(Table24[[#This Row],[A1toA3_GWP]:[C1toC4_GWP]])</f>
        <v>87.908745247148289</v>
      </c>
      <c r="W49" s="81"/>
      <c r="X49" s="81"/>
      <c r="Y49" s="81">
        <f>Table24[[#This Row],[Total_GWP]]*Table24[[#This Row],[DENSITY]]/1000</f>
        <v>208.08</v>
      </c>
      <c r="Z49" s="129">
        <f>198/Table24[[#This Row],[DENSITY]]*1000</f>
        <v>83.650190114068437</v>
      </c>
      <c r="AA49" s="72">
        <f>(9.53+2.2-1.65)/Table24[[#This Row],[DENSITY]]*1000</f>
        <v>4.2585551330798479</v>
      </c>
      <c r="AB49" s="77">
        <f>SUM(Table24[[#This Row],[A1toA3_GWP-biogenic]:[C1toC4_GWP-biogenic]])</f>
        <v>0.10714026193493874</v>
      </c>
      <c r="AC49" s="73">
        <f>Table24[[#This Row],[GWP-biogenic]]*Table24[[#This Row],[DENSITY]]/1000</f>
        <v>0.25360100000000002</v>
      </c>
      <c r="AD49" s="73">
        <f>(0.25)/Table24[[#This Row],[DENSITY]]*1000</f>
        <v>0.10561892691170258</v>
      </c>
      <c r="AE49" s="75">
        <f>(1.25*10^-3+6.01*10^-4+1.75*10^-3)/Table24[[#This Row],[DENSITY]]*1000</f>
        <v>1.5213350232361638E-3</v>
      </c>
      <c r="AF49" s="107"/>
      <c r="AG49" s="129"/>
      <c r="AH49" s="129"/>
      <c r="AI49" s="75"/>
      <c r="AJ49" s="80">
        <f ca="1">IF(OR($E49="Ecoinvent",$E49="Betonsortenrechner",$E49="KBOB",$V49&lt;=0,Table24[[#This Row],[VALID_TO]]&lt;=TODAY()),0,1)</f>
        <v>1</v>
      </c>
      <c r="AK49" s="87">
        <v>1</v>
      </c>
      <c r="AL49" s="87">
        <f ca="1">IF(AND(Table24[[#This Row],[ValidEPD]]&lt;&gt;0,Table24[[#This Row],[Man_Ausschluss]]&lt;&gt;0),1,0)</f>
        <v>1</v>
      </c>
      <c r="AM49" s="17" cm="1">
        <f t="array" aca="1" ref="AM49" ca="1">IF(Table24[[#This Row],[gültig]]&lt;&gt;0,
IF(
OR(
V49=MIN(_xlfn._xlws.FILTER($V$2:$V$298,($P$2:$P$298=P49)*($N$2:$N$298=N49)*($AL$2:$AL$298&lt;&gt;0))),
V49=MAX(_xlfn._xlws.FILTER($V$2:$V$298,($P$2:$P$298=P49)*($N$2:$N$298=N49)*($AL$2:$AL$298&lt;&gt;0))),
ROWS(_xlfn._xlws.FILTER($V$2:$V$298,($P$2:$P$298=P49)*($N$2:$N$298=N49)*($AL$2:$AL$298&lt;&gt;0)))&lt;=2
),1,0),0)</f>
        <v>0</v>
      </c>
      <c r="AN49" s="56"/>
      <c r="AO49" s="1"/>
      <c r="AP49" s="1"/>
    </row>
    <row r="50" spans="1:42" x14ac:dyDescent="0.2">
      <c r="A50" s="161" t="s">
        <v>664</v>
      </c>
      <c r="B50" s="9"/>
      <c r="C50" s="96">
        <v>49</v>
      </c>
      <c r="D50" s="1" t="s">
        <v>683</v>
      </c>
      <c r="E50" s="162" t="s">
        <v>678</v>
      </c>
      <c r="F50" s="162"/>
      <c r="G50" s="163">
        <v>45866</v>
      </c>
      <c r="H50" s="163">
        <v>47691</v>
      </c>
      <c r="I50" s="104" t="s">
        <v>51</v>
      </c>
      <c r="J50" s="164" t="s">
        <v>51</v>
      </c>
      <c r="K50" s="165" t="s">
        <v>738</v>
      </c>
      <c r="L50" s="166" t="s">
        <v>322</v>
      </c>
      <c r="M50" s="1" t="s">
        <v>314</v>
      </c>
      <c r="N50" s="167" t="s">
        <v>315</v>
      </c>
      <c r="O50" s="162" t="s">
        <v>415</v>
      </c>
      <c r="P50" s="84" t="s">
        <v>11</v>
      </c>
      <c r="Q50" s="84">
        <v>2367</v>
      </c>
      <c r="R50" s="89" t="s">
        <v>415</v>
      </c>
      <c r="S50" s="89" t="s">
        <v>415</v>
      </c>
      <c r="T50" s="89" t="s">
        <v>415</v>
      </c>
      <c r="U50" s="173" t="s">
        <v>415</v>
      </c>
      <c r="V50" s="81">
        <f>SUM(Table24[[#This Row],[A1toA3_GWP]:[C1toC4_GWP]])</f>
        <v>87.908745247148289</v>
      </c>
      <c r="W50" s="81"/>
      <c r="X50" s="81"/>
      <c r="Y50" s="81">
        <f>Table24[[#This Row],[Total_GWP]]*Table24[[#This Row],[DENSITY]]/1000</f>
        <v>208.08</v>
      </c>
      <c r="Z50" s="129">
        <f>198/Table24[[#This Row],[DENSITY]]*1000</f>
        <v>83.650190114068437</v>
      </c>
      <c r="AA50" s="72">
        <f>(9.53+2.2-1.65)/Table24[[#This Row],[DENSITY]]*1000</f>
        <v>4.2585551330798479</v>
      </c>
      <c r="AB50" s="77">
        <f>SUM(Table24[[#This Row],[A1toA3_GWP-biogenic]:[C1toC4_GWP-biogenic]])</f>
        <v>0.10714026193493874</v>
      </c>
      <c r="AC50" s="73">
        <f>Table24[[#This Row],[GWP-biogenic]]*Table24[[#This Row],[DENSITY]]/1000</f>
        <v>0.25360100000000002</v>
      </c>
      <c r="AD50" s="73">
        <f>(0.25)/Table24[[#This Row],[DENSITY]]*1000</f>
        <v>0.10561892691170258</v>
      </c>
      <c r="AE50" s="75">
        <f>(1.25*10^-3+6.01*10^-4+1.75*10^-3)/Table24[[#This Row],[DENSITY]]*1000</f>
        <v>1.5213350232361638E-3</v>
      </c>
      <c r="AF50" s="107"/>
      <c r="AG50" s="129"/>
      <c r="AH50" s="129"/>
      <c r="AI50" s="75"/>
      <c r="AJ50" s="80">
        <f ca="1">IF(OR($E50="Ecoinvent",$E50="Betonsortenrechner",$E50="KBOB",$V50&lt;=0,Table24[[#This Row],[VALID_TO]]&lt;=TODAY()),0,1)</f>
        <v>1</v>
      </c>
      <c r="AK50" s="87">
        <v>1</v>
      </c>
      <c r="AL50" s="87">
        <f ca="1">IF(AND(Table24[[#This Row],[ValidEPD]]&lt;&gt;0,Table24[[#This Row],[Man_Ausschluss]]&lt;&gt;0),1,0)</f>
        <v>1</v>
      </c>
      <c r="AM50" s="17" cm="1">
        <f t="array" aca="1" ref="AM50" ca="1">IF(Table24[[#This Row],[gültig]]&lt;&gt;0,
IF(
OR(
V50=MIN(_xlfn._xlws.FILTER($V$2:$V$298,($P$2:$P$298=P50)*($N$2:$N$298=N50)*($AL$2:$AL$298&lt;&gt;0))),
V50=MAX(_xlfn._xlws.FILTER($V$2:$V$298,($P$2:$P$298=P50)*($N$2:$N$298=N50)*($AL$2:$AL$298&lt;&gt;0))),
ROWS(_xlfn._xlws.FILTER($V$2:$V$298,($P$2:$P$298=P50)*($N$2:$N$298=N50)*($AL$2:$AL$298&lt;&gt;0)))&lt;=2
),1,0),0)</f>
        <v>0</v>
      </c>
      <c r="AN50" s="56"/>
      <c r="AO50" s="1"/>
      <c r="AP50" s="1"/>
    </row>
    <row r="51" spans="1:42" x14ac:dyDescent="0.2">
      <c r="A51" s="161" t="s">
        <v>665</v>
      </c>
      <c r="B51" s="9"/>
      <c r="C51" s="96">
        <v>50</v>
      </c>
      <c r="D51" s="1" t="s">
        <v>684</v>
      </c>
      <c r="E51" s="162" t="s">
        <v>678</v>
      </c>
      <c r="F51" s="162"/>
      <c r="G51" s="163">
        <v>45866</v>
      </c>
      <c r="H51" s="163">
        <v>47691</v>
      </c>
      <c r="I51" s="104" t="s">
        <v>51</v>
      </c>
      <c r="J51" s="164" t="s">
        <v>51</v>
      </c>
      <c r="K51" s="165" t="s">
        <v>739</v>
      </c>
      <c r="L51" s="166" t="s">
        <v>322</v>
      </c>
      <c r="M51" s="1" t="s">
        <v>314</v>
      </c>
      <c r="N51" s="167" t="s">
        <v>315</v>
      </c>
      <c r="O51" s="162" t="s">
        <v>415</v>
      </c>
      <c r="P51" s="84" t="s">
        <v>11</v>
      </c>
      <c r="Q51" s="84">
        <v>2378</v>
      </c>
      <c r="R51" s="89" t="s">
        <v>415</v>
      </c>
      <c r="S51" s="89" t="s">
        <v>415</v>
      </c>
      <c r="T51" s="89" t="s">
        <v>415</v>
      </c>
      <c r="U51" s="173" t="s">
        <v>415</v>
      </c>
      <c r="V51" s="81">
        <f>SUM(Table24[[#This Row],[A1toA3_GWP]:[C1toC4_GWP]])</f>
        <v>89.65096719932717</v>
      </c>
      <c r="W51" s="81"/>
      <c r="X51" s="81"/>
      <c r="Y51" s="81">
        <f>Table24[[#This Row],[Total_GWP]]*Table24[[#This Row],[DENSITY]]/1000</f>
        <v>213.19</v>
      </c>
      <c r="Z51" s="129">
        <f>203/Table24[[#This Row],[DENSITY]]*1000</f>
        <v>85.365853658536594</v>
      </c>
      <c r="AA51" s="72">
        <f>(9.53+2.2-1.54)/Table24[[#This Row],[DENSITY]]*1000</f>
        <v>4.2851135407905812</v>
      </c>
      <c r="AB51" s="77">
        <f>SUM(Table24[[#This Row],[A1toA3_GWP-biogenic]:[C1toC4_GWP-biogenic]])</f>
        <v>0.10664592094196804</v>
      </c>
      <c r="AC51" s="73">
        <f>Table24[[#This Row],[GWP-biogenic]]*Table24[[#This Row],[DENSITY]]/1000</f>
        <v>0.253604</v>
      </c>
      <c r="AD51" s="73">
        <f>(0.25)/Table24[[#This Row],[DENSITY]]*1000</f>
        <v>0.10513036164844407</v>
      </c>
      <c r="AE51" s="75">
        <f>(1.25*10^-3+6.04*10^-4+1.75*10^-3)/Table24[[#This Row],[DENSITY]]*1000</f>
        <v>1.51555929352397E-3</v>
      </c>
      <c r="AF51" s="107"/>
      <c r="AG51" s="129"/>
      <c r="AH51" s="129"/>
      <c r="AI51" s="75"/>
      <c r="AJ51" s="80">
        <f ca="1">IF(OR($E51="Ecoinvent",$E51="Betonsortenrechner",$E51="KBOB",$V51&lt;=0,Table24[[#This Row],[VALID_TO]]&lt;=TODAY()),0,1)</f>
        <v>1</v>
      </c>
      <c r="AK51" s="87">
        <v>1</v>
      </c>
      <c r="AL51" s="87">
        <f ca="1">IF(AND(Table24[[#This Row],[ValidEPD]]&lt;&gt;0,Table24[[#This Row],[Man_Ausschluss]]&lt;&gt;0),1,0)</f>
        <v>1</v>
      </c>
      <c r="AM51" s="17" cm="1">
        <f t="array" aca="1" ref="AM51" ca="1">IF(Table24[[#This Row],[gültig]]&lt;&gt;0,
IF(
OR(
V51=MIN(_xlfn._xlws.FILTER($V$2:$V$298,($P$2:$P$298=P51)*($N$2:$N$298=N51)*($AL$2:$AL$298&lt;&gt;0))),
V51=MAX(_xlfn._xlws.FILTER($V$2:$V$298,($P$2:$P$298=P51)*($N$2:$N$298=N51)*($AL$2:$AL$298&lt;&gt;0))),
ROWS(_xlfn._xlws.FILTER($V$2:$V$298,($P$2:$P$298=P51)*($N$2:$N$298=N51)*($AL$2:$AL$298&lt;&gt;0)))&lt;=2
),1,0),0)</f>
        <v>0</v>
      </c>
      <c r="AN51" s="56"/>
      <c r="AO51" s="1"/>
      <c r="AP51" s="1"/>
    </row>
    <row r="52" spans="1:42" x14ac:dyDescent="0.2">
      <c r="A52" s="161" t="s">
        <v>666</v>
      </c>
      <c r="B52" s="9"/>
      <c r="C52" s="96">
        <v>51</v>
      </c>
      <c r="D52" s="1" t="s">
        <v>685</v>
      </c>
      <c r="E52" s="162" t="s">
        <v>678</v>
      </c>
      <c r="F52" s="162"/>
      <c r="G52" s="163">
        <v>45866</v>
      </c>
      <c r="H52" s="163">
        <v>47691</v>
      </c>
      <c r="I52" s="104" t="s">
        <v>51</v>
      </c>
      <c r="J52" s="164" t="s">
        <v>51</v>
      </c>
      <c r="K52" s="165" t="s">
        <v>740</v>
      </c>
      <c r="L52" s="166" t="s">
        <v>322</v>
      </c>
      <c r="M52" s="1" t="s">
        <v>314</v>
      </c>
      <c r="N52" s="167" t="s">
        <v>315</v>
      </c>
      <c r="O52" s="162" t="s">
        <v>415</v>
      </c>
      <c r="P52" s="84" t="s">
        <v>11</v>
      </c>
      <c r="Q52" s="84">
        <v>2374</v>
      </c>
      <c r="R52" s="89" t="s">
        <v>415</v>
      </c>
      <c r="S52" s="89" t="s">
        <v>415</v>
      </c>
      <c r="T52" s="89" t="s">
        <v>415</v>
      </c>
      <c r="U52" s="173" t="s">
        <v>415</v>
      </c>
      <c r="V52" s="81">
        <f>SUM(Table24[[#This Row],[A1toA3_GWP]:[C1toC4_GWP]])</f>
        <v>92.34625105307498</v>
      </c>
      <c r="W52" s="81"/>
      <c r="X52" s="81"/>
      <c r="Y52" s="81">
        <f>Table24[[#This Row],[Total_GWP]]*Table24[[#This Row],[DENSITY]]/1000</f>
        <v>219.23</v>
      </c>
      <c r="Z52" s="129">
        <f>209/Table24[[#This Row],[DENSITY]]*1000</f>
        <v>88.03706823925863</v>
      </c>
      <c r="AA52" s="72">
        <f>(9.53+2.2-1.5)/Table24[[#This Row],[DENSITY]]*1000</f>
        <v>4.3091828138163439</v>
      </c>
      <c r="AB52" s="77">
        <f>SUM(Table24[[#This Row],[A1toA3_GWP-biogenic]:[C1toC4_GWP-biogenic]])</f>
        <v>0.11527548441449033</v>
      </c>
      <c r="AC52" s="73">
        <f>Table24[[#This Row],[GWP-biogenic]]*Table24[[#This Row],[DENSITY]]/1000</f>
        <v>0.27366400000000002</v>
      </c>
      <c r="AD52" s="73">
        <f>(0.27)/Table24[[#This Row],[DENSITY]]*1000</f>
        <v>0.11373209772535806</v>
      </c>
      <c r="AE52" s="75">
        <f>(1.25*10^-3+6.04*10^-4+1.81*10^-3)/Table24[[#This Row],[DENSITY]]*1000</f>
        <v>1.5433866891322665E-3</v>
      </c>
      <c r="AF52" s="107"/>
      <c r="AG52" s="129"/>
      <c r="AH52" s="129"/>
      <c r="AI52" s="75"/>
      <c r="AJ52" s="80">
        <f ca="1">IF(OR($E52="Ecoinvent",$E52="Betonsortenrechner",$E52="KBOB",$V52&lt;=0,Table24[[#This Row],[VALID_TO]]&lt;=TODAY()),0,1)</f>
        <v>1</v>
      </c>
      <c r="AK52" s="87">
        <v>1</v>
      </c>
      <c r="AL52" s="87">
        <f ca="1">IF(AND(Table24[[#This Row],[ValidEPD]]&lt;&gt;0,Table24[[#This Row],[Man_Ausschluss]]&lt;&gt;0),1,0)</f>
        <v>1</v>
      </c>
      <c r="AM52" s="17" cm="1">
        <f t="array" aca="1" ref="AM52" ca="1">IF(Table24[[#This Row],[gültig]]&lt;&gt;0,
IF(
OR(
V52=MIN(_xlfn._xlws.FILTER($V$2:$V$298,($P$2:$P$298=P52)*($N$2:$N$298=N52)*($AL$2:$AL$298&lt;&gt;0))),
V52=MAX(_xlfn._xlws.FILTER($V$2:$V$298,($P$2:$P$298=P52)*($N$2:$N$298=N52)*($AL$2:$AL$298&lt;&gt;0))),
ROWS(_xlfn._xlws.FILTER($V$2:$V$298,($P$2:$P$298=P52)*($N$2:$N$298=N52)*($AL$2:$AL$298&lt;&gt;0)))&lt;=2
),1,0),0)</f>
        <v>0</v>
      </c>
      <c r="AN52" s="56"/>
      <c r="AO52" s="1"/>
      <c r="AP52" s="1"/>
    </row>
    <row r="53" spans="1:42" x14ac:dyDescent="0.2">
      <c r="A53" s="161" t="s">
        <v>667</v>
      </c>
      <c r="B53" s="9"/>
      <c r="C53" s="96">
        <v>52</v>
      </c>
      <c r="D53" s="1" t="s">
        <v>686</v>
      </c>
      <c r="E53" s="162" t="s">
        <v>678</v>
      </c>
      <c r="F53" s="162"/>
      <c r="G53" s="163">
        <v>45866</v>
      </c>
      <c r="H53" s="163">
        <v>47691</v>
      </c>
      <c r="I53" s="104" t="s">
        <v>51</v>
      </c>
      <c r="J53" s="164" t="s">
        <v>51</v>
      </c>
      <c r="K53" s="165" t="s">
        <v>741</v>
      </c>
      <c r="L53" s="166" t="s">
        <v>322</v>
      </c>
      <c r="M53" s="1" t="s">
        <v>314</v>
      </c>
      <c r="N53" s="167" t="s">
        <v>315</v>
      </c>
      <c r="O53" s="162" t="s">
        <v>415</v>
      </c>
      <c r="P53" s="84" t="s">
        <v>11</v>
      </c>
      <c r="Q53" s="84">
        <v>2398</v>
      </c>
      <c r="R53" s="89" t="s">
        <v>415</v>
      </c>
      <c r="S53" s="89" t="s">
        <v>415</v>
      </c>
      <c r="T53" s="89" t="s">
        <v>415</v>
      </c>
      <c r="U53" s="173" t="s">
        <v>415</v>
      </c>
      <c r="V53" s="81">
        <f>SUM(Table24[[#This Row],[A1toA3_GWP]:[C1toC4_GWP]])</f>
        <v>95.967472894078398</v>
      </c>
      <c r="W53" s="81"/>
      <c r="X53" s="81"/>
      <c r="Y53" s="81">
        <f>Table24[[#This Row],[Total_GWP]]*Table24[[#This Row],[DENSITY]]/1000</f>
        <v>230.13</v>
      </c>
      <c r="Z53" s="129">
        <f>220/Table24[[#This Row],[DENSITY]]*1000</f>
        <v>91.743119266055047</v>
      </c>
      <c r="AA53" s="72">
        <f>(9.53+2.23-1.63)/Table24[[#This Row],[DENSITY]]*1000</f>
        <v>4.2243536280233522</v>
      </c>
      <c r="AB53" s="77">
        <f>SUM(Table24[[#This Row],[A1toA3_GWP-biogenic]:[C1toC4_GWP-biogenic]])</f>
        <v>0.10159674728940785</v>
      </c>
      <c r="AC53" s="73">
        <f>Table24[[#This Row],[GWP-biogenic]]*Table24[[#This Row],[DENSITY]]/1000</f>
        <v>0.24362900000000001</v>
      </c>
      <c r="AD53" s="73">
        <f>(0.24)/Table24[[#This Row],[DENSITY]]*1000</f>
        <v>0.10008340283569642</v>
      </c>
      <c r="AE53" s="75">
        <f>(1.25*10^-3+6.09*10^-4+1.77*10^-3)/Table24[[#This Row],[DENSITY]]*1000</f>
        <v>1.5133444537114263E-3</v>
      </c>
      <c r="AF53" s="107"/>
      <c r="AG53" s="129"/>
      <c r="AH53" s="129"/>
      <c r="AI53" s="75"/>
      <c r="AJ53" s="80">
        <f ca="1">IF(OR($E53="Ecoinvent",$E53="Betonsortenrechner",$E53="KBOB",$V53&lt;=0,Table24[[#This Row],[VALID_TO]]&lt;=TODAY()),0,1)</f>
        <v>1</v>
      </c>
      <c r="AK53" s="87">
        <v>1</v>
      </c>
      <c r="AL53" s="87">
        <f ca="1">IF(AND(Table24[[#This Row],[ValidEPD]]&lt;&gt;0,Table24[[#This Row],[Man_Ausschluss]]&lt;&gt;0),1,0)</f>
        <v>1</v>
      </c>
      <c r="AM53" s="17" cm="1">
        <f t="array" aca="1" ref="AM53" ca="1">IF(Table24[[#This Row],[gültig]]&lt;&gt;0,
IF(
OR(
V53=MIN(_xlfn._xlws.FILTER($V$2:$V$298,($P$2:$P$298=P53)*($N$2:$N$298=N53)*($AL$2:$AL$298&lt;&gt;0))),
V53=MAX(_xlfn._xlws.FILTER($V$2:$V$298,($P$2:$P$298=P53)*($N$2:$N$298=N53)*($AL$2:$AL$298&lt;&gt;0))),
ROWS(_xlfn._xlws.FILTER($V$2:$V$298,($P$2:$P$298=P53)*($N$2:$N$298=N53)*($AL$2:$AL$298&lt;&gt;0)))&lt;=2
),1,0),0)</f>
        <v>0</v>
      </c>
      <c r="AN53" s="56"/>
      <c r="AO53" s="1"/>
      <c r="AP53" s="1"/>
    </row>
    <row r="54" spans="1:42" x14ac:dyDescent="0.2">
      <c r="A54" s="161" t="s">
        <v>668</v>
      </c>
      <c r="B54" s="9"/>
      <c r="C54" s="96">
        <v>53</v>
      </c>
      <c r="D54" s="1" t="s">
        <v>687</v>
      </c>
      <c r="E54" s="162" t="s">
        <v>678</v>
      </c>
      <c r="F54" s="162"/>
      <c r="G54" s="163">
        <v>45866</v>
      </c>
      <c r="H54" s="163">
        <v>47691</v>
      </c>
      <c r="I54" s="104" t="s">
        <v>51</v>
      </c>
      <c r="J54" s="164" t="s">
        <v>51</v>
      </c>
      <c r="K54" s="165" t="s">
        <v>742</v>
      </c>
      <c r="L54" s="166" t="s">
        <v>322</v>
      </c>
      <c r="M54" s="1" t="s">
        <v>314</v>
      </c>
      <c r="N54" s="167" t="s">
        <v>315</v>
      </c>
      <c r="O54" s="162" t="s">
        <v>415</v>
      </c>
      <c r="P54" s="84" t="s">
        <v>688</v>
      </c>
      <c r="Q54" s="84">
        <v>2453</v>
      </c>
      <c r="R54" s="89" t="s">
        <v>415</v>
      </c>
      <c r="S54" s="89" t="s">
        <v>415</v>
      </c>
      <c r="T54" s="89" t="s">
        <v>415</v>
      </c>
      <c r="U54" s="173" t="s">
        <v>415</v>
      </c>
      <c r="V54" s="81">
        <f>SUM(Table24[[#This Row],[A1toA3_GWP]:[C1toC4_GWP]])</f>
        <v>97.52547900529963</v>
      </c>
      <c r="W54" s="81"/>
      <c r="X54" s="81"/>
      <c r="Y54" s="81">
        <f>Table24[[#This Row],[Total_GWP]]*Table24[[#This Row],[DENSITY]]/1000</f>
        <v>239.23</v>
      </c>
      <c r="Z54" s="129">
        <f>229/Table24[[#This Row],[DENSITY]]*1000</f>
        <v>93.355075417855687</v>
      </c>
      <c r="AA54" s="72">
        <f>(9.53+2.28-1.58)/Table24[[#This Row],[DENSITY]]*1000</f>
        <v>4.1704035874439453</v>
      </c>
      <c r="AB54" s="77">
        <f>SUM(Table24[[#This Row],[A1toA3_GWP-biogenic]:[C1toC4_GWP-biogenic]])</f>
        <v>0.12380065226253566</v>
      </c>
      <c r="AC54" s="73">
        <f>Table24[[#This Row],[GWP-biogenic]]*Table24[[#This Row],[DENSITY]]/1000</f>
        <v>0.30368299999999998</v>
      </c>
      <c r="AD54" s="73">
        <f>(0.3)/Table24[[#This Row],[DENSITY]]*1000</f>
        <v>0.12229922543823887</v>
      </c>
      <c r="AE54" s="75">
        <f>(1.25*10^-3+6.23*10^-4+1.81*10^-3)/Table24[[#This Row],[DENSITY]]*1000</f>
        <v>1.5014268242967796E-3</v>
      </c>
      <c r="AF54" s="107"/>
      <c r="AG54" s="129"/>
      <c r="AH54" s="129"/>
      <c r="AI54" s="75"/>
      <c r="AJ54" s="80">
        <f ca="1">IF(OR($E54="Ecoinvent",$E54="Betonsortenrechner",$E54="KBOB",$V54&lt;=0,Table24[[#This Row],[VALID_TO]]&lt;=TODAY()),0,1)</f>
        <v>1</v>
      </c>
      <c r="AK54" s="87">
        <v>0</v>
      </c>
      <c r="AL54" s="87">
        <f ca="1">IF(AND(Table24[[#This Row],[ValidEPD]]&lt;&gt;0,Table24[[#This Row],[Man_Ausschluss]]&lt;&gt;0),1,0)</f>
        <v>0</v>
      </c>
      <c r="AM54" s="17" cm="1">
        <f t="array" aca="1" ref="AM54" ca="1">IF(Table24[[#This Row],[gültig]]&lt;&gt;0,
IF(
OR(
V54=MIN(_xlfn._xlws.FILTER($V$2:$V$298,($P$2:$P$298=P54)*($N$2:$N$298=N54)*($AL$2:$AL$298&lt;&gt;0))),
V54=MAX(_xlfn._xlws.FILTER($V$2:$V$298,($P$2:$P$298=P54)*($N$2:$N$298=N54)*($AL$2:$AL$298&lt;&gt;0))),
ROWS(_xlfn._xlws.FILTER($V$2:$V$298,($P$2:$P$298=P54)*($N$2:$N$298=N54)*($AL$2:$AL$298&lt;&gt;0)))&lt;=2
),1,0),0)</f>
        <v>0</v>
      </c>
      <c r="AN54" s="56"/>
      <c r="AO54" s="1"/>
      <c r="AP54" s="1"/>
    </row>
    <row r="55" spans="1:42" x14ac:dyDescent="0.2">
      <c r="A55" s="161" t="s">
        <v>669</v>
      </c>
      <c r="B55" s="9"/>
      <c r="C55" s="96">
        <v>54</v>
      </c>
      <c r="D55" s="1" t="s">
        <v>689</v>
      </c>
      <c r="E55" s="162" t="s">
        <v>678</v>
      </c>
      <c r="F55" s="162"/>
      <c r="G55" s="163">
        <v>45727</v>
      </c>
      <c r="H55" s="163">
        <v>47552</v>
      </c>
      <c r="I55" s="104" t="s">
        <v>51</v>
      </c>
      <c r="J55" s="164" t="s">
        <v>51</v>
      </c>
      <c r="K55" s="165" t="s">
        <v>743</v>
      </c>
      <c r="L55" s="166" t="s">
        <v>322</v>
      </c>
      <c r="M55" s="1" t="s">
        <v>314</v>
      </c>
      <c r="N55" s="167" t="s">
        <v>315</v>
      </c>
      <c r="O55" s="162" t="s">
        <v>415</v>
      </c>
      <c r="P55" s="84" t="s">
        <v>11</v>
      </c>
      <c r="Q55" s="84">
        <v>2342</v>
      </c>
      <c r="R55" s="89" t="s">
        <v>415</v>
      </c>
      <c r="S55" s="89" t="s">
        <v>415</v>
      </c>
      <c r="T55" s="89" t="s">
        <v>415</v>
      </c>
      <c r="U55" s="173" t="s">
        <v>415</v>
      </c>
      <c r="V55" s="81">
        <f>SUM(Table24[[#This Row],[A1toA3_GWP]:[C1toC4_GWP]])</f>
        <v>99.052092228864225</v>
      </c>
      <c r="W55" s="81"/>
      <c r="X55" s="81"/>
      <c r="Y55" s="81">
        <f>Table24[[#This Row],[Total_GWP]]*Table24[[#This Row],[DENSITY]]/1000</f>
        <v>231.98000000000002</v>
      </c>
      <c r="Z55" s="129">
        <f>222/Table24[[#This Row],[DENSITY]]*1000</f>
        <v>94.790777113578145</v>
      </c>
      <c r="AA55" s="72">
        <f>(9.53+1.72-1.27)/Table24[[#This Row],[DENSITY]]*1000</f>
        <v>4.26131511528608</v>
      </c>
      <c r="AB55" s="77">
        <f>SUM(Table24[[#This Row],[A1toA3_GWP-biogenic]:[C1toC4_GWP-biogenic]])</f>
        <v>0.13796541417591801</v>
      </c>
      <c r="AC55" s="73">
        <f>Table24[[#This Row],[GWP-biogenic]]*Table24[[#This Row],[DENSITY]]/1000</f>
        <v>0.32311499999999999</v>
      </c>
      <c r="AD55" s="73">
        <f>(0.32)/Table24[[#This Row],[DENSITY]]*1000</f>
        <v>0.13663535439795046</v>
      </c>
      <c r="AE55" s="75">
        <f>(1.25*10^-3+1.35*10^-4+1.73*10^-3)/Table24[[#This Row],[DENSITY]]*1000</f>
        <v>1.3300597779675491E-3</v>
      </c>
      <c r="AF55" s="107"/>
      <c r="AG55" s="129"/>
      <c r="AH55" s="129"/>
      <c r="AI55" s="75"/>
      <c r="AJ55" s="80">
        <f ca="1">IF(OR($E55="Ecoinvent",$E55="Betonsortenrechner",$E55="KBOB",$V55&lt;=0,Table24[[#This Row],[VALID_TO]]&lt;=TODAY()),0,1)</f>
        <v>1</v>
      </c>
      <c r="AK55" s="87">
        <v>1</v>
      </c>
      <c r="AL55" s="87">
        <f ca="1">IF(AND(Table24[[#This Row],[ValidEPD]]&lt;&gt;0,Table24[[#This Row],[Man_Ausschluss]]&lt;&gt;0),1,0)</f>
        <v>1</v>
      </c>
      <c r="AM55" s="17" cm="1">
        <f t="array" aca="1" ref="AM55" ca="1">IF(Table24[[#This Row],[gültig]]&lt;&gt;0,
IF(
OR(
V55=MIN(_xlfn._xlws.FILTER($V$2:$V$298,($P$2:$P$298=P55)*($N$2:$N$298=N55)*($AL$2:$AL$298&lt;&gt;0))),
V55=MAX(_xlfn._xlws.FILTER($V$2:$V$298,($P$2:$P$298=P55)*($N$2:$N$298=N55)*($AL$2:$AL$298&lt;&gt;0))),
ROWS(_xlfn._xlws.FILTER($V$2:$V$298,($P$2:$P$298=P55)*($N$2:$N$298=N55)*($AL$2:$AL$298&lt;&gt;0)))&lt;=2
),1,0),0)</f>
        <v>0</v>
      </c>
      <c r="AN55" s="56"/>
      <c r="AO55" s="1"/>
      <c r="AP55" s="1"/>
    </row>
    <row r="56" spans="1:42" x14ac:dyDescent="0.2">
      <c r="A56" s="161" t="s">
        <v>670</v>
      </c>
      <c r="B56" s="9"/>
      <c r="C56" s="96">
        <v>55</v>
      </c>
      <c r="D56" s="1" t="s">
        <v>690</v>
      </c>
      <c r="E56" s="162" t="s">
        <v>678</v>
      </c>
      <c r="F56" s="162"/>
      <c r="G56" s="163">
        <v>45798</v>
      </c>
      <c r="H56" s="163">
        <v>47623</v>
      </c>
      <c r="I56" s="104" t="s">
        <v>51</v>
      </c>
      <c r="J56" s="164" t="s">
        <v>51</v>
      </c>
      <c r="K56" s="165" t="s">
        <v>744</v>
      </c>
      <c r="L56" s="166" t="s">
        <v>322</v>
      </c>
      <c r="M56" s="1" t="s">
        <v>314</v>
      </c>
      <c r="N56" s="167" t="s">
        <v>315</v>
      </c>
      <c r="O56" s="162" t="s">
        <v>415</v>
      </c>
      <c r="P56" s="84" t="s">
        <v>11</v>
      </c>
      <c r="Q56" s="84">
        <v>2387</v>
      </c>
      <c r="R56" s="89" t="s">
        <v>415</v>
      </c>
      <c r="S56" s="89" t="s">
        <v>415</v>
      </c>
      <c r="T56" s="89" t="s">
        <v>415</v>
      </c>
      <c r="U56" s="173" t="s">
        <v>415</v>
      </c>
      <c r="V56" s="81">
        <f>SUM(Table24[[#This Row],[A1toA3_GWP]:[C1toC4_GWP]])</f>
        <v>69.430247172182661</v>
      </c>
      <c r="W56" s="81"/>
      <c r="X56" s="81"/>
      <c r="Y56" s="81">
        <f>Table24[[#This Row],[Total_GWP]]*Table24[[#This Row],[DENSITY]]/1000</f>
        <v>165.73</v>
      </c>
      <c r="Z56" s="129">
        <f>156/Table24[[#This Row],[DENSITY]]*1000</f>
        <v>65.354000837871808</v>
      </c>
      <c r="AA56" s="72">
        <f>(9.53+2.22-2.02)/Table24[[#This Row],[DENSITY]]*1000</f>
        <v>4.0762463343108504</v>
      </c>
      <c r="AB56" s="77">
        <f>SUM(Table24[[#This Row],[A1toA3_GWP-biogenic]:[C1toC4_GWP-biogenic]])</f>
        <v>0.90641642228739006</v>
      </c>
      <c r="AC56" s="73">
        <f>Table24[[#This Row],[GWP-biogenic]]*Table24[[#This Row],[DENSITY]]/1000</f>
        <v>2.1636160000000002</v>
      </c>
      <c r="AD56" s="73">
        <f>(2.16)/Table24[[#This Row],[DENSITY]]*1000</f>
        <v>0.90490155006284045</v>
      </c>
      <c r="AE56" s="75">
        <f>(1.25*10^-3+6.06*10^-4+1.76*10^-3)/Table24[[#This Row],[DENSITY]]*1000</f>
        <v>1.5148722245496441E-3</v>
      </c>
      <c r="AF56" s="107"/>
      <c r="AG56" s="129"/>
      <c r="AH56" s="129"/>
      <c r="AI56" s="75"/>
      <c r="AJ56" s="80">
        <f ca="1">IF(OR($E56="Ecoinvent",$E56="Betonsortenrechner",$E56="KBOB",$V56&lt;=0,Table24[[#This Row],[VALID_TO]]&lt;=TODAY()),0,1)</f>
        <v>1</v>
      </c>
      <c r="AK56" s="87">
        <v>1</v>
      </c>
      <c r="AL56" s="87">
        <f ca="1">IF(AND(Table24[[#This Row],[ValidEPD]]&lt;&gt;0,Table24[[#This Row],[Man_Ausschluss]]&lt;&gt;0),1,0)</f>
        <v>1</v>
      </c>
      <c r="AM56" s="17" cm="1">
        <f t="array" aca="1" ref="AM56" ca="1">IF(Table24[[#This Row],[gültig]]&lt;&gt;0,
IF(
OR(
V56=MIN(_xlfn._xlws.FILTER($V$2:$V$298,($P$2:$P$298=P56)*($N$2:$N$298=N56)*($AL$2:$AL$298&lt;&gt;0))),
V56=MAX(_xlfn._xlws.FILTER($V$2:$V$298,($P$2:$P$298=P56)*($N$2:$N$298=N56)*($AL$2:$AL$298&lt;&gt;0))),
ROWS(_xlfn._xlws.FILTER($V$2:$V$298,($P$2:$P$298=P56)*($N$2:$N$298=N56)*($AL$2:$AL$298&lt;&gt;0)))&lt;=2
),1,0),0)</f>
        <v>0</v>
      </c>
      <c r="AN56" s="56"/>
      <c r="AO56" s="1"/>
      <c r="AP56" s="1"/>
    </row>
    <row r="57" spans="1:42" x14ac:dyDescent="0.2">
      <c r="A57" s="161" t="s">
        <v>671</v>
      </c>
      <c r="B57" s="9"/>
      <c r="C57" s="96">
        <v>56</v>
      </c>
      <c r="D57" s="1" t="s">
        <v>691</v>
      </c>
      <c r="E57" s="162" t="s">
        <v>678</v>
      </c>
      <c r="F57" s="162"/>
      <c r="G57" s="163">
        <v>45727</v>
      </c>
      <c r="H57" s="163">
        <v>47552</v>
      </c>
      <c r="I57" s="104" t="s">
        <v>51</v>
      </c>
      <c r="J57" s="164" t="s">
        <v>51</v>
      </c>
      <c r="K57" s="165" t="s">
        <v>744</v>
      </c>
      <c r="L57" s="166" t="s">
        <v>322</v>
      </c>
      <c r="M57" s="1" t="s">
        <v>314</v>
      </c>
      <c r="N57" s="167" t="s">
        <v>315</v>
      </c>
      <c r="O57" s="162" t="s">
        <v>415</v>
      </c>
      <c r="P57" s="84" t="s">
        <v>11</v>
      </c>
      <c r="Q57" s="84">
        <v>2363</v>
      </c>
      <c r="R57" s="89" t="s">
        <v>415</v>
      </c>
      <c r="S57" s="89" t="s">
        <v>415</v>
      </c>
      <c r="T57" s="89" t="s">
        <v>415</v>
      </c>
      <c r="U57" s="173" t="s">
        <v>415</v>
      </c>
      <c r="V57" s="81">
        <f>SUM(Table24[[#This Row],[A1toA3_GWP]:[C1toC4_GWP]])</f>
        <v>79.064748201438846</v>
      </c>
      <c r="W57" s="81"/>
      <c r="X57" s="81"/>
      <c r="Y57" s="81">
        <f>Table24[[#This Row],[Total_GWP]]*Table24[[#This Row],[DENSITY]]/1000</f>
        <v>186.83</v>
      </c>
      <c r="Z57" s="129">
        <f>177/Table24[[#This Row],[DENSITY]]*1000</f>
        <v>74.904782056707575</v>
      </c>
      <c r="AA57" s="72">
        <f>(9.53+1.74-1.44)/Table24[[#This Row],[DENSITY]]*1000</f>
        <v>4.1599661447312739</v>
      </c>
      <c r="AB57" s="77">
        <f>SUM(Table24[[#This Row],[A1toA3_GWP-biogenic]:[C1toC4_GWP-biogenic]])</f>
        <v>8.5961066440964892E-2</v>
      </c>
      <c r="AC57" s="73">
        <f>Table24[[#This Row],[GWP-biogenic]]*Table24[[#This Row],[DENSITY]]/1000</f>
        <v>0.20312600000000003</v>
      </c>
      <c r="AD57" s="73">
        <f>(0.2)/Table24[[#This Row],[DENSITY]]*1000</f>
        <v>8.46381718154888E-2</v>
      </c>
      <c r="AE57" s="75">
        <f>(1.25*10^-3+1.36*10^-4+1.74*10^-3)/Table24[[#This Row],[DENSITY]]*1000</f>
        <v>1.3228946254760898E-3</v>
      </c>
      <c r="AF57" s="107"/>
      <c r="AG57" s="129"/>
      <c r="AH57" s="129"/>
      <c r="AI57" s="75"/>
      <c r="AJ57" s="80">
        <f ca="1">IF(OR($E57="Ecoinvent",$E57="Betonsortenrechner",$E57="KBOB",$V57&lt;=0,Table24[[#This Row],[VALID_TO]]&lt;=TODAY()),0,1)</f>
        <v>1</v>
      </c>
      <c r="AK57" s="87">
        <v>1</v>
      </c>
      <c r="AL57" s="87">
        <f ca="1">IF(AND(Table24[[#This Row],[ValidEPD]]&lt;&gt;0,Table24[[#This Row],[Man_Ausschluss]]&lt;&gt;0),1,0)</f>
        <v>1</v>
      </c>
      <c r="AM57" s="17" cm="1">
        <f t="array" aca="1" ref="AM57" ca="1">IF(Table24[[#This Row],[gültig]]&lt;&gt;0,
IF(
OR(
V57=MIN(_xlfn._xlws.FILTER($V$2:$V$298,($P$2:$P$298=P57)*($N$2:$N$298=N57)*($AL$2:$AL$298&lt;&gt;0))),
V57=MAX(_xlfn._xlws.FILTER($V$2:$V$298,($P$2:$P$298=P57)*($N$2:$N$298=N57)*($AL$2:$AL$298&lt;&gt;0))),
ROWS(_xlfn._xlws.FILTER($V$2:$V$298,($P$2:$P$298=P57)*($N$2:$N$298=N57)*($AL$2:$AL$298&lt;&gt;0)))&lt;=2
),1,0),0)</f>
        <v>0</v>
      </c>
      <c r="AN57" s="56"/>
      <c r="AO57" s="1"/>
      <c r="AP57" s="1"/>
    </row>
    <row r="58" spans="1:42" x14ac:dyDescent="0.2">
      <c r="A58" s="161" t="s">
        <v>672</v>
      </c>
      <c r="B58" s="9"/>
      <c r="C58" s="96">
        <v>57</v>
      </c>
      <c r="D58" s="1" t="s">
        <v>692</v>
      </c>
      <c r="E58" s="162" t="s">
        <v>678</v>
      </c>
      <c r="F58" s="162"/>
      <c r="G58" s="163">
        <v>45727</v>
      </c>
      <c r="H58" s="163">
        <v>47552</v>
      </c>
      <c r="I58" s="104" t="s">
        <v>51</v>
      </c>
      <c r="J58" s="164" t="s">
        <v>51</v>
      </c>
      <c r="K58" s="165" t="s">
        <v>745</v>
      </c>
      <c r="L58" s="166" t="s">
        <v>322</v>
      </c>
      <c r="M58" s="1" t="s">
        <v>314</v>
      </c>
      <c r="N58" s="167" t="s">
        <v>315</v>
      </c>
      <c r="O58" s="162" t="s">
        <v>415</v>
      </c>
      <c r="P58" s="84" t="s">
        <v>11</v>
      </c>
      <c r="Q58" s="84">
        <v>2387</v>
      </c>
      <c r="R58" s="89" t="s">
        <v>415</v>
      </c>
      <c r="S58" s="89" t="s">
        <v>415</v>
      </c>
      <c r="T58" s="89" t="s">
        <v>415</v>
      </c>
      <c r="U58" s="173" t="s">
        <v>415</v>
      </c>
      <c r="V58" s="81">
        <f>SUM(Table24[[#This Row],[A1toA3_GWP]:[C1toC4_GWP]])</f>
        <v>80.377042312526186</v>
      </c>
      <c r="W58" s="81"/>
      <c r="X58" s="81"/>
      <c r="Y58" s="81">
        <f>Table24[[#This Row],[Total_GWP]]*Table24[[#This Row],[DENSITY]]/1000</f>
        <v>191.86</v>
      </c>
      <c r="Z58" s="129">
        <f>182/Table24[[#This Row],[DENSITY]]*1000</f>
        <v>76.246334310850443</v>
      </c>
      <c r="AA58" s="72">
        <f>(9.53+1.75-1.42)/Table24[[#This Row],[DENSITY]]*1000</f>
        <v>4.1307080016757434</v>
      </c>
      <c r="AB58" s="77">
        <f>SUM(Table24[[#This Row],[A1toA3_GWP-biogenic]:[C1toC4_GWP-biogenic]])</f>
        <v>0.11024172601591956</v>
      </c>
      <c r="AC58" s="73">
        <f>Table24[[#This Row],[GWP-biogenic]]*Table24[[#This Row],[DENSITY]]/1000</f>
        <v>0.26314699999999996</v>
      </c>
      <c r="AD58" s="73">
        <f>(0.26)/Table24[[#This Row],[DENSITY]]*1000</f>
        <v>0.10892333472978634</v>
      </c>
      <c r="AE58" s="75">
        <f>(1.25*10^-3+1.37*10^-4+1.76*10^-3)/Table24[[#This Row],[DENSITY]]*1000</f>
        <v>1.3183912861332216E-3</v>
      </c>
      <c r="AF58" s="107"/>
      <c r="AG58" s="129"/>
      <c r="AH58" s="129"/>
      <c r="AI58" s="75"/>
      <c r="AJ58" s="80">
        <f ca="1">IF(OR($E58="Ecoinvent",$E58="Betonsortenrechner",$E58="KBOB",$V58&lt;=0,Table24[[#This Row],[VALID_TO]]&lt;=TODAY()),0,1)</f>
        <v>1</v>
      </c>
      <c r="AK58" s="87">
        <v>1</v>
      </c>
      <c r="AL58" s="87">
        <f ca="1">IF(AND(Table24[[#This Row],[ValidEPD]]&lt;&gt;0,Table24[[#This Row],[Man_Ausschluss]]&lt;&gt;0),1,0)</f>
        <v>1</v>
      </c>
      <c r="AM58" s="17" cm="1">
        <f t="array" aca="1" ref="AM58" ca="1">IF(Table24[[#This Row],[gültig]]&lt;&gt;0,
IF(
OR(
V58=MIN(_xlfn._xlws.FILTER($V$2:$V$298,($P$2:$P$298=P58)*($N$2:$N$298=N58)*($AL$2:$AL$298&lt;&gt;0))),
V58=MAX(_xlfn._xlws.FILTER($V$2:$V$298,($P$2:$P$298=P58)*($N$2:$N$298=N58)*($AL$2:$AL$298&lt;&gt;0))),
ROWS(_xlfn._xlws.FILTER($V$2:$V$298,($P$2:$P$298=P58)*($N$2:$N$298=N58)*($AL$2:$AL$298&lt;&gt;0)))&lt;=2
),1,0),0)</f>
        <v>0</v>
      </c>
      <c r="AN58" s="56"/>
      <c r="AO58" s="1"/>
      <c r="AP58" s="1"/>
    </row>
    <row r="59" spans="1:42" x14ac:dyDescent="0.2">
      <c r="A59" s="161" t="s">
        <v>673</v>
      </c>
      <c r="B59" s="9"/>
      <c r="C59" s="96">
        <v>58</v>
      </c>
      <c r="D59" s="1" t="s">
        <v>693</v>
      </c>
      <c r="E59" s="162" t="s">
        <v>678</v>
      </c>
      <c r="F59" s="162"/>
      <c r="G59" s="163">
        <v>45727</v>
      </c>
      <c r="H59" s="163">
        <v>47552</v>
      </c>
      <c r="I59" s="104" t="s">
        <v>51</v>
      </c>
      <c r="J59" s="164" t="s">
        <v>51</v>
      </c>
      <c r="K59" s="165" t="s">
        <v>746</v>
      </c>
      <c r="L59" s="166" t="s">
        <v>322</v>
      </c>
      <c r="M59" s="1" t="s">
        <v>314</v>
      </c>
      <c r="N59" s="167" t="s">
        <v>315</v>
      </c>
      <c r="O59" s="162" t="s">
        <v>415</v>
      </c>
      <c r="P59" s="84" t="s">
        <v>11</v>
      </c>
      <c r="Q59" s="84">
        <v>2387</v>
      </c>
      <c r="R59" s="89" t="s">
        <v>415</v>
      </c>
      <c r="S59" s="89" t="s">
        <v>415</v>
      </c>
      <c r="T59" s="89" t="s">
        <v>415</v>
      </c>
      <c r="U59" s="173" t="s">
        <v>415</v>
      </c>
      <c r="V59" s="81">
        <f>SUM(Table24[[#This Row],[A1toA3_GWP]:[C1toC4_GWP]])</f>
        <v>80.795978215333051</v>
      </c>
      <c r="W59" s="81"/>
      <c r="X59" s="81"/>
      <c r="Y59" s="81">
        <f>Table24[[#This Row],[Total_GWP]]*Table24[[#This Row],[DENSITY]]/1000</f>
        <v>192.86</v>
      </c>
      <c r="Z59" s="129">
        <f>183/Table24[[#This Row],[DENSITY]]*1000</f>
        <v>76.665270213657308</v>
      </c>
      <c r="AA59" s="72">
        <f>(9.53+1.75-1.42)/Table24[[#This Row],[DENSITY]]*1000</f>
        <v>4.1307080016757434</v>
      </c>
      <c r="AB59" s="77">
        <f>SUM(Table24[[#This Row],[A1toA3_GWP-biogenic]:[C1toC4_GWP-biogenic]])</f>
        <v>0.11443108504398827</v>
      </c>
      <c r="AC59" s="73">
        <f>Table24[[#This Row],[GWP-biogenic]]*Table24[[#This Row],[DENSITY]]/1000</f>
        <v>0.27314699999999997</v>
      </c>
      <c r="AD59" s="73">
        <f>(0.27)/Table24[[#This Row],[DENSITY]]*1000</f>
        <v>0.11311269375785506</v>
      </c>
      <c r="AE59" s="75">
        <f>(1.25*10^-3+1.37*10^-4+1.76*10^-3)/Table24[[#This Row],[DENSITY]]*1000</f>
        <v>1.3183912861332216E-3</v>
      </c>
      <c r="AF59" s="107"/>
      <c r="AG59" s="129"/>
      <c r="AH59" s="129"/>
      <c r="AI59" s="75"/>
      <c r="AJ59" s="80">
        <f ca="1">IF(OR($E59="Ecoinvent",$E59="Betonsortenrechner",$E59="KBOB",$V59&lt;=0,Table24[[#This Row],[VALID_TO]]&lt;=TODAY()),0,1)</f>
        <v>1</v>
      </c>
      <c r="AK59" s="87">
        <v>1</v>
      </c>
      <c r="AL59" s="87">
        <f ca="1">IF(AND(Table24[[#This Row],[ValidEPD]]&lt;&gt;0,Table24[[#This Row],[Man_Ausschluss]]&lt;&gt;0),1,0)</f>
        <v>1</v>
      </c>
      <c r="AM59" s="17" cm="1">
        <f t="array" aca="1" ref="AM59" ca="1">IF(Table24[[#This Row],[gültig]]&lt;&gt;0,
IF(
OR(
V59=MIN(_xlfn._xlws.FILTER($V$2:$V$298,($P$2:$P$298=P59)*($N$2:$N$298=N59)*($AL$2:$AL$298&lt;&gt;0))),
V59=MAX(_xlfn._xlws.FILTER($V$2:$V$298,($P$2:$P$298=P59)*($N$2:$N$298=N59)*($AL$2:$AL$298&lt;&gt;0))),
ROWS(_xlfn._xlws.FILTER($V$2:$V$298,($P$2:$P$298=P59)*($N$2:$N$298=N59)*($AL$2:$AL$298&lt;&gt;0)))&lt;=2
),1,0),0)</f>
        <v>0</v>
      </c>
      <c r="AN59" s="56"/>
      <c r="AO59" s="1"/>
      <c r="AP59" s="1"/>
    </row>
    <row r="60" spans="1:42" x14ac:dyDescent="0.2">
      <c r="A60" s="161" t="s">
        <v>674</v>
      </c>
      <c r="B60" s="9"/>
      <c r="C60" s="96">
        <v>59</v>
      </c>
      <c r="D60" s="1" t="s">
        <v>694</v>
      </c>
      <c r="E60" s="162" t="s">
        <v>678</v>
      </c>
      <c r="F60" s="162"/>
      <c r="G60" s="163">
        <v>45727</v>
      </c>
      <c r="H60" s="163">
        <v>47552</v>
      </c>
      <c r="I60" s="104" t="s">
        <v>51</v>
      </c>
      <c r="J60" s="164" t="s">
        <v>51</v>
      </c>
      <c r="K60" s="165" t="s">
        <v>747</v>
      </c>
      <c r="L60" s="166" t="s">
        <v>322</v>
      </c>
      <c r="M60" s="1" t="s">
        <v>314</v>
      </c>
      <c r="N60" s="167" t="s">
        <v>315</v>
      </c>
      <c r="O60" s="162" t="s">
        <v>415</v>
      </c>
      <c r="P60" s="84" t="s">
        <v>11</v>
      </c>
      <c r="Q60" s="84">
        <v>2328</v>
      </c>
      <c r="R60" s="89" t="s">
        <v>415</v>
      </c>
      <c r="S60" s="89" t="s">
        <v>415</v>
      </c>
      <c r="T60" s="89" t="s">
        <v>415</v>
      </c>
      <c r="U60" s="173" t="s">
        <v>415</v>
      </c>
      <c r="V60" s="81">
        <f>SUM(Table24[[#This Row],[A1toA3_GWP]:[C1toC4_GWP]])</f>
        <v>108.48367697594502</v>
      </c>
      <c r="W60" s="81"/>
      <c r="X60" s="81"/>
      <c r="Y60" s="81">
        <f>Table24[[#This Row],[Total_GWP]]*Table24[[#This Row],[DENSITY]]/1000</f>
        <v>252.55</v>
      </c>
      <c r="Z60" s="129">
        <f>243/Table24[[#This Row],[DENSITY]]*1000</f>
        <v>104.38144329896907</v>
      </c>
      <c r="AA60" s="72">
        <f>(9.53+1.71-1.69)/Table24[[#This Row],[DENSITY]]*1000</f>
        <v>4.1022336769759447</v>
      </c>
      <c r="AB60" s="77">
        <f>SUM(Table24[[#This Row],[A1toA3_GWP-biogenic]:[C1toC4_GWP-biogenic]])</f>
        <v>0.14308591065292095</v>
      </c>
      <c r="AC60" s="73">
        <f>Table24[[#This Row],[GWP-biogenic]]*Table24[[#This Row],[DENSITY]]/1000</f>
        <v>0.33310400000000001</v>
      </c>
      <c r="AD60" s="73">
        <f>(0.33)/Table24[[#This Row],[DENSITY]]*1000</f>
        <v>0.14175257731958762</v>
      </c>
      <c r="AE60" s="75">
        <f>(1.25*10^-3+1.34*10^-4+1.72*10^-3)/Table24[[#This Row],[DENSITY]]*1000</f>
        <v>1.3333333333333335E-3</v>
      </c>
      <c r="AF60" s="107"/>
      <c r="AG60" s="129"/>
      <c r="AH60" s="129"/>
      <c r="AI60" s="75"/>
      <c r="AJ60" s="80">
        <f ca="1">IF(OR($E60="Ecoinvent",$E60="Betonsortenrechner",$E60="KBOB",$V60&lt;=0,Table24[[#This Row],[VALID_TO]]&lt;=TODAY()),0,1)</f>
        <v>1</v>
      </c>
      <c r="AK60" s="87">
        <v>1</v>
      </c>
      <c r="AL60" s="87">
        <f ca="1">IF(AND(Table24[[#This Row],[ValidEPD]]&lt;&gt;0,Table24[[#This Row],[Man_Ausschluss]]&lt;&gt;0),1,0)</f>
        <v>1</v>
      </c>
      <c r="AM60" s="17" cm="1">
        <f t="array" aca="1" ref="AM60" ca="1">IF(Table24[[#This Row],[gültig]]&lt;&gt;0,
IF(
OR(
V60=MIN(_xlfn._xlws.FILTER($V$2:$V$298,($P$2:$P$298=P60)*($N$2:$N$298=N60)*($AL$2:$AL$298&lt;&gt;0))),
V60=MAX(_xlfn._xlws.FILTER($V$2:$V$298,($P$2:$P$298=P60)*($N$2:$N$298=N60)*($AL$2:$AL$298&lt;&gt;0))),
ROWS(_xlfn._xlws.FILTER($V$2:$V$298,($P$2:$P$298=P60)*($N$2:$N$298=N60)*($AL$2:$AL$298&lt;&gt;0)))&lt;=2
),1,0),0)</f>
        <v>0</v>
      </c>
      <c r="AN60" s="56"/>
      <c r="AO60" s="1"/>
      <c r="AP60" s="1"/>
    </row>
    <row r="61" spans="1:42" x14ac:dyDescent="0.2">
      <c r="A61" s="161" t="s">
        <v>675</v>
      </c>
      <c r="B61" s="9"/>
      <c r="C61" s="96">
        <v>60</v>
      </c>
      <c r="D61" s="1" t="s">
        <v>695</v>
      </c>
      <c r="E61" s="162" t="s">
        <v>678</v>
      </c>
      <c r="F61" s="162"/>
      <c r="G61" s="163">
        <v>45798</v>
      </c>
      <c r="H61" s="163">
        <v>47623</v>
      </c>
      <c r="I61" s="104" t="s">
        <v>51</v>
      </c>
      <c r="J61" s="164" t="s">
        <v>51</v>
      </c>
      <c r="K61" s="165" t="s">
        <v>747</v>
      </c>
      <c r="L61" s="166" t="s">
        <v>322</v>
      </c>
      <c r="M61" s="1" t="s">
        <v>314</v>
      </c>
      <c r="N61" s="167" t="s">
        <v>315</v>
      </c>
      <c r="O61" s="162" t="s">
        <v>415</v>
      </c>
      <c r="P61" s="84" t="s">
        <v>11</v>
      </c>
      <c r="Q61" s="84">
        <v>2328</v>
      </c>
      <c r="R61" s="89" t="s">
        <v>415</v>
      </c>
      <c r="S61" s="89" t="s">
        <v>415</v>
      </c>
      <c r="T61" s="89" t="s">
        <v>415</v>
      </c>
      <c r="U61" s="173" t="s">
        <v>415</v>
      </c>
      <c r="V61" s="81">
        <f>SUM(Table24[[#This Row],[A1toA3_GWP]:[C1toC4_GWP]])</f>
        <v>93.097079037800682</v>
      </c>
      <c r="W61" s="81"/>
      <c r="X61" s="81"/>
      <c r="Y61" s="81">
        <f>Table24[[#This Row],[Total_GWP]]*Table24[[#This Row],[DENSITY]]/1000</f>
        <v>216.73</v>
      </c>
      <c r="Z61" s="129">
        <f>207/Table24[[#This Row],[DENSITY]]*1000</f>
        <v>88.917525773195877</v>
      </c>
      <c r="AA61" s="72">
        <f>(9.53+2.16-1.96)/Table24[[#This Row],[DENSITY]]*1000</f>
        <v>4.1795532646048112</v>
      </c>
      <c r="AB61" s="77">
        <f>SUM(Table24[[#This Row],[A1toA3_GWP-biogenic]:[C1toC4_GWP-biogenic]])</f>
        <v>1.2558251718213058</v>
      </c>
      <c r="AC61" s="73">
        <f>Table24[[#This Row],[GWP-biogenic]]*Table24[[#This Row],[DENSITY]]/1000</f>
        <v>2.9235610000000003</v>
      </c>
      <c r="AD61" s="73">
        <f>(2.92)/Table24[[#This Row],[DENSITY]]*1000</f>
        <v>1.2542955326460481</v>
      </c>
      <c r="AE61" s="75">
        <f>(1.25*10^-3+5.91*10^-4+1.72*10^-3)/Table24[[#This Row],[DENSITY]]*1000</f>
        <v>1.5296391752577319E-3</v>
      </c>
      <c r="AF61" s="107"/>
      <c r="AG61" s="129"/>
      <c r="AH61" s="129"/>
      <c r="AI61" s="75"/>
      <c r="AJ61" s="80">
        <f ca="1">IF(OR($E61="Ecoinvent",$E61="Betonsortenrechner",$E61="KBOB",$V61&lt;=0,Table24[[#This Row],[VALID_TO]]&lt;=TODAY()),0,1)</f>
        <v>1</v>
      </c>
      <c r="AK61" s="87">
        <v>1</v>
      </c>
      <c r="AL61" s="87">
        <f ca="1">IF(AND(Table24[[#This Row],[ValidEPD]]&lt;&gt;0,Table24[[#This Row],[Man_Ausschluss]]&lt;&gt;0),1,0)</f>
        <v>1</v>
      </c>
      <c r="AM61" s="17" cm="1">
        <f t="array" aca="1" ref="AM61" ca="1">IF(Table24[[#This Row],[gültig]]&lt;&gt;0,
IF(
OR(
V61=MIN(_xlfn._xlws.FILTER($V$2:$V$298,($P$2:$P$298=P61)*($N$2:$N$298=N61)*($AL$2:$AL$298&lt;&gt;0))),
V61=MAX(_xlfn._xlws.FILTER($V$2:$V$298,($P$2:$P$298=P61)*($N$2:$N$298=N61)*($AL$2:$AL$298&lt;&gt;0))),
ROWS(_xlfn._xlws.FILTER($V$2:$V$298,($P$2:$P$298=P61)*($N$2:$N$298=N61)*($AL$2:$AL$298&lt;&gt;0)))&lt;=2
),1,0),0)</f>
        <v>0</v>
      </c>
      <c r="AN61" s="56"/>
      <c r="AO61" s="1"/>
      <c r="AP61" s="1"/>
    </row>
    <row r="62" spans="1:42" x14ac:dyDescent="0.2">
      <c r="A62" s="161" t="s">
        <v>676</v>
      </c>
      <c r="B62" s="9"/>
      <c r="C62" s="96">
        <v>61</v>
      </c>
      <c r="D62" s="102" t="s">
        <v>696</v>
      </c>
      <c r="E62" s="162" t="s">
        <v>678</v>
      </c>
      <c r="F62" s="169"/>
      <c r="G62" s="163">
        <v>45866</v>
      </c>
      <c r="H62" s="163">
        <v>47691</v>
      </c>
      <c r="I62" s="104" t="s">
        <v>51</v>
      </c>
      <c r="J62" s="164" t="s">
        <v>51</v>
      </c>
      <c r="K62" s="165" t="s">
        <v>748</v>
      </c>
      <c r="L62" s="166" t="s">
        <v>322</v>
      </c>
      <c r="M62" s="1" t="s">
        <v>314</v>
      </c>
      <c r="N62" s="167" t="s">
        <v>315</v>
      </c>
      <c r="O62" s="162" t="s">
        <v>415</v>
      </c>
      <c r="P62" s="84" t="s">
        <v>11</v>
      </c>
      <c r="Q62" s="84">
        <v>2378</v>
      </c>
      <c r="R62" s="89" t="s">
        <v>415</v>
      </c>
      <c r="S62" s="89" t="s">
        <v>415</v>
      </c>
      <c r="T62" s="89" t="s">
        <v>415</v>
      </c>
      <c r="U62" s="173" t="s">
        <v>415</v>
      </c>
      <c r="V62" s="81">
        <f>SUM(Table24[[#This Row],[A1toA3_GWP]:[C1toC4_GWP]])</f>
        <v>91.295206055508828</v>
      </c>
      <c r="W62" s="81"/>
      <c r="X62" s="81"/>
      <c r="Y62" s="81">
        <f>Table24[[#This Row],[Total_GWP]]*Table24[[#This Row],[DENSITY]]/1000</f>
        <v>217.1</v>
      </c>
      <c r="Z62" s="129">
        <f>207/Table24[[#This Row],[DENSITY]]*1000</f>
        <v>87.047939444911691</v>
      </c>
      <c r="AA62" s="72">
        <f>(9.53+2.21-1.64)/Table24[[#This Row],[DENSITY]]*1000</f>
        <v>4.2472666105971388</v>
      </c>
      <c r="AB62" s="77">
        <f>SUM(Table24[[#This Row],[A1toA3_GWP-biogenic]:[C1toC4_GWP-biogenic]])</f>
        <v>0.11085113540790581</v>
      </c>
      <c r="AC62" s="73">
        <f>Table24[[#This Row],[GWP-biogenic]]*Table24[[#This Row],[DENSITY]]/1000</f>
        <v>0.26360400000000006</v>
      </c>
      <c r="AD62" s="73">
        <f>(0.26)/Table24[[#This Row],[DENSITY]]*1000</f>
        <v>0.10933557611438184</v>
      </c>
      <c r="AE62" s="75">
        <f>(1.25*10^-3+6.04*10^-4+1.75*10^-3)/Table24[[#This Row],[DENSITY]]*1000</f>
        <v>1.51555929352397E-3</v>
      </c>
      <c r="AF62" s="107"/>
      <c r="AG62" s="129"/>
      <c r="AH62" s="129"/>
      <c r="AI62" s="75"/>
      <c r="AJ62" s="80">
        <f ca="1">IF(OR($E62="Ecoinvent",$E62="Betonsortenrechner",$E62="KBOB",$V62&lt;=0,Table24[[#This Row],[VALID_TO]]&lt;=TODAY()),0,1)</f>
        <v>1</v>
      </c>
      <c r="AK62" s="87">
        <v>1</v>
      </c>
      <c r="AL62" s="87">
        <f ca="1">IF(AND(Table24[[#This Row],[ValidEPD]]&lt;&gt;0,Table24[[#This Row],[Man_Ausschluss]]&lt;&gt;0),1,0)</f>
        <v>1</v>
      </c>
      <c r="AM62" s="17" cm="1">
        <f t="array" aca="1" ref="AM62" ca="1">IF(Table24[[#This Row],[gültig]]&lt;&gt;0,
IF(
OR(
V62=MIN(_xlfn._xlws.FILTER($V$2:$V$298,($P$2:$P$298=P62)*($N$2:$N$298=N62)*($AL$2:$AL$298&lt;&gt;0))),
V62=MAX(_xlfn._xlws.FILTER($V$2:$V$298,($P$2:$P$298=P62)*($N$2:$N$298=N62)*($AL$2:$AL$298&lt;&gt;0))),
ROWS(_xlfn._xlws.FILTER($V$2:$V$298,($P$2:$P$298=P62)*($N$2:$N$298=N62)*($AL$2:$AL$298&lt;&gt;0)))&lt;=2
),1,0),0)</f>
        <v>0</v>
      </c>
      <c r="AN62" s="56"/>
      <c r="AO62" s="102"/>
      <c r="AP62" s="1"/>
    </row>
    <row r="63" spans="1:42" s="7" customFormat="1" x14ac:dyDescent="0.2">
      <c r="A63" s="190" t="s">
        <v>701</v>
      </c>
      <c r="B63" s="49"/>
      <c r="C63" s="97">
        <v>62</v>
      </c>
      <c r="D63" s="8" t="s">
        <v>415</v>
      </c>
      <c r="E63" s="191" t="s">
        <v>952</v>
      </c>
      <c r="F63" s="191" t="s">
        <v>709</v>
      </c>
      <c r="G63" s="192"/>
      <c r="H63" s="192"/>
      <c r="I63" s="193" t="s">
        <v>51</v>
      </c>
      <c r="J63" s="194" t="s">
        <v>51</v>
      </c>
      <c r="K63" s="197" t="s">
        <v>721</v>
      </c>
      <c r="L63" s="195" t="s">
        <v>322</v>
      </c>
      <c r="M63" s="8" t="s">
        <v>314</v>
      </c>
      <c r="N63" s="196" t="s">
        <v>315</v>
      </c>
      <c r="O63" s="191" t="s">
        <v>470</v>
      </c>
      <c r="P63" s="193" t="s">
        <v>27</v>
      </c>
      <c r="Q63" s="270">
        <v>2269</v>
      </c>
      <c r="R63" s="191" t="s">
        <v>415</v>
      </c>
      <c r="S63" s="191" t="s">
        <v>415</v>
      </c>
      <c r="T63" s="191" t="s">
        <v>415</v>
      </c>
      <c r="U63" s="197" t="s">
        <v>415</v>
      </c>
      <c r="V63" s="198">
        <f>SUM(Table24[[#This Row],[A1toA3_GWP]:[C1toC4_GWP]])</f>
        <v>104.7</v>
      </c>
      <c r="W63" s="198"/>
      <c r="X63" s="198"/>
      <c r="Y63" s="198">
        <f>Table24[[#This Row],[Total_GWP]]*Table24[[#This Row],[DENSITY]]/1000</f>
        <v>237.56430000000003</v>
      </c>
      <c r="Z63" s="199">
        <v>92</v>
      </c>
      <c r="AA63" s="139">
        <v>12.7</v>
      </c>
      <c r="AB63" s="77"/>
      <c r="AC63" s="73"/>
      <c r="AD63" s="138"/>
      <c r="AE63" s="200"/>
      <c r="AF63" s="199">
        <f>174*1000</f>
        <v>174000</v>
      </c>
      <c r="AG63" s="199">
        <f>Table24[[#This Row],[Total_UBP]]*Table24[[#This Row],[DENSITY]]/1000</f>
        <v>394806</v>
      </c>
      <c r="AH63" s="199">
        <f>0.218*1000</f>
        <v>218</v>
      </c>
      <c r="AI63" s="200">
        <f>Table24[[#This Row],[Graue_Energie]]*Table24[[#This Row],[DENSITY]]/1000</f>
        <v>494.642</v>
      </c>
      <c r="AJ63" s="385">
        <f ca="1">IF(OR($E63="Ecoinvent",$E63="Betonsortenrechner",$E63="KBOB",$V63&lt;=0,Table24[[#This Row],[VALID_TO]]&lt;=TODAY()),0,1)</f>
        <v>0</v>
      </c>
      <c r="AK63" s="199">
        <v>1</v>
      </c>
      <c r="AL63" s="199">
        <f ca="1">IF(AND(Table24[[#This Row],[ValidEPD]]&lt;&gt;0,Table24[[#This Row],[Man_Ausschluss]]&lt;&gt;0),1,0)</f>
        <v>0</v>
      </c>
      <c r="AM63" s="17">
        <v>0</v>
      </c>
      <c r="AN63" s="56"/>
      <c r="AO63" s="8"/>
      <c r="AP63" s="8"/>
    </row>
    <row r="64" spans="1:42" s="7" customFormat="1" x14ac:dyDescent="0.2">
      <c r="A64" s="190" t="s">
        <v>702</v>
      </c>
      <c r="B64" s="49"/>
      <c r="C64" s="97">
        <v>63</v>
      </c>
      <c r="D64" s="8" t="s">
        <v>415</v>
      </c>
      <c r="E64" s="191" t="s">
        <v>952</v>
      </c>
      <c r="F64" s="191" t="s">
        <v>710</v>
      </c>
      <c r="G64" s="192"/>
      <c r="H64" s="192"/>
      <c r="I64" s="193" t="s">
        <v>51</v>
      </c>
      <c r="J64" s="194" t="s">
        <v>51</v>
      </c>
      <c r="K64" s="197" t="s">
        <v>722</v>
      </c>
      <c r="L64" s="195" t="s">
        <v>322</v>
      </c>
      <c r="M64" s="8" t="s">
        <v>314</v>
      </c>
      <c r="N64" s="196" t="s">
        <v>315</v>
      </c>
      <c r="O64" s="191" t="s">
        <v>470</v>
      </c>
      <c r="P64" s="193" t="s">
        <v>27</v>
      </c>
      <c r="Q64" s="270">
        <v>2293</v>
      </c>
      <c r="R64" s="191" t="s">
        <v>415</v>
      </c>
      <c r="S64" s="191" t="s">
        <v>415</v>
      </c>
      <c r="T64" s="191" t="s">
        <v>415</v>
      </c>
      <c r="U64" s="197" t="s">
        <v>415</v>
      </c>
      <c r="V64" s="198">
        <f>SUM(Table24[[#This Row],[A1toA3_GWP]:[C1toC4_GWP]])</f>
        <v>109.7</v>
      </c>
      <c r="W64" s="198"/>
      <c r="X64" s="198"/>
      <c r="Y64" s="198">
        <f>Table24[[#This Row],[Total_GWP]]*Table24[[#This Row],[DENSITY]]/1000</f>
        <v>251.5421</v>
      </c>
      <c r="Z64" s="199">
        <v>97</v>
      </c>
      <c r="AA64" s="139">
        <v>12.7</v>
      </c>
      <c r="AB64" s="77"/>
      <c r="AC64" s="73"/>
      <c r="AD64" s="138"/>
      <c r="AE64" s="200"/>
      <c r="AF64" s="199">
        <f>180*1000</f>
        <v>180000</v>
      </c>
      <c r="AG64" s="199">
        <f>Table24[[#This Row],[Total_UBP]]*Table24[[#This Row],[DENSITY]]/1000</f>
        <v>412740</v>
      </c>
      <c r="AH64" s="199">
        <f>0.225*1000</f>
        <v>225</v>
      </c>
      <c r="AI64" s="200">
        <f>Table24[[#This Row],[Graue_Energie]]*Table24[[#This Row],[DENSITY]]/1000</f>
        <v>515.92499999999995</v>
      </c>
      <c r="AJ64" s="385">
        <f ca="1">IF(OR($E64="Ecoinvent",$E64="Betonsortenrechner",$E64="KBOB",$V64&lt;=0,Table24[[#This Row],[VALID_TO]]&lt;=TODAY()),0,1)</f>
        <v>0</v>
      </c>
      <c r="AK64" s="199">
        <v>1</v>
      </c>
      <c r="AL64" s="199">
        <f ca="1">IF(AND(Table24[[#This Row],[ValidEPD]]&lt;&gt;0,Table24[[#This Row],[Man_Ausschluss]]&lt;&gt;0),1,0)</f>
        <v>0</v>
      </c>
      <c r="AM64" s="17">
        <v>1</v>
      </c>
      <c r="AN64" s="56"/>
      <c r="AO64" s="8"/>
      <c r="AP64" s="8"/>
    </row>
    <row r="65" spans="1:42" s="7" customFormat="1" x14ac:dyDescent="0.2">
      <c r="A65" s="190" t="s">
        <v>703</v>
      </c>
      <c r="B65" s="49"/>
      <c r="C65" s="97">
        <v>64</v>
      </c>
      <c r="D65" s="8" t="s">
        <v>415</v>
      </c>
      <c r="E65" s="191" t="s">
        <v>952</v>
      </c>
      <c r="F65" s="191" t="s">
        <v>711</v>
      </c>
      <c r="G65" s="192"/>
      <c r="H65" s="192"/>
      <c r="I65" s="193" t="s">
        <v>51</v>
      </c>
      <c r="J65" s="194" t="s">
        <v>51</v>
      </c>
      <c r="K65" s="197" t="s">
        <v>723</v>
      </c>
      <c r="L65" s="195" t="s">
        <v>322</v>
      </c>
      <c r="M65" s="8" t="s">
        <v>314</v>
      </c>
      <c r="N65" s="196" t="s">
        <v>315</v>
      </c>
      <c r="O65" s="191" t="s">
        <v>470</v>
      </c>
      <c r="P65" s="193" t="s">
        <v>6</v>
      </c>
      <c r="Q65" s="270">
        <v>2333</v>
      </c>
      <c r="R65" s="191" t="s">
        <v>415</v>
      </c>
      <c r="S65" s="191" t="s">
        <v>415</v>
      </c>
      <c r="T65" s="191" t="s">
        <v>415</v>
      </c>
      <c r="U65" s="197" t="s">
        <v>415</v>
      </c>
      <c r="V65" s="198">
        <f>SUM(Table24[[#This Row],[A1toA3_GWP]:[C1toC4_GWP]])</f>
        <v>113.7</v>
      </c>
      <c r="W65" s="198"/>
      <c r="X65" s="198"/>
      <c r="Y65" s="198">
        <f>Table24[[#This Row],[Total_GWP]]*Table24[[#This Row],[DENSITY]]/1000</f>
        <v>265.26210000000003</v>
      </c>
      <c r="Z65" s="199">
        <v>101</v>
      </c>
      <c r="AA65" s="139">
        <v>12.7</v>
      </c>
      <c r="AB65" s="77"/>
      <c r="AC65" s="73"/>
      <c r="AD65" s="138"/>
      <c r="AE65" s="200"/>
      <c r="AF65" s="199">
        <f>187*1000</f>
        <v>187000</v>
      </c>
      <c r="AG65" s="199">
        <f>Table24[[#This Row],[Total_UBP]]*Table24[[#This Row],[DENSITY]]/1000</f>
        <v>436271</v>
      </c>
      <c r="AH65" s="199">
        <f>0.232*1000</f>
        <v>232</v>
      </c>
      <c r="AI65" s="200">
        <f>Table24[[#This Row],[Graue_Energie]]*Table24[[#This Row],[DENSITY]]/1000</f>
        <v>541.25599999999997</v>
      </c>
      <c r="AJ65" s="385">
        <f ca="1">IF(OR($E65="Ecoinvent",$E65="Betonsortenrechner",$E65="KBOB",$V65&lt;=0,Table24[[#This Row],[VALID_TO]]&lt;=TODAY()),0,1)</f>
        <v>0</v>
      </c>
      <c r="AK65" s="199">
        <v>1</v>
      </c>
      <c r="AL65" s="199">
        <f ca="1">IF(AND(Table24[[#This Row],[ValidEPD]]&lt;&gt;0,Table24[[#This Row],[Man_Ausschluss]]&lt;&gt;0),1,0)</f>
        <v>0</v>
      </c>
      <c r="AM65" s="17">
        <v>1</v>
      </c>
      <c r="AN65" s="56"/>
      <c r="AO65" s="8"/>
      <c r="AP65" s="8"/>
    </row>
    <row r="66" spans="1:42" s="7" customFormat="1" x14ac:dyDescent="0.2">
      <c r="A66" s="190" t="s">
        <v>704</v>
      </c>
      <c r="B66" s="49"/>
      <c r="C66" s="97">
        <v>65</v>
      </c>
      <c r="D66" s="8" t="s">
        <v>415</v>
      </c>
      <c r="E66" s="191" t="s">
        <v>952</v>
      </c>
      <c r="F66" s="191" t="s">
        <v>712</v>
      </c>
      <c r="G66" s="192"/>
      <c r="H66" s="192"/>
      <c r="I66" s="193" t="s">
        <v>51</v>
      </c>
      <c r="J66" s="194" t="s">
        <v>51</v>
      </c>
      <c r="K66" s="197" t="s">
        <v>724</v>
      </c>
      <c r="L66" s="195" t="s">
        <v>322</v>
      </c>
      <c r="M66" s="8" t="s">
        <v>314</v>
      </c>
      <c r="N66" s="196" t="s">
        <v>315</v>
      </c>
      <c r="O66" s="191" t="s">
        <v>470</v>
      </c>
      <c r="P66" s="193" t="s">
        <v>11</v>
      </c>
      <c r="Q66" s="270">
        <v>2353</v>
      </c>
      <c r="R66" s="191" t="s">
        <v>415</v>
      </c>
      <c r="S66" s="191" t="s">
        <v>415</v>
      </c>
      <c r="T66" s="191" t="s">
        <v>415</v>
      </c>
      <c r="U66" s="197" t="s">
        <v>415</v>
      </c>
      <c r="V66" s="198">
        <f>SUM(Table24[[#This Row],[A1toA3_GWP]:[C1toC4_GWP]])</f>
        <v>119.7</v>
      </c>
      <c r="W66" s="198"/>
      <c r="X66" s="198"/>
      <c r="Y66" s="198">
        <f>Table24[[#This Row],[Total_GWP]]*Table24[[#This Row],[DENSITY]]/1000</f>
        <v>281.65410000000003</v>
      </c>
      <c r="Z66" s="199">
        <v>107</v>
      </c>
      <c r="AA66" s="139">
        <v>12.7</v>
      </c>
      <c r="AB66" s="77"/>
      <c r="AC66" s="73"/>
      <c r="AD66" s="138"/>
      <c r="AE66" s="200"/>
      <c r="AF66" s="199">
        <f>192*1000</f>
        <v>192000</v>
      </c>
      <c r="AG66" s="199">
        <f>Table24[[#This Row],[Total_UBP]]*Table24[[#This Row],[DENSITY]]/1000</f>
        <v>451776</v>
      </c>
      <c r="AH66" s="199">
        <f>0.242*1000</f>
        <v>242</v>
      </c>
      <c r="AI66" s="200">
        <f>Table24[[#This Row],[Graue_Energie]]*Table24[[#This Row],[DENSITY]]/1000</f>
        <v>569.42600000000004</v>
      </c>
      <c r="AJ66" s="385">
        <f ca="1">IF(OR($E66="Ecoinvent",$E66="Betonsortenrechner",$E66="KBOB",$V66&lt;=0,Table24[[#This Row],[VALID_TO]]&lt;=TODAY()),0,1)</f>
        <v>0</v>
      </c>
      <c r="AK66" s="199">
        <v>1</v>
      </c>
      <c r="AL66" s="199">
        <f ca="1">IF(AND(Table24[[#This Row],[ValidEPD]]&lt;&gt;0,Table24[[#This Row],[Man_Ausschluss]]&lt;&gt;0),1,0)</f>
        <v>0</v>
      </c>
      <c r="AM66" s="17">
        <v>1</v>
      </c>
      <c r="AN66" s="56"/>
      <c r="AO66" s="8"/>
      <c r="AP66" s="8"/>
    </row>
    <row r="67" spans="1:42" s="7" customFormat="1" x14ac:dyDescent="0.2">
      <c r="A67" s="190" t="s">
        <v>705</v>
      </c>
      <c r="B67" s="49"/>
      <c r="C67" s="97">
        <v>66</v>
      </c>
      <c r="D67" s="8" t="s">
        <v>415</v>
      </c>
      <c r="E67" s="191" t="s">
        <v>952</v>
      </c>
      <c r="F67" s="191" t="s">
        <v>713</v>
      </c>
      <c r="G67" s="192"/>
      <c r="H67" s="192"/>
      <c r="I67" s="193" t="s">
        <v>51</v>
      </c>
      <c r="J67" s="194" t="s">
        <v>51</v>
      </c>
      <c r="K67" s="197" t="s">
        <v>984</v>
      </c>
      <c r="L67" s="195" t="s">
        <v>322</v>
      </c>
      <c r="M67" s="8" t="s">
        <v>314</v>
      </c>
      <c r="N67" s="196" t="s">
        <v>315</v>
      </c>
      <c r="O67" s="191" t="s">
        <v>470</v>
      </c>
      <c r="P67" s="193" t="s">
        <v>27</v>
      </c>
      <c r="Q67" s="270">
        <v>2208.6999999999998</v>
      </c>
      <c r="R67" s="191" t="s">
        <v>415</v>
      </c>
      <c r="S67" s="191" t="s">
        <v>415</v>
      </c>
      <c r="T67" s="191" t="s">
        <v>415</v>
      </c>
      <c r="U67" s="197" t="s">
        <v>415</v>
      </c>
      <c r="V67" s="198">
        <f>SUM(Table24[[#This Row],[A1toA3_GWP]:[C1toC4_GWP]])</f>
        <v>76.5</v>
      </c>
      <c r="W67" s="198"/>
      <c r="X67" s="198"/>
      <c r="Y67" s="198">
        <f>Table24[[#This Row],[Total_GWP]]*Table24[[#This Row],[DENSITY]]/1000</f>
        <v>168.96554999999998</v>
      </c>
      <c r="Z67" s="199">
        <v>63.5</v>
      </c>
      <c r="AA67" s="139">
        <v>13</v>
      </c>
      <c r="AB67" s="77"/>
      <c r="AC67" s="73"/>
      <c r="AD67" s="138"/>
      <c r="AE67" s="200"/>
      <c r="AF67" s="199">
        <f>122*1000</f>
        <v>122000</v>
      </c>
      <c r="AG67" s="199">
        <f>Table24[[#This Row],[Total_UBP]]*Table24[[#This Row],[DENSITY]]/1000</f>
        <v>269461.40000000002</v>
      </c>
      <c r="AH67" s="199">
        <f>0.173*1000</f>
        <v>173</v>
      </c>
      <c r="AI67" s="200">
        <f>Table24[[#This Row],[Graue_Energie]]*Table24[[#This Row],[DENSITY]]/1000</f>
        <v>382.10509999999999</v>
      </c>
      <c r="AJ67" s="385">
        <f ca="1">IF(OR($E67="Ecoinvent",$E67="Betonsortenrechner",$E67="KBOB",$V67&lt;=0,Table24[[#This Row],[VALID_TO]]&lt;=TODAY()),0,1)</f>
        <v>0</v>
      </c>
      <c r="AK67" s="199">
        <v>1</v>
      </c>
      <c r="AL67" s="199">
        <f ca="1">IF(AND(Table24[[#This Row],[ValidEPD]]&lt;&gt;0,Table24[[#This Row],[Man_Ausschluss]]&lt;&gt;0),1,0)</f>
        <v>0</v>
      </c>
      <c r="AM67" s="17">
        <v>0</v>
      </c>
      <c r="AN67" s="56"/>
      <c r="AO67" s="8"/>
      <c r="AP67" s="8"/>
    </row>
    <row r="68" spans="1:42" s="7" customFormat="1" x14ac:dyDescent="0.2">
      <c r="A68" s="190" t="s">
        <v>706</v>
      </c>
      <c r="B68" s="49"/>
      <c r="C68" s="97">
        <v>67</v>
      </c>
      <c r="D68" s="8" t="s">
        <v>415</v>
      </c>
      <c r="E68" s="191" t="s">
        <v>952</v>
      </c>
      <c r="F68" s="191" t="s">
        <v>714</v>
      </c>
      <c r="G68" s="192"/>
      <c r="H68" s="192"/>
      <c r="I68" s="193" t="s">
        <v>51</v>
      </c>
      <c r="J68" s="194" t="s">
        <v>51</v>
      </c>
      <c r="K68" s="197" t="s">
        <v>985</v>
      </c>
      <c r="L68" s="195" t="s">
        <v>322</v>
      </c>
      <c r="M68" s="8" t="s">
        <v>314</v>
      </c>
      <c r="N68" s="196" t="s">
        <v>315</v>
      </c>
      <c r="O68" s="191" t="s">
        <v>470</v>
      </c>
      <c r="P68" s="193" t="s">
        <v>11</v>
      </c>
      <c r="Q68" s="270">
        <v>2250.2999999999997</v>
      </c>
      <c r="R68" s="191" t="s">
        <v>415</v>
      </c>
      <c r="S68" s="191" t="s">
        <v>415</v>
      </c>
      <c r="T68" s="191" t="s">
        <v>415</v>
      </c>
      <c r="U68" s="197" t="s">
        <v>415</v>
      </c>
      <c r="V68" s="198">
        <f>SUM(Table24[[#This Row],[A1toA3_GWP]:[C1toC4_GWP]])</f>
        <v>79.599999999999994</v>
      </c>
      <c r="W68" s="198"/>
      <c r="X68" s="198"/>
      <c r="Y68" s="198">
        <f>Table24[[#This Row],[Total_GWP]]*Table24[[#This Row],[DENSITY]]/1000</f>
        <v>179.12387999999999</v>
      </c>
      <c r="Z68" s="199">
        <v>66.599999999999994</v>
      </c>
      <c r="AA68" s="139">
        <v>13</v>
      </c>
      <c r="AB68" s="77"/>
      <c r="AC68" s="73"/>
      <c r="AD68" s="138"/>
      <c r="AE68" s="200"/>
      <c r="AF68" s="199">
        <f>126*1000</f>
        <v>126000</v>
      </c>
      <c r="AG68" s="199">
        <f>Table24[[#This Row],[Total_UBP]]*Table24[[#This Row],[DENSITY]]/1000</f>
        <v>283537.79999999993</v>
      </c>
      <c r="AH68" s="199">
        <f>0.179*1000</f>
        <v>179</v>
      </c>
      <c r="AI68" s="200">
        <f>Table24[[#This Row],[Graue_Energie]]*Table24[[#This Row],[DENSITY]]/1000</f>
        <v>402.80369999999994</v>
      </c>
      <c r="AJ68" s="385">
        <f ca="1">IF(OR($E68="Ecoinvent",$E68="Betonsortenrechner",$E68="KBOB",$V68&lt;=0,Table24[[#This Row],[VALID_TO]]&lt;=TODAY()),0,1)</f>
        <v>0</v>
      </c>
      <c r="AK68" s="199">
        <v>1</v>
      </c>
      <c r="AL68" s="199">
        <f ca="1">IF(AND(Table24[[#This Row],[ValidEPD]]&lt;&gt;0,Table24[[#This Row],[Man_Ausschluss]]&lt;&gt;0),1,0)</f>
        <v>0</v>
      </c>
      <c r="AM68" s="17">
        <v>0</v>
      </c>
      <c r="AN68" s="56"/>
      <c r="AO68" s="8"/>
      <c r="AP68" s="8"/>
    </row>
    <row r="69" spans="1:42" s="7" customFormat="1" x14ac:dyDescent="0.2">
      <c r="A69" s="190" t="s">
        <v>707</v>
      </c>
      <c r="B69" s="49"/>
      <c r="C69" s="97">
        <v>68</v>
      </c>
      <c r="D69" s="8" t="s">
        <v>415</v>
      </c>
      <c r="E69" s="191" t="s">
        <v>952</v>
      </c>
      <c r="F69" s="191" t="s">
        <v>715</v>
      </c>
      <c r="G69" s="192"/>
      <c r="H69" s="192"/>
      <c r="I69" s="193" t="s">
        <v>51</v>
      </c>
      <c r="J69" s="194" t="s">
        <v>51</v>
      </c>
      <c r="K69" s="197" t="s">
        <v>725</v>
      </c>
      <c r="L69" s="195" t="s">
        <v>322</v>
      </c>
      <c r="M69" s="8" t="s">
        <v>314</v>
      </c>
      <c r="N69" s="196" t="s">
        <v>315</v>
      </c>
      <c r="O69" s="191" t="s">
        <v>731</v>
      </c>
      <c r="P69" s="193" t="s">
        <v>27</v>
      </c>
      <c r="Q69" s="270">
        <v>2311.4</v>
      </c>
      <c r="R69" s="191" t="s">
        <v>415</v>
      </c>
      <c r="S69" s="191" t="s">
        <v>415</v>
      </c>
      <c r="T69" s="191" t="s">
        <v>415</v>
      </c>
      <c r="U69" s="197" t="s">
        <v>415</v>
      </c>
      <c r="V69" s="198">
        <f>SUM(Table24[[#This Row],[A1toA3_GWP]:[C1toC4_GWP]])</f>
        <v>90.399999999999991</v>
      </c>
      <c r="W69" s="198"/>
      <c r="X69" s="198"/>
      <c r="Y69" s="198">
        <f>Table24[[#This Row],[Total_GWP]]*Table24[[#This Row],[DENSITY]]/1000</f>
        <v>208.95056</v>
      </c>
      <c r="Z69" s="199">
        <v>77.8</v>
      </c>
      <c r="AA69" s="139">
        <v>12.6</v>
      </c>
      <c r="AB69" s="77"/>
      <c r="AC69" s="73"/>
      <c r="AD69" s="138"/>
      <c r="AE69" s="200"/>
      <c r="AF69" s="199">
        <f>142*1000</f>
        <v>142000</v>
      </c>
      <c r="AG69" s="199">
        <f>Table24[[#This Row],[Total_UBP]]*Table24[[#This Row],[DENSITY]]/1000</f>
        <v>328218.8</v>
      </c>
      <c r="AH69" s="199">
        <f>0.162*1000</f>
        <v>162</v>
      </c>
      <c r="AI69" s="200">
        <f>Table24[[#This Row],[Graue_Energie]]*Table24[[#This Row],[DENSITY]]/1000</f>
        <v>374.4468</v>
      </c>
      <c r="AJ69" s="385">
        <f ca="1">IF(OR($E69="Ecoinvent",$E69="Betonsortenrechner",$E69="KBOB",$V69&lt;=0,Table24[[#This Row],[VALID_TO]]&lt;=TODAY()),0,1)</f>
        <v>0</v>
      </c>
      <c r="AK69" s="199">
        <v>1</v>
      </c>
      <c r="AL69" s="199">
        <f ca="1">IF(AND(Table24[[#This Row],[ValidEPD]]&lt;&gt;0,Table24[[#This Row],[Man_Ausschluss]]&lt;&gt;0),1,0)</f>
        <v>0</v>
      </c>
      <c r="AM69" s="17">
        <v>0</v>
      </c>
      <c r="AN69" s="56"/>
      <c r="AO69" s="8"/>
      <c r="AP69" s="8"/>
    </row>
    <row r="70" spans="1:42" s="7" customFormat="1" x14ac:dyDescent="0.2">
      <c r="A70" s="190" t="s">
        <v>708</v>
      </c>
      <c r="B70" s="49"/>
      <c r="C70" s="97">
        <v>69</v>
      </c>
      <c r="D70" s="8" t="s">
        <v>415</v>
      </c>
      <c r="E70" s="191" t="s">
        <v>952</v>
      </c>
      <c r="F70" s="191" t="s">
        <v>716</v>
      </c>
      <c r="G70" s="192"/>
      <c r="H70" s="192"/>
      <c r="I70" s="193" t="s">
        <v>51</v>
      </c>
      <c r="J70" s="194" t="s">
        <v>51</v>
      </c>
      <c r="K70" s="197" t="s">
        <v>726</v>
      </c>
      <c r="L70" s="195" t="s">
        <v>322</v>
      </c>
      <c r="M70" s="8" t="s">
        <v>314</v>
      </c>
      <c r="N70" s="196" t="s">
        <v>315</v>
      </c>
      <c r="O70" s="191" t="s">
        <v>732</v>
      </c>
      <c r="P70" s="193" t="s">
        <v>27</v>
      </c>
      <c r="Q70" s="270">
        <v>2311.4</v>
      </c>
      <c r="R70" s="191" t="s">
        <v>415</v>
      </c>
      <c r="S70" s="191" t="s">
        <v>415</v>
      </c>
      <c r="T70" s="191" t="s">
        <v>415</v>
      </c>
      <c r="U70" s="197" t="s">
        <v>415</v>
      </c>
      <c r="V70" s="198">
        <f>SUM(Table24[[#This Row],[A1toA3_GWP]:[C1toC4_GWP]])</f>
        <v>83.6</v>
      </c>
      <c r="W70" s="198"/>
      <c r="X70" s="198"/>
      <c r="Y70" s="198">
        <f>Table24[[#This Row],[Total_GWP]]*Table24[[#This Row],[DENSITY]]/1000</f>
        <v>193.23304000000002</v>
      </c>
      <c r="Z70" s="199">
        <v>71</v>
      </c>
      <c r="AA70" s="139">
        <v>12.6</v>
      </c>
      <c r="AB70" s="77"/>
      <c r="AC70" s="73"/>
      <c r="AD70" s="138"/>
      <c r="AE70" s="200"/>
      <c r="AF70" s="199">
        <f>134*1000</f>
        <v>134000</v>
      </c>
      <c r="AG70" s="199">
        <f>Table24[[#This Row],[Total_UBP]]*Table24[[#This Row],[DENSITY]]/1000</f>
        <v>309727.59999999998</v>
      </c>
      <c r="AH70" s="199">
        <f>0.177*1000</f>
        <v>177</v>
      </c>
      <c r="AI70" s="200">
        <f>Table24[[#This Row],[Graue_Energie]]*Table24[[#This Row],[DENSITY]]/1000</f>
        <v>409.11779999999999</v>
      </c>
      <c r="AJ70" s="385">
        <f ca="1">IF(OR($E70="Ecoinvent",$E70="Betonsortenrechner",$E70="KBOB",$V70&lt;=0,Table24[[#This Row],[VALID_TO]]&lt;=TODAY()),0,1)</f>
        <v>0</v>
      </c>
      <c r="AK70" s="199">
        <v>1</v>
      </c>
      <c r="AL70" s="199">
        <f ca="1">IF(AND(Table24[[#This Row],[ValidEPD]]&lt;&gt;0,Table24[[#This Row],[Man_Ausschluss]]&lt;&gt;0),1,0)</f>
        <v>0</v>
      </c>
      <c r="AM70" s="17">
        <v>0</v>
      </c>
      <c r="AN70" s="56"/>
      <c r="AO70" s="8"/>
      <c r="AP70" s="8"/>
    </row>
    <row r="71" spans="1:42" s="7" customFormat="1" x14ac:dyDescent="0.2">
      <c r="A71" s="190" t="s">
        <v>698</v>
      </c>
      <c r="B71" s="49"/>
      <c r="C71" s="97">
        <v>70</v>
      </c>
      <c r="D71" s="8" t="s">
        <v>415</v>
      </c>
      <c r="E71" s="191" t="s">
        <v>952</v>
      </c>
      <c r="F71" s="191" t="s">
        <v>717</v>
      </c>
      <c r="G71" s="192"/>
      <c r="H71" s="192"/>
      <c r="I71" s="193" t="s">
        <v>51</v>
      </c>
      <c r="J71" s="194" t="s">
        <v>51</v>
      </c>
      <c r="K71" s="197" t="s">
        <v>727</v>
      </c>
      <c r="L71" s="195" t="s">
        <v>322</v>
      </c>
      <c r="M71" s="8" t="s">
        <v>314</v>
      </c>
      <c r="N71" s="196" t="s">
        <v>315</v>
      </c>
      <c r="O71" s="191" t="s">
        <v>731</v>
      </c>
      <c r="P71" s="193" t="s">
        <v>27</v>
      </c>
      <c r="Q71" s="270">
        <v>2292.2399999999998</v>
      </c>
      <c r="R71" s="191" t="s">
        <v>415</v>
      </c>
      <c r="S71" s="191" t="s">
        <v>415</v>
      </c>
      <c r="T71" s="191" t="s">
        <v>415</v>
      </c>
      <c r="U71" s="197" t="s">
        <v>415</v>
      </c>
      <c r="V71" s="198">
        <f>SUM(Table24[[#This Row],[A1toA3_GWP]:[C1toC4_GWP]])</f>
        <v>0</v>
      </c>
      <c r="W71" s="198"/>
      <c r="X71" s="198"/>
      <c r="Y71" s="198">
        <f>Table24[[#This Row],[Total_GWP]]*Table24[[#This Row],[DENSITY]]/1000</f>
        <v>0</v>
      </c>
      <c r="Z71" s="199"/>
      <c r="AA71" s="139"/>
      <c r="AB71" s="77"/>
      <c r="AC71" s="73"/>
      <c r="AD71" s="138"/>
      <c r="AE71" s="200"/>
      <c r="AF71" s="199">
        <v>0</v>
      </c>
      <c r="AG71" s="199">
        <f>Table24[[#This Row],[Total_UBP]]*Table24[[#This Row],[DENSITY]]/1000</f>
        <v>0</v>
      </c>
      <c r="AH71" s="199">
        <v>0</v>
      </c>
      <c r="AI71" s="200">
        <f>Table24[[#This Row],[Graue_Energie]]*Table24[[#This Row],[DENSITY]]/1000</f>
        <v>0</v>
      </c>
      <c r="AJ71" s="385">
        <f ca="1">IF(OR($E71="Ecoinvent",$E71="Betonsortenrechner",$E71="KBOB",$V71&lt;=0,Table24[[#This Row],[VALID_TO]]&lt;=TODAY()),0,1)</f>
        <v>0</v>
      </c>
      <c r="AK71" s="199">
        <v>1</v>
      </c>
      <c r="AL71" s="199">
        <f ca="1">IF(AND(Table24[[#This Row],[ValidEPD]]&lt;&gt;0,Table24[[#This Row],[Man_Ausschluss]]&lt;&gt;0),1,0)</f>
        <v>0</v>
      </c>
      <c r="AM71" s="17" cm="1">
        <f t="array" aca="1" ref="AM71" ca="1">IF(Table24[[#This Row],[gültig]]&lt;&gt;0,
IF(
OR(
V71=MIN(_xlfn._xlws.FILTER($V$2:$V$298,($P$2:$P$298=P71)*($N$2:$N$298=N71)*($AL$2:$AL$298&lt;&gt;0))),
V71=MAX(_xlfn._xlws.FILTER($V$2:$V$298,($P$2:$P$298=P71)*($N$2:$N$298=N71)*($AL$2:$AL$298&lt;&gt;0))),
ROWS(_xlfn._xlws.FILTER($V$2:$V$298,($P$2:$P$298=P71)*($N$2:$N$298=N71)*($AL$2:$AL$298&lt;&gt;0)))&lt;=2
),1,0),0)</f>
        <v>0</v>
      </c>
      <c r="AN71" s="56"/>
      <c r="AO71" s="8"/>
      <c r="AP71" s="8"/>
    </row>
    <row r="72" spans="1:42" s="7" customFormat="1" x14ac:dyDescent="0.2">
      <c r="A72" s="190" t="s">
        <v>699</v>
      </c>
      <c r="B72" s="49"/>
      <c r="C72" s="97">
        <v>71</v>
      </c>
      <c r="D72" s="8" t="s">
        <v>415</v>
      </c>
      <c r="E72" s="191" t="s">
        <v>952</v>
      </c>
      <c r="F72" s="191" t="s">
        <v>718</v>
      </c>
      <c r="G72" s="192"/>
      <c r="H72" s="192"/>
      <c r="I72" s="193" t="s">
        <v>51</v>
      </c>
      <c r="J72" s="194" t="s">
        <v>51</v>
      </c>
      <c r="K72" s="197" t="s">
        <v>728</v>
      </c>
      <c r="L72" s="195" t="s">
        <v>322</v>
      </c>
      <c r="M72" s="8" t="s">
        <v>314</v>
      </c>
      <c r="N72" s="196" t="s">
        <v>315</v>
      </c>
      <c r="O72" s="191" t="s">
        <v>732</v>
      </c>
      <c r="P72" s="193" t="s">
        <v>27</v>
      </c>
      <c r="Q72" s="270">
        <v>2272.1</v>
      </c>
      <c r="R72" s="191" t="s">
        <v>415</v>
      </c>
      <c r="S72" s="191" t="s">
        <v>415</v>
      </c>
      <c r="T72" s="191" t="s">
        <v>415</v>
      </c>
      <c r="U72" s="197" t="s">
        <v>415</v>
      </c>
      <c r="V72" s="198">
        <f>SUM(Table24[[#This Row],[A1toA3_GWP]:[C1toC4_GWP]])</f>
        <v>83.899999999999991</v>
      </c>
      <c r="W72" s="198"/>
      <c r="X72" s="198"/>
      <c r="Y72" s="198">
        <f>Table24[[#This Row],[Total_GWP]]*Table24[[#This Row],[DENSITY]]/1000</f>
        <v>190.62918999999997</v>
      </c>
      <c r="Z72" s="199">
        <v>71.3</v>
      </c>
      <c r="AA72" s="139">
        <v>12.6</v>
      </c>
      <c r="AB72" s="77"/>
      <c r="AC72" s="73"/>
      <c r="AD72" s="138"/>
      <c r="AE72" s="200"/>
      <c r="AF72" s="199">
        <f>130*1000</f>
        <v>130000</v>
      </c>
      <c r="AG72" s="199">
        <f>Table24[[#This Row],[Total_UBP]]*Table24[[#This Row],[DENSITY]]/1000</f>
        <v>295373</v>
      </c>
      <c r="AH72" s="199">
        <f>0.176*1000</f>
        <v>176</v>
      </c>
      <c r="AI72" s="200">
        <f>Table24[[#This Row],[Graue_Energie]]*Table24[[#This Row],[DENSITY]]/1000</f>
        <v>399.88959999999997</v>
      </c>
      <c r="AJ72" s="385">
        <f ca="1">IF(OR($E72="Ecoinvent",$E72="Betonsortenrechner",$E72="KBOB",$V72&lt;=0,Table24[[#This Row],[VALID_TO]]&lt;=TODAY()),0,1)</f>
        <v>0</v>
      </c>
      <c r="AK72" s="199">
        <v>1</v>
      </c>
      <c r="AL72" s="199">
        <f ca="1">IF(AND(Table24[[#This Row],[ValidEPD]]&lt;&gt;0,Table24[[#This Row],[Man_Ausschluss]]&lt;&gt;0),1,0)</f>
        <v>0</v>
      </c>
      <c r="AM72" s="17" cm="1">
        <f t="array" aca="1" ref="AM72" ca="1">IF(Table24[[#This Row],[gültig]]&lt;&gt;0,
IF(
OR(
V72=MIN(_xlfn._xlws.FILTER($V$2:$V$298,($P$2:$P$298=P72)*($N$2:$N$298=N72)*($AL$2:$AL$298&lt;&gt;0))),
V72=MAX(_xlfn._xlws.FILTER($V$2:$V$298,($P$2:$P$298=P72)*($N$2:$N$298=N72)*($AL$2:$AL$298&lt;&gt;0))),
ROWS(_xlfn._xlws.FILTER($V$2:$V$298,($P$2:$P$298=P72)*($N$2:$N$298=N72)*($AL$2:$AL$298&lt;&gt;0)))&lt;=2
),1,0),0)</f>
        <v>0</v>
      </c>
      <c r="AN72" s="56"/>
      <c r="AO72" s="8"/>
      <c r="AP72" s="8"/>
    </row>
    <row r="73" spans="1:42" s="7" customFormat="1" x14ac:dyDescent="0.2">
      <c r="A73" s="190" t="s">
        <v>697</v>
      </c>
      <c r="B73" s="49"/>
      <c r="C73" s="97">
        <v>72</v>
      </c>
      <c r="D73" s="8" t="s">
        <v>415</v>
      </c>
      <c r="E73" s="191" t="s">
        <v>952</v>
      </c>
      <c r="F73" s="191" t="s">
        <v>720</v>
      </c>
      <c r="G73" s="192"/>
      <c r="H73" s="192"/>
      <c r="I73" s="193" t="s">
        <v>51</v>
      </c>
      <c r="J73" s="194" t="s">
        <v>51</v>
      </c>
      <c r="K73" s="197" t="s">
        <v>730</v>
      </c>
      <c r="L73" s="195" t="s">
        <v>322</v>
      </c>
      <c r="M73" s="8" t="s">
        <v>314</v>
      </c>
      <c r="N73" s="196" t="s">
        <v>315</v>
      </c>
      <c r="O73" s="191" t="s">
        <v>732</v>
      </c>
      <c r="P73" s="193" t="s">
        <v>27</v>
      </c>
      <c r="Q73" s="270">
        <v>2252.8000000000002</v>
      </c>
      <c r="R73" s="191" t="s">
        <v>415</v>
      </c>
      <c r="S73" s="191" t="s">
        <v>415</v>
      </c>
      <c r="T73" s="191" t="s">
        <v>415</v>
      </c>
      <c r="U73" s="197" t="s">
        <v>415</v>
      </c>
      <c r="V73" s="198">
        <f>SUM(Table24[[#This Row],[A1toA3_GWP]:[C1toC4_GWP]])</f>
        <v>84.399999999999991</v>
      </c>
      <c r="W73" s="198"/>
      <c r="X73" s="198"/>
      <c r="Y73" s="198">
        <f>Table24[[#This Row],[Total_GWP]]*Table24[[#This Row],[DENSITY]]/1000</f>
        <v>190.13632000000001</v>
      </c>
      <c r="Z73" s="199">
        <v>71.8</v>
      </c>
      <c r="AA73" s="139">
        <v>12.6</v>
      </c>
      <c r="AB73" s="77"/>
      <c r="AC73" s="73"/>
      <c r="AD73" s="138"/>
      <c r="AE73" s="200"/>
      <c r="AF73" s="199">
        <f>129*1000</f>
        <v>129000</v>
      </c>
      <c r="AG73" s="199">
        <f>Table24[[#This Row],[Total_UBP]]*Table24[[#This Row],[DENSITY]]/1000</f>
        <v>290611.20000000001</v>
      </c>
      <c r="AH73" s="199">
        <f>0.178*1000</f>
        <v>178</v>
      </c>
      <c r="AI73" s="200">
        <f>Table24[[#This Row],[Graue_Energie]]*Table24[[#This Row],[DENSITY]]/1000</f>
        <v>400.9984</v>
      </c>
      <c r="AJ73" s="385">
        <f ca="1">IF(OR($E73="Ecoinvent",$E73="Betonsortenrechner",$E73="KBOB",$V73&lt;=0,Table24[[#This Row],[VALID_TO]]&lt;=TODAY()),0,1)</f>
        <v>0</v>
      </c>
      <c r="AK73" s="199">
        <v>1</v>
      </c>
      <c r="AL73" s="199">
        <f ca="1">IF(AND(Table24[[#This Row],[ValidEPD]]&lt;&gt;0,Table24[[#This Row],[Man_Ausschluss]]&lt;&gt;0),1,0)</f>
        <v>0</v>
      </c>
      <c r="AM73" s="17" cm="1">
        <f t="array" aca="1" ref="AM73" ca="1">IF(Table24[[#This Row],[gültig]]&lt;&gt;0,
IF(
OR(
V73=MIN(_xlfn._xlws.FILTER($V$2:$V$298,($P$2:$P$298=P73)*($N$2:$N$298=N73)*($AL$2:$AL$298&lt;&gt;0))),
V73=MAX(_xlfn._xlws.FILTER($V$2:$V$298,($P$2:$P$298=P73)*($N$2:$N$298=N73)*($AL$2:$AL$298&lt;&gt;0))),
ROWS(_xlfn._xlws.FILTER($V$2:$V$298,($P$2:$P$298=P73)*($N$2:$N$298=N73)*($AL$2:$AL$298&lt;&gt;0)))&lt;=2
),1,0),0)</f>
        <v>0</v>
      </c>
      <c r="AN73" s="56"/>
      <c r="AO73" s="8"/>
      <c r="AP73" s="8"/>
    </row>
    <row r="74" spans="1:42" s="7" customFormat="1" x14ac:dyDescent="0.2">
      <c r="A74" s="190" t="s">
        <v>700</v>
      </c>
      <c r="B74" s="49"/>
      <c r="C74" s="97">
        <v>73</v>
      </c>
      <c r="D74" s="8" t="s">
        <v>415</v>
      </c>
      <c r="E74" s="191" t="s">
        <v>952</v>
      </c>
      <c r="F74" s="191" t="s">
        <v>719</v>
      </c>
      <c r="G74" s="192"/>
      <c r="H74" s="192"/>
      <c r="I74" s="193" t="s">
        <v>51</v>
      </c>
      <c r="J74" s="194" t="s">
        <v>51</v>
      </c>
      <c r="K74" s="197" t="s">
        <v>729</v>
      </c>
      <c r="L74" s="195" t="s">
        <v>322</v>
      </c>
      <c r="M74" s="8" t="s">
        <v>314</v>
      </c>
      <c r="N74" s="196" t="s">
        <v>315</v>
      </c>
      <c r="O74" s="191" t="s">
        <v>732</v>
      </c>
      <c r="P74" s="193" t="s">
        <v>11</v>
      </c>
      <c r="Q74" s="270">
        <v>2263.9</v>
      </c>
      <c r="R74" s="191" t="s">
        <v>415</v>
      </c>
      <c r="S74" s="191" t="s">
        <v>415</v>
      </c>
      <c r="T74" s="191" t="s">
        <v>415</v>
      </c>
      <c r="U74" s="197" t="s">
        <v>415</v>
      </c>
      <c r="V74" s="198">
        <f>SUM(Table24[[#This Row],[A1toA3_GWP]:[C1toC4_GWP]])</f>
        <v>89.899999999999991</v>
      </c>
      <c r="W74" s="198"/>
      <c r="X74" s="198"/>
      <c r="Y74" s="198">
        <f>Table24[[#This Row],[Total_GWP]]*Table24[[#This Row],[DENSITY]]/1000</f>
        <v>203.52461</v>
      </c>
      <c r="Z74" s="199">
        <v>77.3</v>
      </c>
      <c r="AA74" s="139">
        <v>12.6</v>
      </c>
      <c r="AB74" s="77"/>
      <c r="AC74" s="73"/>
      <c r="AD74" s="138"/>
      <c r="AE74" s="200"/>
      <c r="AF74" s="199">
        <f>137*1000</f>
        <v>137000</v>
      </c>
      <c r="AG74" s="199">
        <f>Table24[[#This Row],[Total_UBP]]*Table24[[#This Row],[DENSITY]]/1000</f>
        <v>310154.3</v>
      </c>
      <c r="AH74" s="199">
        <f>0.19*1000</f>
        <v>190</v>
      </c>
      <c r="AI74" s="200">
        <f>Table24[[#This Row],[Graue_Energie]]*Table24[[#This Row],[DENSITY]]/1000</f>
        <v>430.14100000000002</v>
      </c>
      <c r="AJ74" s="385">
        <f ca="1">IF(OR($E74="Ecoinvent",$E74="Betonsortenrechner",$E74="KBOB",$V74&lt;=0,Table24[[#This Row],[VALID_TO]]&lt;=TODAY()),0,1)</f>
        <v>0</v>
      </c>
      <c r="AK74" s="199">
        <v>1</v>
      </c>
      <c r="AL74" s="199">
        <f ca="1">IF(AND(Table24[[#This Row],[ValidEPD]]&lt;&gt;0,Table24[[#This Row],[Man_Ausschluss]]&lt;&gt;0),1,0)</f>
        <v>0</v>
      </c>
      <c r="AM74" s="17" cm="1">
        <f t="array" aca="1" ref="AM74" ca="1">IF(Table24[[#This Row],[gültig]]&lt;&gt;0,
IF(
OR(
V74=MIN(_xlfn._xlws.FILTER($V$2:$V$298,($P$2:$P$298=P74)*($N$2:$N$298=N74)*($AL$2:$AL$298&lt;&gt;0))),
V74=MAX(_xlfn._xlws.FILTER($V$2:$V$298,($P$2:$P$298=P74)*($N$2:$N$298=N74)*($AL$2:$AL$298&lt;&gt;0))),
ROWS(_xlfn._xlws.FILTER($V$2:$V$298,($P$2:$P$298=P74)*($N$2:$N$298=N74)*($AL$2:$AL$298&lt;&gt;0)))&lt;=2
),1,0),0)</f>
        <v>0</v>
      </c>
      <c r="AN74" s="56"/>
      <c r="AO74" s="8"/>
      <c r="AP74" s="8"/>
    </row>
    <row r="75" spans="1:42" x14ac:dyDescent="0.2">
      <c r="A75" s="190" t="s">
        <v>471</v>
      </c>
      <c r="B75" s="49"/>
      <c r="C75" s="97">
        <v>74</v>
      </c>
      <c r="D75" s="8" t="s">
        <v>415</v>
      </c>
      <c r="E75" s="191" t="s">
        <v>952</v>
      </c>
      <c r="F75" s="201" t="s">
        <v>483</v>
      </c>
      <c r="G75" s="192"/>
      <c r="H75" s="192"/>
      <c r="I75" s="193" t="s">
        <v>51</v>
      </c>
      <c r="J75" s="194" t="s">
        <v>51</v>
      </c>
      <c r="K75" s="197" t="s">
        <v>464</v>
      </c>
      <c r="L75" s="195" t="s">
        <v>322</v>
      </c>
      <c r="M75" s="8" t="s">
        <v>314</v>
      </c>
      <c r="N75" s="196" t="s">
        <v>315</v>
      </c>
      <c r="O75" s="8" t="s">
        <v>470</v>
      </c>
      <c r="P75" s="193" t="s">
        <v>27</v>
      </c>
      <c r="Q75" s="270">
        <v>2367.6</v>
      </c>
      <c r="R75" s="191" t="s">
        <v>415</v>
      </c>
      <c r="S75" s="191" t="s">
        <v>415</v>
      </c>
      <c r="T75" s="191" t="s">
        <v>415</v>
      </c>
      <c r="U75" s="197" t="s">
        <v>415</v>
      </c>
      <c r="V75" s="198">
        <f>SUM(Table24[[#This Row],[A1toA3_GWP]:[C1toC4_GWP]])</f>
        <v>68.5</v>
      </c>
      <c r="W75" s="198"/>
      <c r="X75" s="198"/>
      <c r="Y75" s="198">
        <f>Table24[[#This Row],[Total_GWP]]*Table24[[#This Row],[DENSITY]]/1000</f>
        <v>162.1806</v>
      </c>
      <c r="Z75" s="199">
        <v>55.9</v>
      </c>
      <c r="AA75" s="139">
        <v>12.6</v>
      </c>
      <c r="AB75" s="138"/>
      <c r="AC75" s="138"/>
      <c r="AD75" s="138"/>
      <c r="AE75" s="200"/>
      <c r="AF75" s="199">
        <f>114*1000</f>
        <v>114000</v>
      </c>
      <c r="AG75" s="199">
        <f>Table24[[#This Row],[Total_UBP]]*Table24[[#This Row],[DENSITY]]/1000</f>
        <v>269906.40000000002</v>
      </c>
      <c r="AH75" s="199">
        <f>0.157*1000</f>
        <v>157</v>
      </c>
      <c r="AI75" s="200">
        <f>Table24[[#This Row],[Graue_Energie]]*Table24[[#This Row],[DENSITY]]/1000</f>
        <v>371.71320000000003</v>
      </c>
      <c r="AJ75" s="385">
        <f ca="1">IF(OR($E75="Ecoinvent",$E75="Betonsortenrechner",$E75="KBOB",$V75&lt;=0,Table24[[#This Row],[VALID_TO]]&lt;=TODAY()),0,1)</f>
        <v>0</v>
      </c>
      <c r="AK75" s="199">
        <v>1</v>
      </c>
      <c r="AL75" s="199">
        <f ca="1">IF(AND(Table24[[#This Row],[ValidEPD]]&lt;&gt;0,Table24[[#This Row],[Man_Ausschluss]]&lt;&gt;0),1,0)</f>
        <v>0</v>
      </c>
      <c r="AM75" s="17" cm="1">
        <f t="array" aca="1" ref="AM75" ca="1">IF(Table24[[#This Row],[gültig]]&lt;&gt;0,
IF(
OR(
V75=MIN(_xlfn._xlws.FILTER($V$2:$V$298,($P$2:$P$298=P75)*($N$2:$N$298=N75)*($AL$2:$AL$298&lt;&gt;0))),
V75=MAX(_xlfn._xlws.FILTER($V$2:$V$298,($P$2:$P$298=P75)*($N$2:$N$298=N75)*($AL$2:$AL$298&lt;&gt;0))),
ROWS(_xlfn._xlws.FILTER($V$2:$V$298,($P$2:$P$298=P75)*($N$2:$N$298=N75)*($AL$2:$AL$298&lt;&gt;0)))&lt;=2
),1,0),0)</f>
        <v>0</v>
      </c>
      <c r="AN75" s="56"/>
      <c r="AO75" s="1"/>
      <c r="AP75" s="1"/>
    </row>
    <row r="76" spans="1:42" x14ac:dyDescent="0.2">
      <c r="A76" s="190" t="s">
        <v>472</v>
      </c>
      <c r="B76" s="49"/>
      <c r="C76" s="97">
        <v>75</v>
      </c>
      <c r="D76" s="8" t="s">
        <v>415</v>
      </c>
      <c r="E76" s="191" t="s">
        <v>952</v>
      </c>
      <c r="F76" s="201" t="s">
        <v>484</v>
      </c>
      <c r="G76" s="192"/>
      <c r="H76" s="192"/>
      <c r="I76" s="193" t="s">
        <v>51</v>
      </c>
      <c r="J76" s="202" t="s">
        <v>51</v>
      </c>
      <c r="K76" s="203" t="s">
        <v>465</v>
      </c>
      <c r="L76" s="195" t="s">
        <v>322</v>
      </c>
      <c r="M76" s="8" t="s">
        <v>314</v>
      </c>
      <c r="N76" s="196" t="s">
        <v>315</v>
      </c>
      <c r="O76" s="8" t="s">
        <v>470</v>
      </c>
      <c r="P76" s="193" t="s">
        <v>27</v>
      </c>
      <c r="Q76" s="270">
        <v>2377.6</v>
      </c>
      <c r="R76" s="191" t="s">
        <v>415</v>
      </c>
      <c r="S76" s="191" t="s">
        <v>415</v>
      </c>
      <c r="T76" s="191" t="s">
        <v>415</v>
      </c>
      <c r="U76" s="197" t="s">
        <v>415</v>
      </c>
      <c r="V76" s="198">
        <f>SUM(Table24[[#This Row],[A1toA3_GWP]:[C1toC4_GWP]])</f>
        <v>71</v>
      </c>
      <c r="W76" s="198"/>
      <c r="X76" s="198"/>
      <c r="Y76" s="198">
        <f>Table24[[#This Row],[Total_GWP]]*Table24[[#This Row],[DENSITY]]/1000</f>
        <v>168.80960000000002</v>
      </c>
      <c r="Z76" s="199">
        <v>58.4</v>
      </c>
      <c r="AA76" s="139">
        <v>12.6</v>
      </c>
      <c r="AB76" s="138"/>
      <c r="AC76" s="138"/>
      <c r="AD76" s="138"/>
      <c r="AE76" s="200"/>
      <c r="AF76" s="199">
        <f>117*1000</f>
        <v>117000</v>
      </c>
      <c r="AG76" s="199">
        <f>Table24[[#This Row],[Total_UBP]]*Table24[[#This Row],[DENSITY]]/1000</f>
        <v>278179.20000000001</v>
      </c>
      <c r="AH76" s="199">
        <f>0.162*1000</f>
        <v>162</v>
      </c>
      <c r="AI76" s="200">
        <f>Table24[[#This Row],[Graue_Energie]]*Table24[[#This Row],[DENSITY]]/1000</f>
        <v>385.1712</v>
      </c>
      <c r="AJ76" s="385">
        <f ca="1">IF(OR($E76="Ecoinvent",$E76="Betonsortenrechner",$E76="KBOB",$V76&lt;=0,Table24[[#This Row],[VALID_TO]]&lt;=TODAY()),0,1)</f>
        <v>0</v>
      </c>
      <c r="AK76" s="199">
        <v>1</v>
      </c>
      <c r="AL76" s="199">
        <f ca="1">IF(AND(Table24[[#This Row],[ValidEPD]]&lt;&gt;0,Table24[[#This Row],[Man_Ausschluss]]&lt;&gt;0),1,0)</f>
        <v>0</v>
      </c>
      <c r="AM76" s="17" cm="1">
        <f t="array" aca="1" ref="AM76" ca="1">IF(Table24[[#This Row],[gültig]]&lt;&gt;0,
IF(
OR(
V76=MIN(_xlfn._xlws.FILTER($V$2:$V$298,($P$2:$P$298=P76)*($N$2:$N$298=N76)*($AL$2:$AL$298&lt;&gt;0))),
V76=MAX(_xlfn._xlws.FILTER($V$2:$V$298,($P$2:$P$298=P76)*($N$2:$N$298=N76)*($AL$2:$AL$298&lt;&gt;0))),
ROWS(_xlfn._xlws.FILTER($V$2:$V$298,($P$2:$P$298=P76)*($N$2:$N$298=N76)*($AL$2:$AL$298&lt;&gt;0)))&lt;=2
),1,0),0)</f>
        <v>0</v>
      </c>
      <c r="AN76" s="56"/>
      <c r="AO76" s="1"/>
      <c r="AP76" s="1"/>
    </row>
    <row r="77" spans="1:42" x14ac:dyDescent="0.2">
      <c r="A77" s="190" t="s">
        <v>473</v>
      </c>
      <c r="B77" s="49"/>
      <c r="C77" s="97">
        <v>76</v>
      </c>
      <c r="D77" s="8" t="s">
        <v>415</v>
      </c>
      <c r="E77" s="191" t="s">
        <v>952</v>
      </c>
      <c r="F77" s="204" t="s">
        <v>485</v>
      </c>
      <c r="G77" s="192"/>
      <c r="H77" s="192"/>
      <c r="I77" s="193" t="s">
        <v>51</v>
      </c>
      <c r="J77" s="202" t="s">
        <v>51</v>
      </c>
      <c r="K77" s="203" t="s">
        <v>466</v>
      </c>
      <c r="L77" s="195" t="s">
        <v>322</v>
      </c>
      <c r="M77" s="8" t="s">
        <v>314</v>
      </c>
      <c r="N77" s="196" t="s">
        <v>315</v>
      </c>
      <c r="O77" s="8" t="s">
        <v>470</v>
      </c>
      <c r="P77" s="193" t="s">
        <v>11</v>
      </c>
      <c r="Q77" s="270">
        <v>2373</v>
      </c>
      <c r="R77" s="191" t="s">
        <v>415</v>
      </c>
      <c r="S77" s="191" t="s">
        <v>415</v>
      </c>
      <c r="T77" s="191" t="s">
        <v>415</v>
      </c>
      <c r="U77" s="197" t="s">
        <v>415</v>
      </c>
      <c r="V77" s="198">
        <f>SUM(Table24[[#This Row],[A1toA3_GWP]:[C1toC4_GWP]])</f>
        <v>76.8</v>
      </c>
      <c r="W77" s="198"/>
      <c r="X77" s="198"/>
      <c r="Y77" s="198">
        <f>Table24[[#This Row],[Total_GWP]]*Table24[[#This Row],[DENSITY]]/1000</f>
        <v>182.24639999999999</v>
      </c>
      <c r="Z77" s="199">
        <v>64.2</v>
      </c>
      <c r="AA77" s="139">
        <v>12.6</v>
      </c>
      <c r="AB77" s="138"/>
      <c r="AC77" s="138"/>
      <c r="AD77" s="138"/>
      <c r="AE77" s="200"/>
      <c r="AF77" s="199">
        <f>125*1000</f>
        <v>125000</v>
      </c>
      <c r="AG77" s="199">
        <f>Table24[[#This Row],[Total_UBP]]*Table24[[#This Row],[DENSITY]]/1000</f>
        <v>296625</v>
      </c>
      <c r="AH77" s="199">
        <f>0.169*1000</f>
        <v>169</v>
      </c>
      <c r="AI77" s="200">
        <f>Table24[[#This Row],[Graue_Energie]]*Table24[[#This Row],[DENSITY]]/1000</f>
        <v>401.03699999999998</v>
      </c>
      <c r="AJ77" s="385">
        <f ca="1">IF(OR($E77="Ecoinvent",$E77="Betonsortenrechner",$E77="KBOB",$V77&lt;=0,Table24[[#This Row],[VALID_TO]]&lt;=TODAY()),0,1)</f>
        <v>0</v>
      </c>
      <c r="AK77" s="199">
        <v>1</v>
      </c>
      <c r="AL77" s="199">
        <f ca="1">IF(AND(Table24[[#This Row],[ValidEPD]]&lt;&gt;0,Table24[[#This Row],[Man_Ausschluss]]&lt;&gt;0),1,0)</f>
        <v>0</v>
      </c>
      <c r="AM77" s="17" cm="1">
        <f t="array" aca="1" ref="AM77" ca="1">IF(Table24[[#This Row],[gültig]]&lt;&gt;0,
IF(
OR(
V77=MIN(_xlfn._xlws.FILTER($V$2:$V$298,($P$2:$P$298=P77)*($N$2:$N$298=N77)*($AL$2:$AL$298&lt;&gt;0))),
V77=MAX(_xlfn._xlws.FILTER($V$2:$V$298,($P$2:$P$298=P77)*($N$2:$N$298=N77)*($AL$2:$AL$298&lt;&gt;0))),
ROWS(_xlfn._xlws.FILTER($V$2:$V$298,($P$2:$P$298=P77)*($N$2:$N$298=N77)*($AL$2:$AL$298&lt;&gt;0)))&lt;=2
),1,0),0)</f>
        <v>0</v>
      </c>
      <c r="AN77" s="56"/>
      <c r="AO77" s="1"/>
      <c r="AP77" s="1"/>
    </row>
    <row r="78" spans="1:42" x14ac:dyDescent="0.2">
      <c r="A78" s="190" t="s">
        <v>474</v>
      </c>
      <c r="B78" s="49"/>
      <c r="C78" s="97">
        <v>77</v>
      </c>
      <c r="D78" s="8" t="s">
        <v>415</v>
      </c>
      <c r="E78" s="191" t="s">
        <v>952</v>
      </c>
      <c r="F78" s="204" t="s">
        <v>486</v>
      </c>
      <c r="G78" s="192"/>
      <c r="H78" s="192"/>
      <c r="I78" s="193" t="s">
        <v>51</v>
      </c>
      <c r="J78" s="202" t="s">
        <v>51</v>
      </c>
      <c r="K78" s="203" t="s">
        <v>467</v>
      </c>
      <c r="L78" s="195" t="s">
        <v>322</v>
      </c>
      <c r="M78" s="8" t="s">
        <v>314</v>
      </c>
      <c r="N78" s="196" t="s">
        <v>315</v>
      </c>
      <c r="O78" s="8" t="s">
        <v>470</v>
      </c>
      <c r="P78" s="193" t="s">
        <v>11</v>
      </c>
      <c r="Q78" s="270">
        <v>2388.1999999999998</v>
      </c>
      <c r="R78" s="191" t="s">
        <v>415</v>
      </c>
      <c r="S78" s="191" t="s">
        <v>415</v>
      </c>
      <c r="T78" s="191" t="s">
        <v>415</v>
      </c>
      <c r="U78" s="197" t="s">
        <v>415</v>
      </c>
      <c r="V78" s="198">
        <f>SUM(Table24[[#This Row],[A1toA3_GWP]:[C1toC4_GWP]])</f>
        <v>78.5</v>
      </c>
      <c r="W78" s="198"/>
      <c r="X78" s="198"/>
      <c r="Y78" s="198">
        <f>Table24[[#This Row],[Total_GWP]]*Table24[[#This Row],[DENSITY]]/1000</f>
        <v>187.47369999999998</v>
      </c>
      <c r="Z78" s="199">
        <v>65.900000000000006</v>
      </c>
      <c r="AA78" s="139">
        <v>12.6</v>
      </c>
      <c r="AB78" s="138"/>
      <c r="AC78" s="138"/>
      <c r="AD78" s="138"/>
      <c r="AE78" s="200"/>
      <c r="AF78" s="199">
        <f>127*1000</f>
        <v>127000</v>
      </c>
      <c r="AG78" s="199">
        <f>Table24[[#This Row],[Total_UBP]]*Table24[[#This Row],[DENSITY]]/1000</f>
        <v>303301.40000000002</v>
      </c>
      <c r="AH78" s="199">
        <f>0.173*1000</f>
        <v>173</v>
      </c>
      <c r="AI78" s="200">
        <f>Table24[[#This Row],[Graue_Energie]]*Table24[[#This Row],[DENSITY]]/1000</f>
        <v>413.15859999999998</v>
      </c>
      <c r="AJ78" s="385">
        <f ca="1">IF(OR($E78="Ecoinvent",$E78="Betonsortenrechner",$E78="KBOB",$V78&lt;=0,Table24[[#This Row],[VALID_TO]]&lt;=TODAY()),0,1)</f>
        <v>0</v>
      </c>
      <c r="AK78" s="199">
        <v>1</v>
      </c>
      <c r="AL78" s="199">
        <f ca="1">IF(AND(Table24[[#This Row],[ValidEPD]]&lt;&gt;0,Table24[[#This Row],[Man_Ausschluss]]&lt;&gt;0),1,0)</f>
        <v>0</v>
      </c>
      <c r="AM78" s="17" cm="1">
        <f t="array" aca="1" ref="AM78" ca="1">IF(Table24[[#This Row],[gültig]]&lt;&gt;0,
IF(
OR(
V78=MIN(_xlfn._xlws.FILTER($V$2:$V$298,($P$2:$P$298=P78)*($N$2:$N$298=N78)*($AL$2:$AL$298&lt;&gt;0))),
V78=MAX(_xlfn._xlws.FILTER($V$2:$V$298,($P$2:$P$298=P78)*($N$2:$N$298=N78)*($AL$2:$AL$298&lt;&gt;0))),
ROWS(_xlfn._xlws.FILTER($V$2:$V$298,($P$2:$P$298=P78)*($N$2:$N$298=N78)*($AL$2:$AL$298&lt;&gt;0)))&lt;=2
),1,0),0)</f>
        <v>0</v>
      </c>
      <c r="AN78" s="56"/>
      <c r="AO78" s="1"/>
      <c r="AP78" s="1"/>
    </row>
    <row r="79" spans="1:42" x14ac:dyDescent="0.2">
      <c r="A79" s="190" t="s">
        <v>475</v>
      </c>
      <c r="B79" s="49"/>
      <c r="C79" s="98">
        <v>78</v>
      </c>
      <c r="D79" s="8" t="s">
        <v>415</v>
      </c>
      <c r="E79" s="191" t="s">
        <v>952</v>
      </c>
      <c r="F79" s="204" t="s">
        <v>487</v>
      </c>
      <c r="G79" s="192"/>
      <c r="H79" s="192"/>
      <c r="I79" s="193" t="s">
        <v>51</v>
      </c>
      <c r="J79" s="202" t="s">
        <v>51</v>
      </c>
      <c r="K79" s="203" t="s">
        <v>468</v>
      </c>
      <c r="L79" s="195" t="s">
        <v>322</v>
      </c>
      <c r="M79" s="8" t="s">
        <v>314</v>
      </c>
      <c r="N79" s="196" t="s">
        <v>315</v>
      </c>
      <c r="O79" s="8" t="s">
        <v>809</v>
      </c>
      <c r="P79" s="193" t="s">
        <v>6</v>
      </c>
      <c r="Q79" s="270">
        <v>2343.6</v>
      </c>
      <c r="R79" s="191" t="s">
        <v>415</v>
      </c>
      <c r="S79" s="191" t="s">
        <v>415</v>
      </c>
      <c r="T79" s="191" t="s">
        <v>415</v>
      </c>
      <c r="U79" s="197" t="s">
        <v>415</v>
      </c>
      <c r="V79" s="198">
        <f>SUM(Table24[[#This Row],[A1toA3_GWP]:[C1toC4_GWP]])</f>
        <v>103.1</v>
      </c>
      <c r="W79" s="198"/>
      <c r="X79" s="198"/>
      <c r="Y79" s="198">
        <f>Table24[[#This Row],[Total_GWP]]*Table24[[#This Row],[DENSITY]]/1000</f>
        <v>241.62515999999997</v>
      </c>
      <c r="Z79" s="199">
        <v>90.5</v>
      </c>
      <c r="AA79" s="139">
        <v>12.6</v>
      </c>
      <c r="AB79" s="138"/>
      <c r="AC79" s="138"/>
      <c r="AD79" s="138"/>
      <c r="AE79" s="200"/>
      <c r="AF79" s="199">
        <f>156*1000</f>
        <v>156000</v>
      </c>
      <c r="AG79" s="199">
        <f>Table24[[#This Row],[Total_UBP]]*Table24[[#This Row],[DENSITY]]/1000</f>
        <v>365601.6</v>
      </c>
      <c r="AH79" s="199">
        <f>0.212*1000</f>
        <v>212</v>
      </c>
      <c r="AI79" s="200">
        <f>Table24[[#This Row],[Graue_Energie]]*Table24[[#This Row],[DENSITY]]/1000</f>
        <v>496.84319999999997</v>
      </c>
      <c r="AJ79" s="385">
        <f ca="1">IF(OR($E79="Ecoinvent",$E79="Betonsortenrechner",$E79="KBOB",$V79&lt;=0,Table24[[#This Row],[VALID_TO]]&lt;=TODAY()),0,1)</f>
        <v>0</v>
      </c>
      <c r="AK79" s="199">
        <v>1</v>
      </c>
      <c r="AL79" s="199">
        <f ca="1">IF(AND(Table24[[#This Row],[ValidEPD]]&lt;&gt;0,Table24[[#This Row],[Man_Ausschluss]]&lt;&gt;0),1,0)</f>
        <v>0</v>
      </c>
      <c r="AM79" s="17" cm="1">
        <f t="array" aca="1" ref="AM79" ca="1">IF(Table24[[#This Row],[gültig]]&lt;&gt;0,
IF(
OR(
V79=MIN(_xlfn._xlws.FILTER($V$2:$V$298,($P$2:$P$298=P79)*($N$2:$N$298=N79)*($AL$2:$AL$298&lt;&gt;0))),
V79=MAX(_xlfn._xlws.FILTER($V$2:$V$298,($P$2:$P$298=P79)*($N$2:$N$298=N79)*($AL$2:$AL$298&lt;&gt;0))),
ROWS(_xlfn._xlws.FILTER($V$2:$V$298,($P$2:$P$298=P79)*($N$2:$N$298=N79)*($AL$2:$AL$298&lt;&gt;0)))&lt;=2
),1,0),0)</f>
        <v>0</v>
      </c>
      <c r="AN79" s="56"/>
      <c r="AO79" s="1"/>
      <c r="AP79" s="1"/>
    </row>
    <row r="80" spans="1:42" x14ac:dyDescent="0.2">
      <c r="A80" s="190" t="s">
        <v>476</v>
      </c>
      <c r="B80" s="49"/>
      <c r="C80" s="97">
        <v>79</v>
      </c>
      <c r="D80" s="8" t="s">
        <v>415</v>
      </c>
      <c r="E80" s="191" t="s">
        <v>952</v>
      </c>
      <c r="F80" s="204" t="s">
        <v>488</v>
      </c>
      <c r="G80" s="192"/>
      <c r="H80" s="192"/>
      <c r="I80" s="193" t="s">
        <v>51</v>
      </c>
      <c r="J80" s="202" t="s">
        <v>51</v>
      </c>
      <c r="K80" s="203" t="s">
        <v>469</v>
      </c>
      <c r="L80" s="195" t="s">
        <v>322</v>
      </c>
      <c r="M80" s="8" t="s">
        <v>314</v>
      </c>
      <c r="N80" s="196" t="s">
        <v>315</v>
      </c>
      <c r="O80" s="8" t="s">
        <v>809</v>
      </c>
      <c r="P80" s="193" t="s">
        <v>11</v>
      </c>
      <c r="Q80" s="270">
        <v>2333.9</v>
      </c>
      <c r="R80" s="191" t="s">
        <v>415</v>
      </c>
      <c r="S80" s="191" t="s">
        <v>415</v>
      </c>
      <c r="T80" s="191" t="s">
        <v>415</v>
      </c>
      <c r="U80" s="197" t="s">
        <v>415</v>
      </c>
      <c r="V80" s="198">
        <f>SUM(Table24[[#This Row],[A1toA3_GWP]:[C1toC4_GWP]])</f>
        <v>107.3</v>
      </c>
      <c r="W80" s="198"/>
      <c r="X80" s="198"/>
      <c r="Y80" s="198">
        <f>Table24[[#This Row],[Total_GWP]]*Table24[[#This Row],[DENSITY]]/1000</f>
        <v>250.42747</v>
      </c>
      <c r="Z80" s="199">
        <v>94.7</v>
      </c>
      <c r="AA80" s="139">
        <v>12.6</v>
      </c>
      <c r="AB80" s="138"/>
      <c r="AC80" s="138"/>
      <c r="AD80" s="138"/>
      <c r="AE80" s="200"/>
      <c r="AF80" s="199">
        <f>163*1000</f>
        <v>163000</v>
      </c>
      <c r="AG80" s="199">
        <f>Table24[[#This Row],[Total_UBP]]*Table24[[#This Row],[DENSITY]]/1000</f>
        <v>380425.7</v>
      </c>
      <c r="AH80" s="199">
        <f>0.217*1000</f>
        <v>217</v>
      </c>
      <c r="AI80" s="377">
        <f>Table24[[#This Row],[Graue_Energie]]*Table24[[#This Row],[DENSITY]]/1000</f>
        <v>506.45630000000006</v>
      </c>
      <c r="AJ80" s="385">
        <f ca="1">IF(OR($E80="Ecoinvent",$E80="Betonsortenrechner",$E80="KBOB",$V80&lt;=0,Table24[[#This Row],[VALID_TO]]&lt;=TODAY()),0,1)</f>
        <v>0</v>
      </c>
      <c r="AK80" s="199">
        <v>1</v>
      </c>
      <c r="AL80" s="199">
        <f ca="1">IF(AND(Table24[[#This Row],[ValidEPD]]&lt;&gt;0,Table24[[#This Row],[Man_Ausschluss]]&lt;&gt;0),1,0)</f>
        <v>0</v>
      </c>
      <c r="AM80" s="17" cm="1">
        <f t="array" aca="1" ref="AM80" ca="1">IF(Table24[[#This Row],[gültig]]&lt;&gt;0,
IF(
OR(
V80=MIN(_xlfn._xlws.FILTER($V$2:$V$298,($P$2:$P$298=P80)*($N$2:$N$298=N80)*($AL$2:$AL$298&lt;&gt;0))),
V80=MAX(_xlfn._xlws.FILTER($V$2:$V$298,($P$2:$P$298=P80)*($N$2:$N$298=N80)*($AL$2:$AL$298&lt;&gt;0))),
ROWS(_xlfn._xlws.FILTER($V$2:$V$298,($P$2:$P$298=P80)*($N$2:$N$298=N80)*($AL$2:$AL$298&lt;&gt;0)))&lt;=2
),1,0),0)</f>
        <v>0</v>
      </c>
      <c r="AN80" s="56"/>
      <c r="AO80" s="1"/>
      <c r="AP80" s="1"/>
    </row>
    <row r="81" spans="1:42" x14ac:dyDescent="0.2">
      <c r="A81" s="190" t="s">
        <v>793</v>
      </c>
      <c r="B81" s="9"/>
      <c r="C81" s="97">
        <v>80</v>
      </c>
      <c r="D81" s="8" t="s">
        <v>415</v>
      </c>
      <c r="E81" s="191" t="s">
        <v>952</v>
      </c>
      <c r="F81" s="204" t="s">
        <v>779</v>
      </c>
      <c r="G81" s="265"/>
      <c r="H81" s="265"/>
      <c r="I81" s="193" t="s">
        <v>51</v>
      </c>
      <c r="J81" s="202" t="s">
        <v>51</v>
      </c>
      <c r="K81" s="203" t="s">
        <v>810</v>
      </c>
      <c r="L81" s="195" t="s">
        <v>322</v>
      </c>
      <c r="M81" s="8" t="s">
        <v>314</v>
      </c>
      <c r="N81" s="196" t="s">
        <v>315</v>
      </c>
      <c r="O81" s="8" t="s">
        <v>470</v>
      </c>
      <c r="P81" s="193" t="s">
        <v>27</v>
      </c>
      <c r="Q81" s="270">
        <v>2255.6999999999998</v>
      </c>
      <c r="R81" s="263"/>
      <c r="S81" s="263"/>
      <c r="T81" s="263"/>
      <c r="U81" s="266"/>
      <c r="V81" s="198">
        <f>SUM(Table24[[#This Row],[A1toA3_GWP]:[C1toC4_GWP]])</f>
        <v>99.1</v>
      </c>
      <c r="W81" s="198"/>
      <c r="X81" s="198"/>
      <c r="Y81" s="198">
        <f>Table24[[#This Row],[Total_GWP]]*Table24[[#This Row],[DENSITY]]/1000</f>
        <v>223.53986999999998</v>
      </c>
      <c r="Z81" s="199">
        <v>86.1</v>
      </c>
      <c r="AA81" s="139">
        <v>13</v>
      </c>
      <c r="AB81" s="73"/>
      <c r="AC81" s="73"/>
      <c r="AD81" s="73"/>
      <c r="AE81" s="75"/>
      <c r="AF81" s="199">
        <f>147*1000</f>
        <v>147000</v>
      </c>
      <c r="AG81" s="199">
        <f>Table24[[#This Row],[Total_UBP]]*Table24[[#This Row],[DENSITY]]/1000</f>
        <v>331587.90000000002</v>
      </c>
      <c r="AH81" s="199">
        <f>0.19*1000</f>
        <v>190</v>
      </c>
      <c r="AI81" s="377">
        <f>Table24[[#This Row],[Graue_Energie]]*Table24[[#This Row],[DENSITY]]/1000</f>
        <v>428.58299999999997</v>
      </c>
      <c r="AJ81" s="385">
        <f ca="1">IF(OR($E81="Ecoinvent",$E81="Betonsortenrechner",$E81="KBOB",$V81&lt;=0,Table24[[#This Row],[VALID_TO]]&lt;=TODAY()),0,1)</f>
        <v>0</v>
      </c>
      <c r="AK81" s="199">
        <v>1</v>
      </c>
      <c r="AL81" s="199">
        <f ca="1">IF(AND(Table24[[#This Row],[ValidEPD]]&lt;&gt;0,Table24[[#This Row],[Man_Ausschluss]]&lt;&gt;0),1,0)</f>
        <v>0</v>
      </c>
      <c r="AM81" s="17" cm="1">
        <f t="array" aca="1" ref="AM81" ca="1">IF(Table24[[#This Row],[gültig]]&lt;&gt;0,
IF(
OR(
V81=MIN(_xlfn._xlws.FILTER($V$2:$V$298,($P$2:$P$298=P81)*($N$2:$N$298=N81)*($AL$2:$AL$298&lt;&gt;0))),
V81=MAX(_xlfn._xlws.FILTER($V$2:$V$298,($P$2:$P$298=P81)*($N$2:$N$298=N81)*($AL$2:$AL$298&lt;&gt;0))),
ROWS(_xlfn._xlws.FILTER($V$2:$V$298,($P$2:$P$298=P81)*($N$2:$N$298=N81)*($AL$2:$AL$298&lt;&gt;0)))&lt;=2
),1,0),0)</f>
        <v>0</v>
      </c>
      <c r="AN81" s="138"/>
      <c r="AO81" s="267"/>
      <c r="AP81" s="1"/>
    </row>
    <row r="82" spans="1:42" x14ac:dyDescent="0.2">
      <c r="A82" s="190" t="s">
        <v>794</v>
      </c>
      <c r="B82" s="9"/>
      <c r="C82" s="98">
        <v>81</v>
      </c>
      <c r="D82" s="8" t="s">
        <v>415</v>
      </c>
      <c r="E82" s="191" t="s">
        <v>952</v>
      </c>
      <c r="F82" s="204" t="s">
        <v>780</v>
      </c>
      <c r="G82" s="265"/>
      <c r="H82" s="265"/>
      <c r="I82" s="193" t="s">
        <v>51</v>
      </c>
      <c r="J82" s="202" t="s">
        <v>51</v>
      </c>
      <c r="K82" s="203" t="s">
        <v>811</v>
      </c>
      <c r="L82" s="195" t="s">
        <v>322</v>
      </c>
      <c r="M82" s="8" t="s">
        <v>314</v>
      </c>
      <c r="N82" s="196" t="s">
        <v>315</v>
      </c>
      <c r="O82" s="8" t="s">
        <v>470</v>
      </c>
      <c r="P82" s="193" t="s">
        <v>11</v>
      </c>
      <c r="Q82" s="270">
        <v>2299.7999999999997</v>
      </c>
      <c r="R82" s="263"/>
      <c r="S82" s="263"/>
      <c r="T82" s="263"/>
      <c r="U82" s="266"/>
      <c r="V82" s="198">
        <f>SUM(Table24[[#This Row],[A1toA3_GWP]:[C1toC4_GWP]])</f>
        <v>103.5</v>
      </c>
      <c r="W82" s="198"/>
      <c r="X82" s="198"/>
      <c r="Y82" s="198">
        <f>Table24[[#This Row],[Total_GWP]]*Table24[[#This Row],[DENSITY]]/1000</f>
        <v>238.02929999999995</v>
      </c>
      <c r="Z82" s="199">
        <v>90.5</v>
      </c>
      <c r="AA82" s="139">
        <v>13</v>
      </c>
      <c r="AB82" s="73"/>
      <c r="AC82" s="73"/>
      <c r="AD82" s="73"/>
      <c r="AE82" s="75"/>
      <c r="AF82" s="199">
        <f>153*1000</f>
        <v>153000</v>
      </c>
      <c r="AG82" s="199">
        <f>Table24[[#This Row],[Total_UBP]]*Table24[[#This Row],[DENSITY]]/1000</f>
        <v>351869.39999999997</v>
      </c>
      <c r="AH82" s="199">
        <f>0.199*1000</f>
        <v>199</v>
      </c>
      <c r="AI82" s="377">
        <f>Table24[[#This Row],[Graue_Energie]]*Table24[[#This Row],[DENSITY]]/1000</f>
        <v>457.66019999999997</v>
      </c>
      <c r="AJ82" s="385">
        <f ca="1">IF(OR($E82="Ecoinvent",$E82="Betonsortenrechner",$E82="KBOB",$V82&lt;=0,Table24[[#This Row],[VALID_TO]]&lt;=TODAY()),0,1)</f>
        <v>0</v>
      </c>
      <c r="AK82" s="199">
        <v>1</v>
      </c>
      <c r="AL82" s="199">
        <f ca="1">IF(AND(Table24[[#This Row],[ValidEPD]]&lt;&gt;0,Table24[[#This Row],[Man_Ausschluss]]&lt;&gt;0),1,0)</f>
        <v>0</v>
      </c>
      <c r="AM82" s="17" cm="1">
        <f t="array" aca="1" ref="AM82" ca="1">IF(Table24[[#This Row],[gültig]]&lt;&gt;0,
IF(
OR(
V82=MIN(_xlfn._xlws.FILTER($V$2:$V$298,($P$2:$P$298=P82)*($N$2:$N$298=N82)*($AL$2:$AL$298&lt;&gt;0))),
V82=MAX(_xlfn._xlws.FILTER($V$2:$V$298,($P$2:$P$298=P82)*($N$2:$N$298=N82)*($AL$2:$AL$298&lt;&gt;0))),
ROWS(_xlfn._xlws.FILTER($V$2:$V$298,($P$2:$P$298=P82)*($N$2:$N$298=N82)*($AL$2:$AL$298&lt;&gt;0)))&lt;=2
),1,0),0)</f>
        <v>0</v>
      </c>
      <c r="AN82" s="138"/>
      <c r="AO82" s="267"/>
      <c r="AP82" s="1"/>
    </row>
    <row r="83" spans="1:42" x14ac:dyDescent="0.2">
      <c r="A83" s="190" t="s">
        <v>795</v>
      </c>
      <c r="B83" s="9"/>
      <c r="C83" s="97">
        <v>82</v>
      </c>
      <c r="D83" s="8" t="s">
        <v>415</v>
      </c>
      <c r="E83" s="191" t="s">
        <v>952</v>
      </c>
      <c r="F83" s="204" t="s">
        <v>781</v>
      </c>
      <c r="G83" s="265"/>
      <c r="H83" s="265"/>
      <c r="I83" s="193" t="s">
        <v>51</v>
      </c>
      <c r="J83" s="202" t="s">
        <v>51</v>
      </c>
      <c r="K83" s="348" t="s">
        <v>940</v>
      </c>
      <c r="L83" s="195" t="s">
        <v>322</v>
      </c>
      <c r="M83" s="8" t="s">
        <v>314</v>
      </c>
      <c r="N83" s="196" t="s">
        <v>315</v>
      </c>
      <c r="O83" s="8" t="s">
        <v>807</v>
      </c>
      <c r="P83" s="193" t="s">
        <v>27</v>
      </c>
      <c r="Q83" s="270">
        <v>2388</v>
      </c>
      <c r="R83" s="263"/>
      <c r="S83" s="263"/>
      <c r="T83" s="263"/>
      <c r="U83" s="266"/>
      <c r="V83" s="198">
        <f>SUM(Table24[[#This Row],[A1toA3_GWP]:[C1toC4_GWP]])</f>
        <v>81.099999999999994</v>
      </c>
      <c r="W83" s="198"/>
      <c r="X83" s="198"/>
      <c r="Y83" s="198">
        <f>Table24[[#This Row],[Total_GWP]]*Table24[[#This Row],[DENSITY]]/1000</f>
        <v>193.66679999999999</v>
      </c>
      <c r="Z83" s="199">
        <v>68.5</v>
      </c>
      <c r="AA83" s="139">
        <v>12.6</v>
      </c>
      <c r="AB83" s="73"/>
      <c r="AC83" s="73"/>
      <c r="AD83" s="73"/>
      <c r="AE83" s="75"/>
      <c r="AF83" s="199">
        <f>144*1000</f>
        <v>144000</v>
      </c>
      <c r="AG83" s="199">
        <f>Table24[[#This Row],[Total_UBP]]*Table24[[#This Row],[DENSITY]]/1000</f>
        <v>343872</v>
      </c>
      <c r="AH83" s="199">
        <f>0.128*1000</f>
        <v>128</v>
      </c>
      <c r="AI83" s="377">
        <f>Table24[[#This Row],[Graue_Energie]]*Table24[[#This Row],[DENSITY]]/1000</f>
        <v>305.66399999999999</v>
      </c>
      <c r="AJ83" s="385">
        <f ca="1">IF(OR($E83="Ecoinvent",$E83="Betonsortenrechner",$E83="KBOB",$V83&lt;=0,Table24[[#This Row],[VALID_TO]]&lt;=TODAY()),0,1)</f>
        <v>0</v>
      </c>
      <c r="AK83" s="199">
        <v>1</v>
      </c>
      <c r="AL83" s="199">
        <f ca="1">IF(AND(Table24[[#This Row],[ValidEPD]]&lt;&gt;0,Table24[[#This Row],[Man_Ausschluss]]&lt;&gt;0),1,0)</f>
        <v>0</v>
      </c>
      <c r="AM83" s="17" cm="1">
        <f t="array" aca="1" ref="AM83" ca="1">IF(Table24[[#This Row],[gültig]]&lt;&gt;0,
IF(
OR(
V83=MIN(_xlfn._xlws.FILTER($V$2:$V$298,($P$2:$P$298=P83)*($N$2:$N$298=N83)*($AL$2:$AL$298&lt;&gt;0))),
V83=MAX(_xlfn._xlws.FILTER($V$2:$V$298,($P$2:$P$298=P83)*($N$2:$N$298=N83)*($AL$2:$AL$298&lt;&gt;0))),
ROWS(_xlfn._xlws.FILTER($V$2:$V$298,($P$2:$P$298=P83)*($N$2:$N$298=N83)*($AL$2:$AL$298&lt;&gt;0)))&lt;=2
),1,0),0)</f>
        <v>0</v>
      </c>
      <c r="AN83" s="138"/>
      <c r="AO83" s="267"/>
      <c r="AP83" s="1"/>
    </row>
    <row r="84" spans="1:42" x14ac:dyDescent="0.2">
      <c r="A84" s="190" t="s">
        <v>796</v>
      </c>
      <c r="B84" s="9"/>
      <c r="C84" s="97">
        <v>83</v>
      </c>
      <c r="D84" s="8" t="s">
        <v>415</v>
      </c>
      <c r="E84" s="191" t="s">
        <v>952</v>
      </c>
      <c r="F84" s="204" t="s">
        <v>782</v>
      </c>
      <c r="G84" s="265"/>
      <c r="H84" s="265"/>
      <c r="I84" s="193" t="s">
        <v>51</v>
      </c>
      <c r="J84" s="202" t="s">
        <v>51</v>
      </c>
      <c r="K84" s="348" t="s">
        <v>941</v>
      </c>
      <c r="L84" s="195" t="s">
        <v>322</v>
      </c>
      <c r="M84" s="8" t="s">
        <v>314</v>
      </c>
      <c r="N84" s="196" t="s">
        <v>315</v>
      </c>
      <c r="O84" s="8" t="s">
        <v>807</v>
      </c>
      <c r="P84" s="193" t="s">
        <v>27</v>
      </c>
      <c r="Q84" s="270">
        <v>2336</v>
      </c>
      <c r="R84" s="263"/>
      <c r="S84" s="263"/>
      <c r="T84" s="263"/>
      <c r="U84" s="266"/>
      <c r="V84" s="198">
        <f>SUM(Table24[[#This Row],[A1toA3_GWP]:[C1toC4_GWP]])</f>
        <v>85.8</v>
      </c>
      <c r="W84" s="198"/>
      <c r="X84" s="198"/>
      <c r="Y84" s="198">
        <f>Table24[[#This Row],[Total_GWP]]*Table24[[#This Row],[DENSITY]]/1000</f>
        <v>200.4288</v>
      </c>
      <c r="Z84" s="199">
        <v>73.2</v>
      </c>
      <c r="AA84" s="139">
        <v>12.6</v>
      </c>
      <c r="AB84" s="73"/>
      <c r="AC84" s="73"/>
      <c r="AD84" s="73"/>
      <c r="AE84" s="75"/>
      <c r="AF84" s="199">
        <f>142*1000</f>
        <v>142000</v>
      </c>
      <c r="AG84" s="199">
        <f>Table24[[#This Row],[Total_UBP]]*Table24[[#This Row],[DENSITY]]/1000</f>
        <v>331712</v>
      </c>
      <c r="AH84" s="199">
        <f>0.131*1000</f>
        <v>131</v>
      </c>
      <c r="AI84" s="377">
        <f>Table24[[#This Row],[Graue_Energie]]*Table24[[#This Row],[DENSITY]]/1000</f>
        <v>306.01600000000002</v>
      </c>
      <c r="AJ84" s="385">
        <f ca="1">IF(OR($E84="Ecoinvent",$E84="Betonsortenrechner",$E84="KBOB",$V84&lt;=0,Table24[[#This Row],[VALID_TO]]&lt;=TODAY()),0,1)</f>
        <v>0</v>
      </c>
      <c r="AK84" s="199">
        <v>1</v>
      </c>
      <c r="AL84" s="199">
        <f ca="1">IF(AND(Table24[[#This Row],[ValidEPD]]&lt;&gt;0,Table24[[#This Row],[Man_Ausschluss]]&lt;&gt;0),1,0)</f>
        <v>0</v>
      </c>
      <c r="AM84" s="17" cm="1">
        <f t="array" aca="1" ref="AM84" ca="1">IF(Table24[[#This Row],[gültig]]&lt;&gt;0,
IF(
OR(
V84=MIN(_xlfn._xlws.FILTER($V$2:$V$298,($P$2:$P$298=P84)*($N$2:$N$298=N84)*($AL$2:$AL$298&lt;&gt;0))),
V84=MAX(_xlfn._xlws.FILTER($V$2:$V$298,($P$2:$P$298=P84)*($N$2:$N$298=N84)*($AL$2:$AL$298&lt;&gt;0))),
ROWS(_xlfn._xlws.FILTER($V$2:$V$298,($P$2:$P$298=P84)*($N$2:$N$298=N84)*($AL$2:$AL$298&lt;&gt;0)))&lt;=2
),1,0),0)</f>
        <v>0</v>
      </c>
      <c r="AN84" s="138"/>
      <c r="AO84" s="267"/>
      <c r="AP84" s="1"/>
    </row>
    <row r="85" spans="1:42" x14ac:dyDescent="0.2">
      <c r="A85" s="190" t="s">
        <v>797</v>
      </c>
      <c r="B85" s="9"/>
      <c r="C85" s="98">
        <v>84</v>
      </c>
      <c r="D85" s="8" t="s">
        <v>415</v>
      </c>
      <c r="E85" s="191" t="s">
        <v>952</v>
      </c>
      <c r="F85" s="204" t="s">
        <v>783</v>
      </c>
      <c r="G85" s="265"/>
      <c r="H85" s="265"/>
      <c r="I85" s="193" t="s">
        <v>51</v>
      </c>
      <c r="J85" s="202" t="s">
        <v>51</v>
      </c>
      <c r="K85" s="348" t="s">
        <v>942</v>
      </c>
      <c r="L85" s="195" t="s">
        <v>322</v>
      </c>
      <c r="M85" s="8" t="s">
        <v>314</v>
      </c>
      <c r="N85" s="196" t="s">
        <v>315</v>
      </c>
      <c r="O85" s="8" t="s">
        <v>807</v>
      </c>
      <c r="P85" s="193" t="s">
        <v>27</v>
      </c>
      <c r="Q85" s="270">
        <v>2269</v>
      </c>
      <c r="R85" s="263"/>
      <c r="S85" s="263"/>
      <c r="T85" s="263"/>
      <c r="U85" s="266"/>
      <c r="V85" s="198">
        <f>SUM(Table24[[#This Row],[A1toA3_GWP]:[C1toC4_GWP]])</f>
        <v>91.899999999999991</v>
      </c>
      <c r="W85" s="198"/>
      <c r="X85" s="198"/>
      <c r="Y85" s="198">
        <f>Table24[[#This Row],[Total_GWP]]*Table24[[#This Row],[DENSITY]]/1000</f>
        <v>208.52109999999999</v>
      </c>
      <c r="Z85" s="199">
        <v>79.3</v>
      </c>
      <c r="AA85" s="139">
        <v>12.6</v>
      </c>
      <c r="AB85" s="73"/>
      <c r="AC85" s="73"/>
      <c r="AD85" s="73"/>
      <c r="AE85" s="75"/>
      <c r="AF85" s="199">
        <f>143*1000</f>
        <v>143000</v>
      </c>
      <c r="AG85" s="199">
        <f>Table24[[#This Row],[Total_UBP]]*Table24[[#This Row],[DENSITY]]/1000</f>
        <v>324467</v>
      </c>
      <c r="AH85" s="199">
        <f>0.134*1000</f>
        <v>134</v>
      </c>
      <c r="AI85" s="377">
        <f>Table24[[#This Row],[Graue_Energie]]*Table24[[#This Row],[DENSITY]]/1000</f>
        <v>304.04599999999999</v>
      </c>
      <c r="AJ85" s="385">
        <f ca="1">IF(OR($E85="Ecoinvent",$E85="Betonsortenrechner",$E85="KBOB",$V85&lt;=0,Table24[[#This Row],[VALID_TO]]&lt;=TODAY()),0,1)</f>
        <v>0</v>
      </c>
      <c r="AK85" s="199">
        <v>1</v>
      </c>
      <c r="AL85" s="199">
        <f ca="1">IF(AND(Table24[[#This Row],[ValidEPD]]&lt;&gt;0,Table24[[#This Row],[Man_Ausschluss]]&lt;&gt;0),1,0)</f>
        <v>0</v>
      </c>
      <c r="AM85" s="17" cm="1">
        <f t="array" aca="1" ref="AM85" ca="1">IF(Table24[[#This Row],[gültig]]&lt;&gt;0,
IF(
OR(
V85=MIN(_xlfn._xlws.FILTER($V$2:$V$298,($P$2:$P$298=P85)*($N$2:$N$298=N85)*($AL$2:$AL$298&lt;&gt;0))),
V85=MAX(_xlfn._xlws.FILTER($V$2:$V$298,($P$2:$P$298=P85)*($N$2:$N$298=N85)*($AL$2:$AL$298&lt;&gt;0))),
ROWS(_xlfn._xlws.FILTER($V$2:$V$298,($P$2:$P$298=P85)*($N$2:$N$298=N85)*($AL$2:$AL$298&lt;&gt;0)))&lt;=2
),1,0),0)</f>
        <v>0</v>
      </c>
      <c r="AN85" s="138"/>
      <c r="AO85" s="267"/>
      <c r="AP85" s="1"/>
    </row>
    <row r="86" spans="1:42" x14ac:dyDescent="0.2">
      <c r="A86" s="190" t="s">
        <v>798</v>
      </c>
      <c r="B86" s="9"/>
      <c r="C86" s="97">
        <v>85</v>
      </c>
      <c r="D86" s="8" t="s">
        <v>415</v>
      </c>
      <c r="E86" s="191" t="s">
        <v>952</v>
      </c>
      <c r="F86" s="204" t="s">
        <v>784</v>
      </c>
      <c r="G86" s="265"/>
      <c r="H86" s="265"/>
      <c r="I86" s="193" t="s">
        <v>51</v>
      </c>
      <c r="J86" s="202" t="s">
        <v>51</v>
      </c>
      <c r="K86" s="348" t="s">
        <v>943</v>
      </c>
      <c r="L86" s="195" t="s">
        <v>322</v>
      </c>
      <c r="M86" s="8" t="s">
        <v>314</v>
      </c>
      <c r="N86" s="196" t="s">
        <v>315</v>
      </c>
      <c r="O86" s="8" t="s">
        <v>807</v>
      </c>
      <c r="P86" s="193" t="s">
        <v>6</v>
      </c>
      <c r="Q86" s="270">
        <v>2394</v>
      </c>
      <c r="R86" s="263"/>
      <c r="S86" s="263"/>
      <c r="T86" s="263"/>
      <c r="U86" s="266"/>
      <c r="V86" s="198">
        <f>SUM(Table24[[#This Row],[A1toA3_GWP]:[C1toC4_GWP]])</f>
        <v>81.399999999999991</v>
      </c>
      <c r="W86" s="198"/>
      <c r="X86" s="198"/>
      <c r="Y86" s="198">
        <f>Table24[[#This Row],[Total_GWP]]*Table24[[#This Row],[DENSITY]]/1000</f>
        <v>194.87159999999997</v>
      </c>
      <c r="Z86" s="199">
        <v>68.8</v>
      </c>
      <c r="AA86" s="139">
        <v>12.6</v>
      </c>
      <c r="AB86" s="73"/>
      <c r="AC86" s="73"/>
      <c r="AD86" s="73"/>
      <c r="AE86" s="75"/>
      <c r="AF86" s="199">
        <f>144*1000</f>
        <v>144000</v>
      </c>
      <c r="AG86" s="199">
        <f>Table24[[#This Row],[Total_UBP]]*Table24[[#This Row],[DENSITY]]/1000</f>
        <v>344736</v>
      </c>
      <c r="AH86" s="199">
        <f>0.13*1000</f>
        <v>130</v>
      </c>
      <c r="AI86" s="377">
        <f>Table24[[#This Row],[Graue_Energie]]*Table24[[#This Row],[DENSITY]]/1000</f>
        <v>311.22000000000003</v>
      </c>
      <c r="AJ86" s="385">
        <f ca="1">IF(OR($E86="Ecoinvent",$E86="Betonsortenrechner",$E86="KBOB",$V86&lt;=0,Table24[[#This Row],[VALID_TO]]&lt;=TODAY()),0,1)</f>
        <v>0</v>
      </c>
      <c r="AK86" s="199">
        <v>1</v>
      </c>
      <c r="AL86" s="199">
        <f ca="1">IF(AND(Table24[[#This Row],[ValidEPD]]&lt;&gt;0,Table24[[#This Row],[Man_Ausschluss]]&lt;&gt;0),1,0)</f>
        <v>0</v>
      </c>
      <c r="AM86" s="17" cm="1">
        <f t="array" aca="1" ref="AM86" ca="1">IF(Table24[[#This Row],[gültig]]&lt;&gt;0,
IF(
OR(
V86=MIN(_xlfn._xlws.FILTER($V$2:$V$298,($P$2:$P$298=P86)*($N$2:$N$298=N86)*($AL$2:$AL$298&lt;&gt;0))),
V86=MAX(_xlfn._xlws.FILTER($V$2:$V$298,($P$2:$P$298=P86)*($N$2:$N$298=N86)*($AL$2:$AL$298&lt;&gt;0))),
ROWS(_xlfn._xlws.FILTER($V$2:$V$298,($P$2:$P$298=P86)*($N$2:$N$298=N86)*($AL$2:$AL$298&lt;&gt;0)))&lt;=2
),1,0),0)</f>
        <v>0</v>
      </c>
      <c r="AN86" s="138"/>
      <c r="AO86" s="267"/>
      <c r="AP86" s="1"/>
    </row>
    <row r="87" spans="1:42" x14ac:dyDescent="0.2">
      <c r="A87" s="190" t="s">
        <v>799</v>
      </c>
      <c r="B87" s="9"/>
      <c r="C87" s="97">
        <v>86</v>
      </c>
      <c r="D87" s="8" t="s">
        <v>415</v>
      </c>
      <c r="E87" s="191" t="s">
        <v>952</v>
      </c>
      <c r="F87" s="204" t="s">
        <v>785</v>
      </c>
      <c r="G87" s="265"/>
      <c r="H87" s="265"/>
      <c r="I87" s="193" t="s">
        <v>51</v>
      </c>
      <c r="J87" s="202" t="s">
        <v>51</v>
      </c>
      <c r="K87" s="348" t="s">
        <v>944</v>
      </c>
      <c r="L87" s="195" t="s">
        <v>322</v>
      </c>
      <c r="M87" s="8" t="s">
        <v>314</v>
      </c>
      <c r="N87" s="196" t="s">
        <v>315</v>
      </c>
      <c r="O87" s="8" t="s">
        <v>807</v>
      </c>
      <c r="P87" s="193" t="s">
        <v>6</v>
      </c>
      <c r="Q87" s="270">
        <v>2346</v>
      </c>
      <c r="R87" s="263"/>
      <c r="S87" s="263"/>
      <c r="T87" s="263"/>
      <c r="U87" s="266"/>
      <c r="V87" s="198">
        <f>SUM(Table24[[#This Row],[A1toA3_GWP]:[C1toC4_GWP]])</f>
        <v>85.5</v>
      </c>
      <c r="W87" s="198"/>
      <c r="X87" s="198"/>
      <c r="Y87" s="198">
        <f>Table24[[#This Row],[Total_GWP]]*Table24[[#This Row],[DENSITY]]/1000</f>
        <v>200.583</v>
      </c>
      <c r="Z87" s="199">
        <v>72.900000000000006</v>
      </c>
      <c r="AA87" s="139">
        <v>12.6</v>
      </c>
      <c r="AB87" s="73"/>
      <c r="AC87" s="73"/>
      <c r="AD87" s="73"/>
      <c r="AE87" s="75"/>
      <c r="AF87" s="199">
        <f>141*1000</f>
        <v>141000</v>
      </c>
      <c r="AG87" s="199">
        <f>Table24[[#This Row],[Total_UBP]]*Table24[[#This Row],[DENSITY]]/1000</f>
        <v>330786</v>
      </c>
      <c r="AH87" s="199">
        <f>0.132*1000</f>
        <v>132</v>
      </c>
      <c r="AI87" s="377">
        <f>Table24[[#This Row],[Graue_Energie]]*Table24[[#This Row],[DENSITY]]/1000</f>
        <v>309.67200000000003</v>
      </c>
      <c r="AJ87" s="385">
        <f ca="1">IF(OR($E87="Ecoinvent",$E87="Betonsortenrechner",$E87="KBOB",$V87&lt;=0,Table24[[#This Row],[VALID_TO]]&lt;=TODAY()),0,1)</f>
        <v>0</v>
      </c>
      <c r="AK87" s="199">
        <v>1</v>
      </c>
      <c r="AL87" s="199">
        <f ca="1">IF(AND(Table24[[#This Row],[ValidEPD]]&lt;&gt;0,Table24[[#This Row],[Man_Ausschluss]]&lt;&gt;0),1,0)</f>
        <v>0</v>
      </c>
      <c r="AM87" s="17" cm="1">
        <f t="array" aca="1" ref="AM87" ca="1">IF(Table24[[#This Row],[gültig]]&lt;&gt;0,
IF(
OR(
V87=MIN(_xlfn._xlws.FILTER($V$2:$V$298,($P$2:$P$298=P87)*($N$2:$N$298=N87)*($AL$2:$AL$298&lt;&gt;0))),
V87=MAX(_xlfn._xlws.FILTER($V$2:$V$298,($P$2:$P$298=P87)*($N$2:$N$298=N87)*($AL$2:$AL$298&lt;&gt;0))),
ROWS(_xlfn._xlws.FILTER($V$2:$V$298,($P$2:$P$298=P87)*($N$2:$N$298=N87)*($AL$2:$AL$298&lt;&gt;0)))&lt;=2
),1,0),0)</f>
        <v>0</v>
      </c>
      <c r="AN87" s="138"/>
      <c r="AO87" s="267"/>
      <c r="AP87" s="1"/>
    </row>
    <row r="88" spans="1:42" x14ac:dyDescent="0.2">
      <c r="A88" s="190" t="s">
        <v>800</v>
      </c>
      <c r="B88" s="9"/>
      <c r="C88" s="98">
        <v>87</v>
      </c>
      <c r="D88" s="8" t="s">
        <v>415</v>
      </c>
      <c r="E88" s="191" t="s">
        <v>952</v>
      </c>
      <c r="F88" s="204" t="s">
        <v>786</v>
      </c>
      <c r="G88" s="265"/>
      <c r="H88" s="265"/>
      <c r="I88" s="193" t="s">
        <v>51</v>
      </c>
      <c r="J88" s="202" t="s">
        <v>51</v>
      </c>
      <c r="K88" s="348" t="s">
        <v>945</v>
      </c>
      <c r="L88" s="195" t="s">
        <v>322</v>
      </c>
      <c r="M88" s="8" t="s">
        <v>314</v>
      </c>
      <c r="N88" s="196" t="s">
        <v>315</v>
      </c>
      <c r="O88" s="8" t="s">
        <v>807</v>
      </c>
      <c r="P88" s="193" t="s">
        <v>6</v>
      </c>
      <c r="Q88" s="270">
        <v>2293</v>
      </c>
      <c r="R88" s="263"/>
      <c r="S88" s="263"/>
      <c r="T88" s="263"/>
      <c r="U88" s="266"/>
      <c r="V88" s="198">
        <f>SUM(Table24[[#This Row],[A1toA3_GWP]:[C1toC4_GWP]])</f>
        <v>89.5</v>
      </c>
      <c r="W88" s="198"/>
      <c r="X88" s="198"/>
      <c r="Y88" s="198">
        <f>Table24[[#This Row],[Total_GWP]]*Table24[[#This Row],[DENSITY]]/1000</f>
        <v>205.2235</v>
      </c>
      <c r="Z88" s="199">
        <v>76.900000000000006</v>
      </c>
      <c r="AA88" s="139">
        <v>12.6</v>
      </c>
      <c r="AB88" s="73"/>
      <c r="AC88" s="73"/>
      <c r="AD88" s="73"/>
      <c r="AE88" s="75"/>
      <c r="AF88" s="199">
        <f>141*1000</f>
        <v>141000</v>
      </c>
      <c r="AG88" s="199">
        <f>Table24[[#This Row],[Total_UBP]]*Table24[[#This Row],[DENSITY]]/1000</f>
        <v>323313</v>
      </c>
      <c r="AH88" s="199">
        <f>0.133*1000</f>
        <v>133</v>
      </c>
      <c r="AI88" s="377">
        <f>Table24[[#This Row],[Graue_Energie]]*Table24[[#This Row],[DENSITY]]/1000</f>
        <v>304.96899999999999</v>
      </c>
      <c r="AJ88" s="385">
        <f ca="1">IF(OR($E88="Ecoinvent",$E88="Betonsortenrechner",$E88="KBOB",$V88&lt;=0,Table24[[#This Row],[VALID_TO]]&lt;=TODAY()),0,1)</f>
        <v>0</v>
      </c>
      <c r="AK88" s="199">
        <v>1</v>
      </c>
      <c r="AL88" s="199">
        <f ca="1">IF(AND(Table24[[#This Row],[ValidEPD]]&lt;&gt;0,Table24[[#This Row],[Man_Ausschluss]]&lt;&gt;0),1,0)</f>
        <v>0</v>
      </c>
      <c r="AM88" s="17" cm="1">
        <f t="array" aca="1" ref="AM88" ca="1">IF(Table24[[#This Row],[gültig]]&lt;&gt;0,
IF(
OR(
V88=MIN(_xlfn._xlws.FILTER($V$2:$V$298,($P$2:$P$298=P88)*($N$2:$N$298=N88)*($AL$2:$AL$298&lt;&gt;0))),
V88=MAX(_xlfn._xlws.FILTER($V$2:$V$298,($P$2:$P$298=P88)*($N$2:$N$298=N88)*($AL$2:$AL$298&lt;&gt;0))),
ROWS(_xlfn._xlws.FILTER($V$2:$V$298,($P$2:$P$298=P88)*($N$2:$N$298=N88)*($AL$2:$AL$298&lt;&gt;0)))&lt;=2
),1,0),0)</f>
        <v>0</v>
      </c>
      <c r="AN88" s="138"/>
      <c r="AO88" s="267"/>
      <c r="AP88" s="1"/>
    </row>
    <row r="89" spans="1:42" x14ac:dyDescent="0.2">
      <c r="A89" s="190" t="s">
        <v>801</v>
      </c>
      <c r="B89" s="9"/>
      <c r="C89" s="97">
        <v>88</v>
      </c>
      <c r="D89" s="8" t="s">
        <v>415</v>
      </c>
      <c r="E89" s="191" t="s">
        <v>952</v>
      </c>
      <c r="F89" s="204" t="s">
        <v>787</v>
      </c>
      <c r="G89" s="265"/>
      <c r="H89" s="265"/>
      <c r="I89" s="193" t="s">
        <v>51</v>
      </c>
      <c r="J89" s="202" t="s">
        <v>51</v>
      </c>
      <c r="K89" s="348" t="s">
        <v>946</v>
      </c>
      <c r="L89" s="195" t="s">
        <v>322</v>
      </c>
      <c r="M89" s="8" t="s">
        <v>314</v>
      </c>
      <c r="N89" s="196" t="s">
        <v>315</v>
      </c>
      <c r="O89" s="8" t="s">
        <v>807</v>
      </c>
      <c r="P89" s="193" t="s">
        <v>11</v>
      </c>
      <c r="Q89" s="270">
        <v>2412</v>
      </c>
      <c r="R89" s="263"/>
      <c r="S89" s="263"/>
      <c r="T89" s="263"/>
      <c r="U89" s="266"/>
      <c r="V89" s="198">
        <f>SUM(Table24[[#This Row],[A1toA3_GWP]:[C1toC4_GWP]])</f>
        <v>86.199999999999989</v>
      </c>
      <c r="W89" s="198"/>
      <c r="X89" s="198"/>
      <c r="Y89" s="198">
        <f>Table24[[#This Row],[Total_GWP]]*Table24[[#This Row],[DENSITY]]/1000</f>
        <v>207.91439999999997</v>
      </c>
      <c r="Z89" s="199">
        <v>73.599999999999994</v>
      </c>
      <c r="AA89" s="139">
        <v>12.6</v>
      </c>
      <c r="AB89" s="73"/>
      <c r="AC89" s="73"/>
      <c r="AD89" s="73"/>
      <c r="AE89" s="75"/>
      <c r="AF89" s="199">
        <f>150*1000</f>
        <v>150000</v>
      </c>
      <c r="AG89" s="199">
        <f>Table24[[#This Row],[Total_UBP]]*Table24[[#This Row],[DENSITY]]/1000</f>
        <v>361800</v>
      </c>
      <c r="AH89" s="199">
        <f>0.137*1000</f>
        <v>137</v>
      </c>
      <c r="AI89" s="377">
        <f>Table24[[#This Row],[Graue_Energie]]*Table24[[#This Row],[DENSITY]]/1000</f>
        <v>330.44400000000002</v>
      </c>
      <c r="AJ89" s="385">
        <f ca="1">IF(OR($E89="Ecoinvent",$E89="Betonsortenrechner",$E89="KBOB",$V89&lt;=0,Table24[[#This Row],[VALID_TO]]&lt;=TODAY()),0,1)</f>
        <v>0</v>
      </c>
      <c r="AK89" s="199">
        <v>1</v>
      </c>
      <c r="AL89" s="199">
        <f ca="1">IF(AND(Table24[[#This Row],[ValidEPD]]&lt;&gt;0,Table24[[#This Row],[Man_Ausschluss]]&lt;&gt;0),1,0)</f>
        <v>0</v>
      </c>
      <c r="AM89" s="17" cm="1">
        <f t="array" aca="1" ref="AM89" ca="1">IF(Table24[[#This Row],[gültig]]&lt;&gt;0,
IF(
OR(
V89=MIN(_xlfn._xlws.FILTER($V$2:$V$298,($P$2:$P$298=P89)*($N$2:$N$298=N89)*($AL$2:$AL$298&lt;&gt;0))),
V89=MAX(_xlfn._xlws.FILTER($V$2:$V$298,($P$2:$P$298=P89)*($N$2:$N$298=N89)*($AL$2:$AL$298&lt;&gt;0))),
ROWS(_xlfn._xlws.FILTER($V$2:$V$298,($P$2:$P$298=P89)*($N$2:$N$298=N89)*($AL$2:$AL$298&lt;&gt;0)))&lt;=2
),1,0),0)</f>
        <v>0</v>
      </c>
      <c r="AN89" s="138"/>
      <c r="AO89" s="267"/>
      <c r="AP89" s="1"/>
    </row>
    <row r="90" spans="1:42" x14ac:dyDescent="0.2">
      <c r="A90" s="190" t="s">
        <v>802</v>
      </c>
      <c r="B90" s="9"/>
      <c r="C90" s="97">
        <v>89</v>
      </c>
      <c r="D90" s="8" t="s">
        <v>415</v>
      </c>
      <c r="E90" s="191" t="s">
        <v>952</v>
      </c>
      <c r="F90" s="204" t="s">
        <v>788</v>
      </c>
      <c r="G90" s="265"/>
      <c r="H90" s="265"/>
      <c r="I90" s="193" t="s">
        <v>51</v>
      </c>
      <c r="J90" s="202" t="s">
        <v>51</v>
      </c>
      <c r="K90" s="348" t="s">
        <v>947</v>
      </c>
      <c r="L90" s="195" t="s">
        <v>322</v>
      </c>
      <c r="M90" s="8" t="s">
        <v>314</v>
      </c>
      <c r="N90" s="196" t="s">
        <v>315</v>
      </c>
      <c r="O90" s="8" t="s">
        <v>807</v>
      </c>
      <c r="P90" s="193" t="s">
        <v>11</v>
      </c>
      <c r="Q90" s="270">
        <v>2371</v>
      </c>
      <c r="R90" s="263"/>
      <c r="S90" s="263"/>
      <c r="T90" s="263"/>
      <c r="U90" s="266"/>
      <c r="V90" s="198">
        <f>SUM(Table24[[#This Row],[A1toA3_GWP]:[C1toC4_GWP]])</f>
        <v>90.8</v>
      </c>
      <c r="W90" s="198"/>
      <c r="X90" s="198"/>
      <c r="Y90" s="198">
        <f>Table24[[#This Row],[Total_GWP]]*Table24[[#This Row],[DENSITY]]/1000</f>
        <v>215.2868</v>
      </c>
      <c r="Z90" s="199">
        <v>78.2</v>
      </c>
      <c r="AA90" s="139">
        <v>12.6</v>
      </c>
      <c r="AB90" s="73"/>
      <c r="AC90" s="73"/>
      <c r="AD90" s="73"/>
      <c r="AE90" s="75"/>
      <c r="AF90" s="199">
        <f>147*1000</f>
        <v>147000</v>
      </c>
      <c r="AG90" s="199">
        <f>Table24[[#This Row],[Total_UBP]]*Table24[[#This Row],[DENSITY]]/1000</f>
        <v>348537</v>
      </c>
      <c r="AH90" s="199">
        <f>0.138*1000</f>
        <v>138</v>
      </c>
      <c r="AI90" s="377">
        <f>Table24[[#This Row],[Graue_Energie]]*Table24[[#This Row],[DENSITY]]/1000</f>
        <v>327.19799999999998</v>
      </c>
      <c r="AJ90" s="385">
        <f ca="1">IF(OR($E90="Ecoinvent",$E90="Betonsortenrechner",$E90="KBOB",$V90&lt;=0,Table24[[#This Row],[VALID_TO]]&lt;=TODAY()),0,1)</f>
        <v>0</v>
      </c>
      <c r="AK90" s="199">
        <v>1</v>
      </c>
      <c r="AL90" s="199">
        <f ca="1">IF(AND(Table24[[#This Row],[ValidEPD]]&lt;&gt;0,Table24[[#This Row],[Man_Ausschluss]]&lt;&gt;0),1,0)</f>
        <v>0</v>
      </c>
      <c r="AM90" s="17" cm="1">
        <f t="array" aca="1" ref="AM90" ca="1">IF(Table24[[#This Row],[gültig]]&lt;&gt;0,
IF(
OR(
V90=MIN(_xlfn._xlws.FILTER($V$2:$V$298,($P$2:$P$298=P90)*($N$2:$N$298=N90)*($AL$2:$AL$298&lt;&gt;0))),
V90=MAX(_xlfn._xlws.FILTER($V$2:$V$298,($P$2:$P$298=P90)*($N$2:$N$298=N90)*($AL$2:$AL$298&lt;&gt;0))),
ROWS(_xlfn._xlws.FILTER($V$2:$V$298,($P$2:$P$298=P90)*($N$2:$N$298=N90)*($AL$2:$AL$298&lt;&gt;0)))&lt;=2
),1,0),0)</f>
        <v>0</v>
      </c>
      <c r="AN90" s="138"/>
      <c r="AO90" s="267"/>
      <c r="AP90" s="1"/>
    </row>
    <row r="91" spans="1:42" x14ac:dyDescent="0.2">
      <c r="A91" s="190" t="s">
        <v>803</v>
      </c>
      <c r="B91" s="9"/>
      <c r="C91" s="98">
        <v>90</v>
      </c>
      <c r="D91" s="8" t="s">
        <v>415</v>
      </c>
      <c r="E91" s="191" t="s">
        <v>952</v>
      </c>
      <c r="F91" s="204" t="s">
        <v>789</v>
      </c>
      <c r="G91" s="265"/>
      <c r="H91" s="265"/>
      <c r="I91" s="193" t="s">
        <v>51</v>
      </c>
      <c r="J91" s="202" t="s">
        <v>51</v>
      </c>
      <c r="K91" s="348" t="s">
        <v>948</v>
      </c>
      <c r="L91" s="195" t="s">
        <v>322</v>
      </c>
      <c r="M91" s="8" t="s">
        <v>314</v>
      </c>
      <c r="N91" s="196" t="s">
        <v>315</v>
      </c>
      <c r="O91" s="8" t="s">
        <v>807</v>
      </c>
      <c r="P91" s="193" t="s">
        <v>11</v>
      </c>
      <c r="Q91" s="270">
        <v>2303</v>
      </c>
      <c r="R91" s="263"/>
      <c r="S91" s="263"/>
      <c r="T91" s="263"/>
      <c r="U91" s="266"/>
      <c r="V91" s="198">
        <f>SUM(Table24[[#This Row],[A1toA3_GWP]:[C1toC4_GWP]])</f>
        <v>94.5</v>
      </c>
      <c r="W91" s="198"/>
      <c r="X91" s="198"/>
      <c r="Y91" s="198">
        <f>Table24[[#This Row],[Total_GWP]]*Table24[[#This Row],[DENSITY]]/1000</f>
        <v>217.6335</v>
      </c>
      <c r="Z91" s="199">
        <v>81.900000000000006</v>
      </c>
      <c r="AA91" s="139">
        <v>12.6</v>
      </c>
      <c r="AB91" s="73"/>
      <c r="AC91" s="73"/>
      <c r="AD91" s="73"/>
      <c r="AE91" s="75"/>
      <c r="AF91" s="199">
        <f>147*1000</f>
        <v>147000</v>
      </c>
      <c r="AG91" s="199">
        <f>Table24[[#This Row],[Total_UBP]]*Table24[[#This Row],[DENSITY]]/1000</f>
        <v>338541</v>
      </c>
      <c r="AH91" s="199">
        <f>0.138*1000</f>
        <v>138</v>
      </c>
      <c r="AI91" s="377">
        <f>Table24[[#This Row],[Graue_Energie]]*Table24[[#This Row],[DENSITY]]/1000</f>
        <v>317.81400000000002</v>
      </c>
      <c r="AJ91" s="385">
        <f ca="1">IF(OR($E91="Ecoinvent",$E91="Betonsortenrechner",$E91="KBOB",$V91&lt;=0,Table24[[#This Row],[VALID_TO]]&lt;=TODAY()),0,1)</f>
        <v>0</v>
      </c>
      <c r="AK91" s="199">
        <v>1</v>
      </c>
      <c r="AL91" s="199">
        <f ca="1">IF(AND(Table24[[#This Row],[ValidEPD]]&lt;&gt;0,Table24[[#This Row],[Man_Ausschluss]]&lt;&gt;0),1,0)</f>
        <v>0</v>
      </c>
      <c r="AM91" s="17" cm="1">
        <f t="array" aca="1" ref="AM91" ca="1">IF(Table24[[#This Row],[gültig]]&lt;&gt;0,
IF(
OR(
V91=MIN(_xlfn._xlws.FILTER($V$2:$V$298,($P$2:$P$298=P91)*($N$2:$N$298=N91)*($AL$2:$AL$298&lt;&gt;0))),
V91=MAX(_xlfn._xlws.FILTER($V$2:$V$298,($P$2:$P$298=P91)*($N$2:$N$298=N91)*($AL$2:$AL$298&lt;&gt;0))),
ROWS(_xlfn._xlws.FILTER($V$2:$V$298,($P$2:$P$298=P91)*($N$2:$N$298=N91)*($AL$2:$AL$298&lt;&gt;0)))&lt;=2
),1,0),0)</f>
        <v>0</v>
      </c>
      <c r="AN91" s="138"/>
      <c r="AO91" s="267"/>
      <c r="AP91" s="1"/>
    </row>
    <row r="92" spans="1:42" x14ac:dyDescent="0.2">
      <c r="A92" s="190" t="s">
        <v>804</v>
      </c>
      <c r="B92" s="9"/>
      <c r="C92" s="97">
        <v>91</v>
      </c>
      <c r="D92" s="8" t="s">
        <v>415</v>
      </c>
      <c r="E92" s="191" t="s">
        <v>952</v>
      </c>
      <c r="F92" s="204" t="s">
        <v>790</v>
      </c>
      <c r="G92" s="265"/>
      <c r="H92" s="265"/>
      <c r="I92" s="193" t="s">
        <v>51</v>
      </c>
      <c r="J92" s="202" t="s">
        <v>51</v>
      </c>
      <c r="K92" s="348" t="s">
        <v>949</v>
      </c>
      <c r="L92" s="195" t="s">
        <v>322</v>
      </c>
      <c r="M92" s="8" t="s">
        <v>314</v>
      </c>
      <c r="N92" s="196" t="s">
        <v>315</v>
      </c>
      <c r="O92" s="8" t="s">
        <v>808</v>
      </c>
      <c r="P92" s="193" t="s">
        <v>27</v>
      </c>
      <c r="Q92" s="270">
        <v>2309</v>
      </c>
      <c r="R92" s="263"/>
      <c r="S92" s="263"/>
      <c r="T92" s="263"/>
      <c r="U92" s="266"/>
      <c r="V92" s="198">
        <f>SUM(Table24[[#This Row],[A1toA3_GWP]:[C1toC4_GWP]])</f>
        <v>75.3</v>
      </c>
      <c r="W92" s="198"/>
      <c r="X92" s="198"/>
      <c r="Y92" s="198">
        <f>Table24[[#This Row],[Total_GWP]]*Table24[[#This Row],[DENSITY]]/1000</f>
        <v>173.86769999999999</v>
      </c>
      <c r="Z92" s="199">
        <v>62.7</v>
      </c>
      <c r="AA92" s="139">
        <v>12.6</v>
      </c>
      <c r="AB92" s="73"/>
      <c r="AC92" s="73"/>
      <c r="AD92" s="73"/>
      <c r="AE92" s="75"/>
      <c r="AF92" s="199">
        <f>133*1000</f>
        <v>133000</v>
      </c>
      <c r="AG92" s="199">
        <f>Table24[[#This Row],[Total_UBP]]*Table24[[#This Row],[DENSITY]]/1000</f>
        <v>307097</v>
      </c>
      <c r="AH92" s="199">
        <f>0.197*1000</f>
        <v>197</v>
      </c>
      <c r="AI92" s="377">
        <f>Table24[[#This Row],[Graue_Energie]]*Table24[[#This Row],[DENSITY]]/1000</f>
        <v>454.87299999999999</v>
      </c>
      <c r="AJ92" s="385">
        <f ca="1">IF(OR($E92="Ecoinvent",$E92="Betonsortenrechner",$E92="KBOB",$V92&lt;=0,Table24[[#This Row],[VALID_TO]]&lt;=TODAY()),0,1)</f>
        <v>0</v>
      </c>
      <c r="AK92" s="199">
        <v>1</v>
      </c>
      <c r="AL92" s="199">
        <f ca="1">IF(AND(Table24[[#This Row],[ValidEPD]]&lt;&gt;0,Table24[[#This Row],[Man_Ausschluss]]&lt;&gt;0),1,0)</f>
        <v>0</v>
      </c>
      <c r="AM92" s="17" cm="1">
        <f t="array" aca="1" ref="AM92" ca="1">IF(Table24[[#This Row],[gültig]]&lt;&gt;0,
IF(
OR(
V92=MIN(_xlfn._xlws.FILTER($V$2:$V$298,($P$2:$P$298=P92)*($N$2:$N$298=N92)*($AL$2:$AL$298&lt;&gt;0))),
V92=MAX(_xlfn._xlws.FILTER($V$2:$V$298,($P$2:$P$298=P92)*($N$2:$N$298=N92)*($AL$2:$AL$298&lt;&gt;0))),
ROWS(_xlfn._xlws.FILTER($V$2:$V$298,($P$2:$P$298=P92)*($N$2:$N$298=N92)*($AL$2:$AL$298&lt;&gt;0)))&lt;=2
),1,0),0)</f>
        <v>0</v>
      </c>
      <c r="AN92" s="138"/>
      <c r="AO92" s="267"/>
      <c r="AP92" s="1"/>
    </row>
    <row r="93" spans="1:42" x14ac:dyDescent="0.2">
      <c r="A93" s="190" t="s">
        <v>805</v>
      </c>
      <c r="B93" s="9"/>
      <c r="C93" s="97">
        <v>92</v>
      </c>
      <c r="D93" s="8" t="s">
        <v>415</v>
      </c>
      <c r="E93" s="191" t="s">
        <v>952</v>
      </c>
      <c r="F93" s="204" t="s">
        <v>791</v>
      </c>
      <c r="G93" s="265"/>
      <c r="H93" s="265"/>
      <c r="I93" s="193" t="s">
        <v>51</v>
      </c>
      <c r="J93" s="202" t="s">
        <v>51</v>
      </c>
      <c r="K93" s="348" t="s">
        <v>950</v>
      </c>
      <c r="L93" s="195" t="s">
        <v>322</v>
      </c>
      <c r="M93" s="8" t="s">
        <v>314</v>
      </c>
      <c r="N93" s="196" t="s">
        <v>315</v>
      </c>
      <c r="O93" s="8" t="s">
        <v>808</v>
      </c>
      <c r="P93" s="193" t="s">
        <v>6</v>
      </c>
      <c r="Q93" s="270">
        <v>2319</v>
      </c>
      <c r="R93" s="263"/>
      <c r="S93" s="263"/>
      <c r="T93" s="263"/>
      <c r="U93" s="266"/>
      <c r="V93" s="198">
        <f>SUM(Table24[[#This Row],[A1toA3_GWP]:[C1toC4_GWP]])</f>
        <v>75.099999999999994</v>
      </c>
      <c r="W93" s="198"/>
      <c r="X93" s="198"/>
      <c r="Y93" s="198">
        <f>Table24[[#This Row],[Total_GWP]]*Table24[[#This Row],[DENSITY]]/1000</f>
        <v>174.15690000000001</v>
      </c>
      <c r="Z93" s="199">
        <v>62.5</v>
      </c>
      <c r="AA93" s="139">
        <v>12.6</v>
      </c>
      <c r="AB93" s="73"/>
      <c r="AC93" s="73"/>
      <c r="AD93" s="73"/>
      <c r="AE93" s="75"/>
      <c r="AF93" s="199">
        <f>133*1000</f>
        <v>133000</v>
      </c>
      <c r="AG93" s="199">
        <f>Table24[[#This Row],[Total_UBP]]*Table24[[#This Row],[DENSITY]]/1000</f>
        <v>308427</v>
      </c>
      <c r="AH93" s="199">
        <f>0.196*1000</f>
        <v>196</v>
      </c>
      <c r="AI93" s="377">
        <f>Table24[[#This Row],[Graue_Energie]]*Table24[[#This Row],[DENSITY]]/1000</f>
        <v>454.524</v>
      </c>
      <c r="AJ93" s="385">
        <f ca="1">IF(OR($E93="Ecoinvent",$E93="Betonsortenrechner",$E93="KBOB",$V93&lt;=0,Table24[[#This Row],[VALID_TO]]&lt;=TODAY()),0,1)</f>
        <v>0</v>
      </c>
      <c r="AK93" s="199">
        <v>1</v>
      </c>
      <c r="AL93" s="199">
        <f ca="1">IF(AND(Table24[[#This Row],[ValidEPD]]&lt;&gt;0,Table24[[#This Row],[Man_Ausschluss]]&lt;&gt;0),1,0)</f>
        <v>0</v>
      </c>
      <c r="AM93" s="17" cm="1">
        <f t="array" aca="1" ref="AM93" ca="1">IF(Table24[[#This Row],[gültig]]&lt;&gt;0,
IF(
OR(
V93=MIN(_xlfn._xlws.FILTER($V$2:$V$298,($P$2:$P$298=P93)*($N$2:$N$298=N93)*($AL$2:$AL$298&lt;&gt;0))),
V93=MAX(_xlfn._xlws.FILTER($V$2:$V$298,($P$2:$P$298=P93)*($N$2:$N$298=N93)*($AL$2:$AL$298&lt;&gt;0))),
ROWS(_xlfn._xlws.FILTER($V$2:$V$298,($P$2:$P$298=P93)*($N$2:$N$298=N93)*($AL$2:$AL$298&lt;&gt;0)))&lt;=2
),1,0),0)</f>
        <v>0</v>
      </c>
      <c r="AN93" s="138"/>
      <c r="AO93" s="267"/>
      <c r="AP93" s="1"/>
    </row>
    <row r="94" spans="1:42" x14ac:dyDescent="0.2">
      <c r="A94" s="190" t="s">
        <v>806</v>
      </c>
      <c r="B94" s="9"/>
      <c r="C94" s="98">
        <v>93</v>
      </c>
      <c r="D94" s="8" t="s">
        <v>415</v>
      </c>
      <c r="E94" s="191" t="s">
        <v>952</v>
      </c>
      <c r="F94" s="204" t="s">
        <v>792</v>
      </c>
      <c r="G94" s="265"/>
      <c r="H94" s="265"/>
      <c r="I94" s="193" t="s">
        <v>51</v>
      </c>
      <c r="J94" s="202" t="s">
        <v>51</v>
      </c>
      <c r="K94" s="348" t="s">
        <v>951</v>
      </c>
      <c r="L94" s="195" t="s">
        <v>322</v>
      </c>
      <c r="M94" s="8" t="s">
        <v>314</v>
      </c>
      <c r="N94" s="196" t="s">
        <v>315</v>
      </c>
      <c r="O94" s="8" t="s">
        <v>808</v>
      </c>
      <c r="P94" s="193" t="s">
        <v>11</v>
      </c>
      <c r="Q94" s="270">
        <v>2328</v>
      </c>
      <c r="R94" s="263"/>
      <c r="S94" s="263"/>
      <c r="T94" s="263"/>
      <c r="U94" s="266"/>
      <c r="V94" s="198">
        <f>SUM(Table24[[#This Row],[A1toA3_GWP]:[C1toC4_GWP]])</f>
        <v>78.699999999999989</v>
      </c>
      <c r="W94" s="198"/>
      <c r="X94" s="198"/>
      <c r="Y94" s="198">
        <f>Table24[[#This Row],[Total_GWP]]*Table24[[#This Row],[DENSITY]]/1000</f>
        <v>183.21359999999999</v>
      </c>
      <c r="Z94" s="199">
        <v>66.099999999999994</v>
      </c>
      <c r="AA94" s="139">
        <v>12.6</v>
      </c>
      <c r="AB94" s="73"/>
      <c r="AC94" s="73"/>
      <c r="AD94" s="73"/>
      <c r="AE94" s="75"/>
      <c r="AF94" s="199">
        <f>138*1000</f>
        <v>138000</v>
      </c>
      <c r="AG94" s="199">
        <f>Table24[[#This Row],[Total_UBP]]*Table24[[#This Row],[DENSITY]]/1000</f>
        <v>321264</v>
      </c>
      <c r="AH94" s="199">
        <f>0.208*1000</f>
        <v>208</v>
      </c>
      <c r="AI94" s="377">
        <f>Table24[[#This Row],[Graue_Energie]]*Table24[[#This Row],[DENSITY]]/1000</f>
        <v>484.22399999999999</v>
      </c>
      <c r="AJ94" s="385">
        <f ca="1">IF(OR($E94="Ecoinvent",$E94="Betonsortenrechner",$E94="KBOB",$V94&lt;=0,Table24[[#This Row],[VALID_TO]]&lt;=TODAY()),0,1)</f>
        <v>0</v>
      </c>
      <c r="AK94" s="199">
        <v>1</v>
      </c>
      <c r="AL94" s="199">
        <f ca="1">IF(AND(Table24[[#This Row],[ValidEPD]]&lt;&gt;0,Table24[[#This Row],[Man_Ausschluss]]&lt;&gt;0),1,0)</f>
        <v>0</v>
      </c>
      <c r="AM94" s="17">
        <v>0</v>
      </c>
      <c r="AN94" s="138"/>
      <c r="AO94" s="267"/>
      <c r="AP94" s="1"/>
    </row>
    <row r="95" spans="1:42" s="367" customFormat="1" x14ac:dyDescent="0.2">
      <c r="A95" s="349" t="s">
        <v>959</v>
      </c>
      <c r="B95" s="350"/>
      <c r="C95" s="351">
        <v>94</v>
      </c>
      <c r="D95" s="352" t="s">
        <v>415</v>
      </c>
      <c r="E95" s="353" t="s">
        <v>952</v>
      </c>
      <c r="F95" s="354" t="s">
        <v>953</v>
      </c>
      <c r="G95" s="355"/>
      <c r="H95" s="355"/>
      <c r="I95" s="354" t="s">
        <v>51</v>
      </c>
      <c r="J95" s="356" t="s">
        <v>51</v>
      </c>
      <c r="K95" s="348" t="s">
        <v>956</v>
      </c>
      <c r="L95" s="368" t="s">
        <v>322</v>
      </c>
      <c r="M95" s="352" t="s">
        <v>314</v>
      </c>
      <c r="N95" s="369" t="s">
        <v>315</v>
      </c>
      <c r="O95" s="353" t="s">
        <v>294</v>
      </c>
      <c r="P95" s="354" t="s">
        <v>27</v>
      </c>
      <c r="Q95" s="359">
        <v>2356.84</v>
      </c>
      <c r="R95" s="353"/>
      <c r="S95" s="353"/>
      <c r="T95" s="353"/>
      <c r="U95" s="360"/>
      <c r="V95" s="362">
        <f>SUM(Table24[[#This Row],[A1toA3_GWP]:[C1toC4_GWP]])</f>
        <v>67.7</v>
      </c>
      <c r="W95" s="362"/>
      <c r="X95" s="362"/>
      <c r="Y95" s="362">
        <f>Table24[[#This Row],[Total_GWP]]*Table24[[#This Row],[DENSITY]]/1000</f>
        <v>159.55806800000002</v>
      </c>
      <c r="Z95" s="361">
        <v>55.1</v>
      </c>
      <c r="AA95" s="364">
        <v>12.6</v>
      </c>
      <c r="AB95" s="365"/>
      <c r="AC95" s="365"/>
      <c r="AD95" s="365"/>
      <c r="AE95" s="366"/>
      <c r="AF95" s="361">
        <f>114*1000</f>
        <v>114000</v>
      </c>
      <c r="AG95" s="361">
        <f>Table24[[#This Row],[Total_UBP]]*Table24[[#This Row],[DENSITY]]/1000</f>
        <v>268679.76</v>
      </c>
      <c r="AH95" s="361">
        <f>0.108*1000</f>
        <v>108</v>
      </c>
      <c r="AI95" s="366">
        <f>Table24[[#This Row],[Graue_Energie]]*Table24[[#This Row],[DENSITY]]/1000</f>
        <v>254.53872000000004</v>
      </c>
      <c r="AJ95" s="386">
        <f ca="1">IF(OR($E95="Ecoinvent",$E95="Betonsortenrechner",$E95="KBOB",$V95&lt;=0,Table24[[#This Row],[VALID_TO]]&lt;=TODAY()),0,1)</f>
        <v>0</v>
      </c>
      <c r="AK95" s="361">
        <v>1</v>
      </c>
      <c r="AL95" s="361">
        <f ca="1">IF(AND(Table24[[#This Row],[ValidEPD]]&lt;&gt;0,Table24[[#This Row],[Man_Ausschluss]]&lt;&gt;0),1,0)</f>
        <v>0</v>
      </c>
      <c r="AM95" s="362">
        <v>1</v>
      </c>
      <c r="AN95" s="365"/>
      <c r="AO95" s="352"/>
      <c r="AP95" s="352"/>
    </row>
    <row r="96" spans="1:42" s="367" customFormat="1" x14ac:dyDescent="0.2">
      <c r="A96" s="349" t="s">
        <v>960</v>
      </c>
      <c r="B96" s="350"/>
      <c r="C96" s="351">
        <v>95</v>
      </c>
      <c r="D96" s="352" t="s">
        <v>415</v>
      </c>
      <c r="E96" s="353" t="s">
        <v>952</v>
      </c>
      <c r="F96" s="354" t="s">
        <v>954</v>
      </c>
      <c r="G96" s="355"/>
      <c r="H96" s="355"/>
      <c r="I96" s="354" t="s">
        <v>51</v>
      </c>
      <c r="J96" s="356" t="s">
        <v>51</v>
      </c>
      <c r="K96" s="348" t="s">
        <v>957</v>
      </c>
      <c r="L96" s="368" t="s">
        <v>322</v>
      </c>
      <c r="M96" s="352" t="s">
        <v>314</v>
      </c>
      <c r="N96" s="369" t="s">
        <v>315</v>
      </c>
      <c r="O96" s="353" t="s">
        <v>294</v>
      </c>
      <c r="P96" s="354" t="s">
        <v>6</v>
      </c>
      <c r="Q96" s="359">
        <v>2395.1999999999998</v>
      </c>
      <c r="R96" s="353"/>
      <c r="S96" s="353"/>
      <c r="T96" s="353"/>
      <c r="U96" s="360"/>
      <c r="V96" s="362">
        <f>SUM(Table24[[#This Row],[A1toA3_GWP]:[C1toC4_GWP]])</f>
        <v>68.69</v>
      </c>
      <c r="W96" s="362"/>
      <c r="X96" s="362"/>
      <c r="Y96" s="362">
        <f>Table24[[#This Row],[Total_GWP]]*Table24[[#This Row],[DENSITY]]/1000</f>
        <v>164.52628799999997</v>
      </c>
      <c r="Z96" s="361">
        <v>55.99</v>
      </c>
      <c r="AA96" s="364">
        <v>12.7</v>
      </c>
      <c r="AB96" s="365"/>
      <c r="AC96" s="365"/>
      <c r="AD96" s="365"/>
      <c r="AE96" s="366"/>
      <c r="AF96" s="361">
        <f>116*1000</f>
        <v>116000</v>
      </c>
      <c r="AG96" s="361">
        <f>Table24[[#This Row],[Total_UBP]]*Table24[[#This Row],[DENSITY]]/1000</f>
        <v>277843.20000000001</v>
      </c>
      <c r="AH96" s="361">
        <f>0.119*1000</f>
        <v>119</v>
      </c>
      <c r="AI96" s="366">
        <f>Table24[[#This Row],[Graue_Energie]]*Table24[[#This Row],[DENSITY]]/1000</f>
        <v>285.02879999999999</v>
      </c>
      <c r="AJ96" s="386">
        <f ca="1">IF(OR($E96="Ecoinvent",$E96="Betonsortenrechner",$E96="KBOB",$V96&lt;=0,Table24[[#This Row],[VALID_TO]]&lt;=TODAY()),0,1)</f>
        <v>0</v>
      </c>
      <c r="AK96" s="361">
        <v>1</v>
      </c>
      <c r="AL96" s="361">
        <f ca="1">IF(AND(Table24[[#This Row],[ValidEPD]]&lt;&gt;0,Table24[[#This Row],[Man_Ausschluss]]&lt;&gt;0),1,0)</f>
        <v>0</v>
      </c>
      <c r="AM96" s="362">
        <v>1</v>
      </c>
      <c r="AN96" s="365"/>
      <c r="AO96" s="352"/>
      <c r="AP96" s="352"/>
    </row>
    <row r="97" spans="1:42" s="367" customFormat="1" x14ac:dyDescent="0.2">
      <c r="A97" s="349" t="s">
        <v>961</v>
      </c>
      <c r="B97" s="350"/>
      <c r="C97" s="370">
        <v>96</v>
      </c>
      <c r="D97" s="352" t="s">
        <v>415</v>
      </c>
      <c r="E97" s="353" t="s">
        <v>952</v>
      </c>
      <c r="F97" s="354" t="s">
        <v>955</v>
      </c>
      <c r="G97" s="355"/>
      <c r="H97" s="355"/>
      <c r="I97" s="354" t="s">
        <v>51</v>
      </c>
      <c r="J97" s="356" t="s">
        <v>51</v>
      </c>
      <c r="K97" s="348" t="s">
        <v>958</v>
      </c>
      <c r="L97" s="368" t="s">
        <v>322</v>
      </c>
      <c r="M97" s="352" t="s">
        <v>314</v>
      </c>
      <c r="N97" s="369" t="s">
        <v>315</v>
      </c>
      <c r="O97" s="353" t="s">
        <v>294</v>
      </c>
      <c r="P97" s="354" t="s">
        <v>11</v>
      </c>
      <c r="Q97" s="359">
        <v>2426.5</v>
      </c>
      <c r="R97" s="353"/>
      <c r="S97" s="353"/>
      <c r="T97" s="353"/>
      <c r="U97" s="360"/>
      <c r="V97" s="362">
        <f>SUM(Table24[[#This Row],[A1toA3_GWP]:[C1toC4_GWP]])</f>
        <v>71.72</v>
      </c>
      <c r="W97" s="362"/>
      <c r="X97" s="362"/>
      <c r="Y97" s="362">
        <f>Table24[[#This Row],[Total_GWP]]*Table24[[#This Row],[DENSITY]]/1000</f>
        <v>174.02857999999998</v>
      </c>
      <c r="Z97" s="361">
        <v>59.02</v>
      </c>
      <c r="AA97" s="364">
        <v>12.7</v>
      </c>
      <c r="AB97" s="365"/>
      <c r="AC97" s="365"/>
      <c r="AD97" s="365"/>
      <c r="AE97" s="366"/>
      <c r="AF97" s="361">
        <f>120*1000</f>
        <v>120000</v>
      </c>
      <c r="AG97" s="361">
        <f>Table24[[#This Row],[Total_UBP]]*Table24[[#This Row],[DENSITY]]/1000</f>
        <v>291180</v>
      </c>
      <c r="AH97" s="361">
        <f>0.122*1000</f>
        <v>122</v>
      </c>
      <c r="AI97" s="366">
        <f>Table24[[#This Row],[Graue_Energie]]*Table24[[#This Row],[DENSITY]]/1000</f>
        <v>296.03300000000002</v>
      </c>
      <c r="AJ97" s="386">
        <f ca="1">IF(OR($E97="Ecoinvent",$E97="Betonsortenrechner",$E97="KBOB",$V97&lt;=0,Table24[[#This Row],[VALID_TO]]&lt;=TODAY()),0,1)</f>
        <v>0</v>
      </c>
      <c r="AK97" s="361">
        <v>1</v>
      </c>
      <c r="AL97" s="361">
        <f ca="1">IF(AND(Table24[[#This Row],[ValidEPD]]&lt;&gt;0,Table24[[#This Row],[Man_Ausschluss]]&lt;&gt;0),1,0)</f>
        <v>0</v>
      </c>
      <c r="AM97" s="362">
        <v>1</v>
      </c>
      <c r="AN97" s="365"/>
      <c r="AO97" s="352"/>
      <c r="AP97" s="352"/>
    </row>
    <row r="98" spans="1:42" s="7" customFormat="1" ht="16" thickBot="1" x14ac:dyDescent="0.25">
      <c r="A98" s="205" t="s">
        <v>191</v>
      </c>
      <c r="B98" s="206"/>
      <c r="C98" s="99">
        <v>97</v>
      </c>
      <c r="D98" s="6" t="s">
        <v>415</v>
      </c>
      <c r="E98" s="207" t="s">
        <v>952</v>
      </c>
      <c r="F98" s="208" t="s">
        <v>489</v>
      </c>
      <c r="G98" s="209"/>
      <c r="H98" s="210"/>
      <c r="I98" s="210" t="s">
        <v>51</v>
      </c>
      <c r="J98" s="211" t="s">
        <v>51</v>
      </c>
      <c r="K98" s="212" t="s">
        <v>38</v>
      </c>
      <c r="L98" s="213" t="s">
        <v>322</v>
      </c>
      <c r="M98" s="6" t="s">
        <v>314</v>
      </c>
      <c r="N98" s="214" t="s">
        <v>315</v>
      </c>
      <c r="O98" s="6" t="s">
        <v>415</v>
      </c>
      <c r="P98" s="394" t="s">
        <v>6</v>
      </c>
      <c r="Q98" s="210">
        <v>2300</v>
      </c>
      <c r="R98" s="207" t="s">
        <v>415</v>
      </c>
      <c r="S98" s="207" t="s">
        <v>415</v>
      </c>
      <c r="T98" s="207" t="s">
        <v>415</v>
      </c>
      <c r="U98" s="215" t="s">
        <v>415</v>
      </c>
      <c r="V98" s="198">
        <f>SUM(Table24[[#This Row],[A1toA3_GWP]:[C1toC4_GWP]])</f>
        <v>101.3</v>
      </c>
      <c r="W98" s="216"/>
      <c r="X98" s="216"/>
      <c r="Y98" s="216">
        <f>Table24[[#This Row],[Total_GWP]]*Table24[[#This Row],[DENSITY]]/1000</f>
        <v>232.99</v>
      </c>
      <c r="Z98" s="271">
        <v>88.7</v>
      </c>
      <c r="AA98" s="272">
        <v>12.6</v>
      </c>
      <c r="AB98" s="217"/>
      <c r="AC98" s="217"/>
      <c r="AD98" s="217"/>
      <c r="AE98" s="218"/>
      <c r="AF98" s="216">
        <f>153*1000</f>
        <v>153000</v>
      </c>
      <c r="AG98" s="271">
        <f>Table24[[#This Row],[Total_UBP]]*Table24[[#This Row],[DENSITY]]/1000</f>
        <v>351900</v>
      </c>
      <c r="AH98" s="271">
        <f>0.175*1000</f>
        <v>175</v>
      </c>
      <c r="AI98" s="218">
        <f>Table24[[#This Row],[Graue_Energie]]*Table24[[#This Row],[DENSITY]]/1000</f>
        <v>402.5</v>
      </c>
      <c r="AJ98" s="288">
        <f ca="1">IF(OR($E98="Ecoinvent",$E98="Betonsortenrechner",$E98="KBOB",$V98&lt;=0,Table24[[#This Row],[VALID_TO]]&lt;=TODAY()),0,1)</f>
        <v>0</v>
      </c>
      <c r="AK98" s="271">
        <v>1</v>
      </c>
      <c r="AL98" s="271">
        <f ca="1">IF(AND(Table24[[#This Row],[ValidEPD]]&lt;&gt;0,Table24[[#This Row],[Man_Ausschluss]]&lt;&gt;0),1,0)</f>
        <v>0</v>
      </c>
      <c r="AM98" s="17" cm="1">
        <f t="array" aca="1" ref="AM98" ca="1">IF(Table24[[#This Row],[gültig]]&lt;&gt;0,
IF(
OR(
V98=MIN(_xlfn._xlws.FILTER($V$2:$V$298,($P$2:$P$298=P98)*($N$2:$N$298=N98)*($AL$2:$AL$298&lt;&gt;0))),
V98=MAX(_xlfn._xlws.FILTER($V$2:$V$298,($P$2:$P$298=P98)*($N$2:$N$298=N98)*($AL$2:$AL$298&lt;&gt;0))),
ROWS(_xlfn._xlws.FILTER($V$2:$V$298,($P$2:$P$298=P98)*($N$2:$N$298=N98)*($AL$2:$AL$298&lt;&gt;0)))&lt;=2
),1,0),0)</f>
        <v>0</v>
      </c>
      <c r="AN98" s="217"/>
      <c r="AO98" s="6"/>
      <c r="AP98" s="6"/>
    </row>
    <row r="99" spans="1:42" s="7" customFormat="1" x14ac:dyDescent="0.2">
      <c r="A99" s="190" t="s">
        <v>189</v>
      </c>
      <c r="B99" s="49"/>
      <c r="C99" s="97">
        <v>98</v>
      </c>
      <c r="D99" s="8" t="s">
        <v>415</v>
      </c>
      <c r="E99" s="191" t="s">
        <v>952</v>
      </c>
      <c r="F99" s="381" t="s">
        <v>970</v>
      </c>
      <c r="G99" s="220"/>
      <c r="H99" s="193"/>
      <c r="I99" s="193" t="s">
        <v>51</v>
      </c>
      <c r="J99" s="202" t="s">
        <v>51</v>
      </c>
      <c r="K99" s="203" t="s">
        <v>776</v>
      </c>
      <c r="L99" s="221" t="s">
        <v>323</v>
      </c>
      <c r="M99" s="8" t="s">
        <v>316</v>
      </c>
      <c r="N99" s="196" t="s">
        <v>317</v>
      </c>
      <c r="O99" s="8" t="s">
        <v>415</v>
      </c>
      <c r="P99" s="393" t="s">
        <v>0</v>
      </c>
      <c r="Q99" s="222">
        <v>7850</v>
      </c>
      <c r="R99" s="223" t="s">
        <v>415</v>
      </c>
      <c r="S99" s="223" t="s">
        <v>415</v>
      </c>
      <c r="T99" s="223" t="s">
        <v>415</v>
      </c>
      <c r="U99" s="224" t="s">
        <v>415</v>
      </c>
      <c r="V99" s="395">
        <f>SUM(Table24[[#This Row],[A1toA3_GWP]:[C1toC4_GWP]])</f>
        <v>785.2</v>
      </c>
      <c r="W99" s="225"/>
      <c r="X99" s="225"/>
      <c r="Y99" s="225">
        <f>Table24[[#This Row],[Total_GWP]]*Table24[[#This Row],[DENSITY]]/1000</f>
        <v>6163.82</v>
      </c>
      <c r="Z99" s="273">
        <v>773</v>
      </c>
      <c r="AA99" s="274">
        <v>12.2</v>
      </c>
      <c r="AB99" s="138"/>
      <c r="AC99" s="138"/>
      <c r="AD99" s="138"/>
      <c r="AE99" s="200"/>
      <c r="AF99" s="198">
        <f>1590*1000</f>
        <v>1590000</v>
      </c>
      <c r="AG99" s="199">
        <f>Table24[[#This Row],[Total_UBP]]*Table24[[#This Row],[DENSITY]]/1000</f>
        <v>12481500</v>
      </c>
      <c r="AH99" s="199">
        <f>3.44*1000</f>
        <v>3440</v>
      </c>
      <c r="AI99" s="200">
        <f>Table24[[#This Row],[Graue_Energie]]*Table24[[#This Row],[DENSITY]]/1000</f>
        <v>27004</v>
      </c>
      <c r="AJ99" s="385">
        <f ca="1">IF(OR($E99="Ecoinvent",$E99="Betonsortenrechner",$E99="KBOB",$V99&lt;=0,Table24[[#This Row],[VALID_TO]]&lt;=TODAY()),0,1)</f>
        <v>0</v>
      </c>
      <c r="AK99" s="199">
        <v>1</v>
      </c>
      <c r="AL99" s="199">
        <f ca="1">IF(AND(Table24[[#This Row],[ValidEPD]]&lt;&gt;0,Table24[[#This Row],[Man_Ausschluss]]&lt;&gt;0),1,0)</f>
        <v>0</v>
      </c>
      <c r="AM99" s="390" cm="1">
        <f t="array" aca="1" ref="AM99" ca="1">IF(Table24[[#This Row],[gültig]]&lt;&gt;0,
IF(
OR(
V99=MIN(_xlfn._xlws.FILTER($V$2:$V$298,($P$2:$P$298=P99)*($N$2:$N$298=N99)*($AL$2:$AL$298&lt;&gt;0))),
V99=MAX(_xlfn._xlws.FILTER($V$2:$V$298,($P$2:$P$298=P99)*($N$2:$N$298=N99)*($AL$2:$AL$298&lt;&gt;0))),
ROWS(_xlfn._xlws.FILTER($V$2:$V$298,($P$2:$P$298=P99)*($N$2:$N$298=N99)*($AL$2:$AL$298&lt;&gt;0)))&lt;=2
),1,0),0)</f>
        <v>0</v>
      </c>
      <c r="AN99" s="138"/>
      <c r="AO99" s="8"/>
      <c r="AP99" s="8"/>
    </row>
    <row r="100" spans="1:42" x14ac:dyDescent="0.2">
      <c r="A100" s="161" t="s">
        <v>190</v>
      </c>
      <c r="B100" s="9"/>
      <c r="C100" s="100">
        <v>99</v>
      </c>
      <c r="D100" s="1" t="s">
        <v>45</v>
      </c>
      <c r="E100" s="162" t="s">
        <v>46</v>
      </c>
      <c r="F100" s="162"/>
      <c r="G100" s="226">
        <v>44627</v>
      </c>
      <c r="H100" s="163">
        <v>46404</v>
      </c>
      <c r="I100" s="163" t="s">
        <v>51</v>
      </c>
      <c r="J100" s="227" t="s">
        <v>606</v>
      </c>
      <c r="K100" s="165" t="s">
        <v>47</v>
      </c>
      <c r="L100" s="228" t="s">
        <v>323</v>
      </c>
      <c r="M100" s="1" t="s">
        <v>316</v>
      </c>
      <c r="N100" s="229" t="s">
        <v>317</v>
      </c>
      <c r="O100" s="1" t="s">
        <v>415</v>
      </c>
      <c r="P100" s="230" t="s">
        <v>0</v>
      </c>
      <c r="Q100" s="84">
        <v>7850</v>
      </c>
      <c r="R100" s="162" t="s">
        <v>415</v>
      </c>
      <c r="S100" s="162" t="s">
        <v>415</v>
      </c>
      <c r="T100" s="162" t="s">
        <v>415</v>
      </c>
      <c r="U100" s="168" t="s">
        <v>415</v>
      </c>
      <c r="V100" s="107">
        <f>Table24[[#This Row],[A1toA3_GWP]]+Table24[[#This Row],[C1toC4_GWP]]</f>
        <v>460.23999999999995</v>
      </c>
      <c r="W100" s="107">
        <f>VLOOKUP("FR",[1]Sheet1!$B$11:$F$30,4,FALSE)+Table24[[#This Row],[Total_GWP]]</f>
        <v>530.43999999999994</v>
      </c>
      <c r="X100" s="107">
        <f>VLOOKUP("FR",[1]Sheet1!$B$11:$F$30,5,FALSE)+Table24[[#This Row],[Total_GWP]]</f>
        <v>467.43999999999994</v>
      </c>
      <c r="Y100" s="107">
        <f>Table24[[#This Row],[Total_GWP]]*Table24[[#This Row],[DENSITY]]/1000</f>
        <v>3612.8839999999996</v>
      </c>
      <c r="Z100" s="129">
        <f>119+10.9+238</f>
        <v>367.9</v>
      </c>
      <c r="AA100" s="72">
        <f>51.1+26+2.64+12.6</f>
        <v>92.339999999999989</v>
      </c>
      <c r="AB100" s="73"/>
      <c r="AC100" s="73"/>
      <c r="AD100" s="73"/>
      <c r="AE100" s="75"/>
      <c r="AF100" s="107"/>
      <c r="AG100" s="129"/>
      <c r="AH100" s="129"/>
      <c r="AI100" s="75"/>
      <c r="AJ100" s="385">
        <f ca="1">IF(OR($E100="Ecoinvent",$E100="Betonsortenrechner",$E100="KBOB",$V100&lt;=0,Table24[[#This Row],[VALID_TO]]&lt;=TODAY()),0,1)</f>
        <v>1</v>
      </c>
      <c r="AK100" s="199">
        <v>1</v>
      </c>
      <c r="AL100" s="199">
        <f ca="1">IF(AND(Table24[[#This Row],[ValidEPD]]&lt;&gt;0,Table24[[#This Row],[Man_Ausschluss]]&lt;&gt;0),1,0)</f>
        <v>1</v>
      </c>
      <c r="AM100" s="17" cm="1">
        <f t="array" aca="1" ref="AM100" ca="1">IF(Table24[[#This Row],[gültig]]&lt;&gt;0,
IF(
OR(
V100=MIN(_xlfn._xlws.FILTER($V$2:$V$298,($P$2:$P$298=P100)*($N$2:$N$298=N100)*($AL$2:$AL$298&lt;&gt;0))),
V100=MAX(_xlfn._xlws.FILTER($V$2:$V$298,($P$2:$P$298=P100)*($N$2:$N$298=N100)*($AL$2:$AL$298&lt;&gt;0))),
ROWS(_xlfn._xlws.FILTER($V$2:$V$298,($P$2:$P$298=P100)*($N$2:$N$298=N100)*($AL$2:$AL$298&lt;&gt;0)))&lt;=2
),1,0),0)</f>
        <v>0</v>
      </c>
      <c r="AN100" s="138"/>
      <c r="AO100" s="1"/>
      <c r="AP100" s="1"/>
    </row>
    <row r="101" spans="1:42" x14ac:dyDescent="0.2">
      <c r="A101" s="161" t="s">
        <v>203</v>
      </c>
      <c r="B101" s="9"/>
      <c r="C101" s="100">
        <v>100</v>
      </c>
      <c r="D101" s="1" t="s">
        <v>48</v>
      </c>
      <c r="E101" s="162" t="s">
        <v>49</v>
      </c>
      <c r="F101" s="162"/>
      <c r="G101" s="226">
        <v>44622</v>
      </c>
      <c r="H101" s="163">
        <v>46447</v>
      </c>
      <c r="I101" s="163" t="s">
        <v>264</v>
      </c>
      <c r="J101" s="227" t="s">
        <v>264</v>
      </c>
      <c r="K101" s="165" t="s">
        <v>50</v>
      </c>
      <c r="L101" s="228" t="s">
        <v>323</v>
      </c>
      <c r="M101" s="1" t="s">
        <v>316</v>
      </c>
      <c r="N101" s="229" t="s">
        <v>317</v>
      </c>
      <c r="O101" s="1" t="s">
        <v>415</v>
      </c>
      <c r="P101" s="230" t="s">
        <v>0</v>
      </c>
      <c r="Q101" s="84">
        <v>7850</v>
      </c>
      <c r="R101" s="162" t="s">
        <v>415</v>
      </c>
      <c r="S101" s="162" t="s">
        <v>415</v>
      </c>
      <c r="T101" s="162" t="s">
        <v>415</v>
      </c>
      <c r="U101" s="168" t="s">
        <v>415</v>
      </c>
      <c r="V101" s="107">
        <f>Table24[[#This Row],[A1toA3_GWP]]+Table24[[#This Row],[C1toC4_GWP]]</f>
        <v>562.53</v>
      </c>
      <c r="W101" s="107">
        <f>VLOOKUP(Table24[[#This Row],[Country PRODUCTION]],[1]Sheet1!$B$11:$F$30,4,FALSE)+Table24[[#This Row],[Total_GWP]]</f>
        <v>638.57999999999993</v>
      </c>
      <c r="X101" s="107">
        <f>VLOOKUP(Table24[[#This Row],[Country PRODUCTION]],[1]Sheet1!$B$11:$F$30,5,FALSE)+Table24[[#This Row],[Total_GWP]]</f>
        <v>570.32999999999993</v>
      </c>
      <c r="Y101" s="107">
        <f>Table24[[#This Row],[Total_GWP]]*Table24[[#This Row],[DENSITY]]/1000</f>
        <v>4415.8604999999998</v>
      </c>
      <c r="Z101" s="129">
        <v>474</v>
      </c>
      <c r="AA101" s="72">
        <f>2.23+12.7+73.6</f>
        <v>88.53</v>
      </c>
      <c r="AB101" s="73"/>
      <c r="AC101" s="73"/>
      <c r="AD101" s="73"/>
      <c r="AE101" s="75"/>
      <c r="AF101" s="107"/>
      <c r="AG101" s="129"/>
      <c r="AH101" s="129"/>
      <c r="AI101" s="75"/>
      <c r="AJ101" s="385">
        <f ca="1">IF(OR($E101="Ecoinvent",$E101="Betonsortenrechner",$E101="KBOB",$V101&lt;=0,Table24[[#This Row],[VALID_TO]]&lt;=TODAY()),0,1)</f>
        <v>1</v>
      </c>
      <c r="AK101" s="199">
        <v>1</v>
      </c>
      <c r="AL101" s="199">
        <f ca="1">IF(AND(Table24[[#This Row],[ValidEPD]]&lt;&gt;0,Table24[[#This Row],[Man_Ausschluss]]&lt;&gt;0),1,0)</f>
        <v>1</v>
      </c>
      <c r="AM101" s="17" cm="1">
        <f t="array" aca="1" ref="AM101" ca="1">IF(Table24[[#This Row],[gültig]]&lt;&gt;0,
IF(
OR(
V101=MIN(_xlfn._xlws.FILTER($V$2:$V$298,($P$2:$P$298=P101)*($N$2:$N$298=N101)*($AL$2:$AL$298&lt;&gt;0))),
V101=MAX(_xlfn._xlws.FILTER($V$2:$V$298,($P$2:$P$298=P101)*($N$2:$N$298=N101)*($AL$2:$AL$298&lt;&gt;0))),
ROWS(_xlfn._xlws.FILTER($V$2:$V$298,($P$2:$P$298=P101)*($N$2:$N$298=N101)*($AL$2:$AL$298&lt;&gt;0)))&lt;=2
),1,0),0)</f>
        <v>0</v>
      </c>
      <c r="AN101" s="138"/>
      <c r="AO101" s="1"/>
      <c r="AP101" s="1"/>
    </row>
    <row r="102" spans="1:42" x14ac:dyDescent="0.2">
      <c r="A102" s="161" t="s">
        <v>199</v>
      </c>
      <c r="B102" s="9"/>
      <c r="C102" s="100">
        <v>101</v>
      </c>
      <c r="D102" s="1" t="s">
        <v>71</v>
      </c>
      <c r="E102" s="162" t="s">
        <v>52</v>
      </c>
      <c r="F102" s="162"/>
      <c r="G102" s="226">
        <v>40624</v>
      </c>
      <c r="H102" s="163">
        <v>46044</v>
      </c>
      <c r="I102" s="84" t="s">
        <v>292</v>
      </c>
      <c r="J102" s="164" t="s">
        <v>292</v>
      </c>
      <c r="K102" s="165" t="s">
        <v>50</v>
      </c>
      <c r="L102" s="228" t="s">
        <v>323</v>
      </c>
      <c r="M102" s="1" t="s">
        <v>316</v>
      </c>
      <c r="N102" s="229" t="s">
        <v>317</v>
      </c>
      <c r="O102" s="1" t="s">
        <v>415</v>
      </c>
      <c r="P102" s="230" t="s">
        <v>0</v>
      </c>
      <c r="Q102" s="84">
        <v>7850</v>
      </c>
      <c r="R102" s="162" t="s">
        <v>415</v>
      </c>
      <c r="S102" s="162" t="s">
        <v>415</v>
      </c>
      <c r="T102" s="162" t="s">
        <v>415</v>
      </c>
      <c r="U102" s="168" t="s">
        <v>415</v>
      </c>
      <c r="V102" s="107">
        <f>Table24[[#This Row],[A1toA3_GWP]]+Table24[[#This Row],[C1toC4_GWP]]</f>
        <v>724.73</v>
      </c>
      <c r="W102" s="107">
        <f>VLOOKUP(Table24[[#This Row],[Country PRODUCTION]],[1]Sheet1!$B$11:$F$30,4,FALSE)+Table24[[#This Row],[Total_GWP]]</f>
        <v>818.33</v>
      </c>
      <c r="X102" s="107">
        <f>VLOOKUP(Table24[[#This Row],[Country PRODUCTION]],[1]Sheet1!$B$11:$F$30,5,FALSE)+Table24[[#This Row],[Total_GWP]]</f>
        <v>734.33</v>
      </c>
      <c r="Y102" s="107">
        <f>Table24[[#This Row],[Total_GWP]]*Table24[[#This Row],[DENSITY]]/1000</f>
        <v>5689.1305000000002</v>
      </c>
      <c r="Z102" s="129">
        <f>348+119+120</f>
        <v>587</v>
      </c>
      <c r="AA102" s="72">
        <f>38.2+24.4+1.93+73.2</f>
        <v>137.73000000000002</v>
      </c>
      <c r="AB102" s="73"/>
      <c r="AC102" s="73"/>
      <c r="AD102" s="73"/>
      <c r="AE102" s="75"/>
      <c r="AF102" s="107"/>
      <c r="AG102" s="129"/>
      <c r="AH102" s="129"/>
      <c r="AI102" s="75"/>
      <c r="AJ102" s="385">
        <f ca="1">IF(OR($E102="Ecoinvent",$E102="Betonsortenrechner",$E102="KBOB",$V102&lt;=0,Table24[[#This Row],[VALID_TO]]&lt;=TODAY()),0,1)</f>
        <v>0</v>
      </c>
      <c r="AK102" s="199">
        <v>1</v>
      </c>
      <c r="AL102" s="199">
        <f ca="1">IF(AND(Table24[[#This Row],[ValidEPD]]&lt;&gt;0,Table24[[#This Row],[Man_Ausschluss]]&lt;&gt;0),1,0)</f>
        <v>0</v>
      </c>
      <c r="AM102" s="17" cm="1">
        <f t="array" aca="1" ref="AM102" ca="1">IF(Table24[[#This Row],[gültig]]&lt;&gt;0,
IF(
OR(
V102=MIN(_xlfn._xlws.FILTER($V$2:$V$298,($P$2:$P$298=P102)*($N$2:$N$298=N102)*($AL$2:$AL$298&lt;&gt;0))),
V102=MAX(_xlfn._xlws.FILTER($V$2:$V$298,($P$2:$P$298=P102)*($N$2:$N$298=N102)*($AL$2:$AL$298&lt;&gt;0))),
ROWS(_xlfn._xlws.FILTER($V$2:$V$298,($P$2:$P$298=P102)*($N$2:$N$298=N102)*($AL$2:$AL$298&lt;&gt;0)))&lt;=2
),1,0),0)</f>
        <v>0</v>
      </c>
      <c r="AN102" s="138"/>
      <c r="AO102" s="1"/>
      <c r="AP102" s="1"/>
    </row>
    <row r="103" spans="1:42" x14ac:dyDescent="0.2">
      <c r="A103" s="161" t="s">
        <v>210</v>
      </c>
      <c r="B103" s="9"/>
      <c r="C103" s="100">
        <v>102</v>
      </c>
      <c r="D103" s="1" t="s">
        <v>53</v>
      </c>
      <c r="E103" s="162" t="s">
        <v>54</v>
      </c>
      <c r="F103" s="162"/>
      <c r="G103" s="226">
        <v>43810</v>
      </c>
      <c r="H103" s="163">
        <v>46012</v>
      </c>
      <c r="I103" s="84" t="s">
        <v>292</v>
      </c>
      <c r="J103" s="164" t="s">
        <v>292</v>
      </c>
      <c r="K103" s="165" t="s">
        <v>50</v>
      </c>
      <c r="L103" s="228" t="s">
        <v>323</v>
      </c>
      <c r="M103" s="1" t="s">
        <v>316</v>
      </c>
      <c r="N103" s="229" t="s">
        <v>317</v>
      </c>
      <c r="O103" s="1" t="s">
        <v>415</v>
      </c>
      <c r="P103" s="230" t="s">
        <v>0</v>
      </c>
      <c r="Q103" s="84">
        <v>7850</v>
      </c>
      <c r="R103" s="162" t="s">
        <v>415</v>
      </c>
      <c r="S103" s="162" t="s">
        <v>415</v>
      </c>
      <c r="T103" s="162" t="s">
        <v>415</v>
      </c>
      <c r="U103" s="168" t="s">
        <v>415</v>
      </c>
      <c r="V103" s="107">
        <f>Table24[[#This Row],[A1toA3_GWP]]+Table24[[#This Row],[C1toC4_GWP]]</f>
        <v>715.3</v>
      </c>
      <c r="W103" s="107">
        <f>VLOOKUP(Table24[[#This Row],[Country PRODUCTION]],[2]Sheet1!$B$11:$F$30,4,FALSE)+Table24[[#This Row],[Total_GWP]]</f>
        <v>808.9</v>
      </c>
      <c r="X103" s="107">
        <f>VLOOKUP(Table24[[#This Row],[Country PRODUCTION]],[2]Sheet1!$B$11:$F$30,5,FALSE)+Table24[[#This Row],[Total_GWP]]</f>
        <v>724.9</v>
      </c>
      <c r="Y103" s="107">
        <f>Table24[[#This Row],[Total_GWP]]*Table24[[#This Row],[DENSITY]]/1000</f>
        <v>5615.1049999999996</v>
      </c>
      <c r="Z103" s="129">
        <f>532.5+40+117</f>
        <v>689.5</v>
      </c>
      <c r="AA103" s="72">
        <f>6.4+16.7+1.7+1</f>
        <v>25.8</v>
      </c>
      <c r="AB103" s="73"/>
      <c r="AC103" s="73"/>
      <c r="AD103" s="73"/>
      <c r="AE103" s="75"/>
      <c r="AF103" s="107"/>
      <c r="AG103" s="129"/>
      <c r="AH103" s="129"/>
      <c r="AI103" s="75"/>
      <c r="AJ103" s="385">
        <f ca="1">IF(OR($E103="Ecoinvent",$E103="Betonsortenrechner",$E103="KBOB",$V103&lt;=0,Table24[[#This Row],[VALID_TO]]&lt;=TODAY()),0,1)</f>
        <v>0</v>
      </c>
      <c r="AK103" s="199">
        <v>1</v>
      </c>
      <c r="AL103" s="199">
        <f ca="1">IF(AND(Table24[[#This Row],[ValidEPD]]&lt;&gt;0,Table24[[#This Row],[Man_Ausschluss]]&lt;&gt;0),1,0)</f>
        <v>0</v>
      </c>
      <c r="AM103" s="17" cm="1">
        <f t="array" aca="1" ref="AM103" ca="1">IF(Table24[[#This Row],[gültig]]&lt;&gt;0,
IF(
OR(
V103=MIN(_xlfn._xlws.FILTER($V$2:$V$298,($P$2:$P$298=P103)*($N$2:$N$298=N103)*($AL$2:$AL$298&lt;&gt;0))),
V103=MAX(_xlfn._xlws.FILTER($V$2:$V$298,($P$2:$P$298=P103)*($N$2:$N$298=N103)*($AL$2:$AL$298&lt;&gt;0))),
ROWS(_xlfn._xlws.FILTER($V$2:$V$298,($P$2:$P$298=P103)*($N$2:$N$298=N103)*($AL$2:$AL$298&lt;&gt;0)))&lt;=2
),1,0),0)</f>
        <v>0</v>
      </c>
      <c r="AN103" s="138"/>
      <c r="AO103" s="1" t="s">
        <v>516</v>
      </c>
      <c r="AP103" s="1"/>
    </row>
    <row r="104" spans="1:42" x14ac:dyDescent="0.2">
      <c r="A104" s="161" t="s">
        <v>200</v>
      </c>
      <c r="B104" s="9"/>
      <c r="C104" s="100">
        <v>103</v>
      </c>
      <c r="D104" s="1" t="s">
        <v>56</v>
      </c>
      <c r="E104" s="162" t="s">
        <v>55</v>
      </c>
      <c r="F104" s="162"/>
      <c r="G104" s="226">
        <v>45278</v>
      </c>
      <c r="H104" s="163">
        <v>47105</v>
      </c>
      <c r="I104" s="84" t="s">
        <v>291</v>
      </c>
      <c r="J104" s="164" t="s">
        <v>606</v>
      </c>
      <c r="K104" s="165" t="s">
        <v>50</v>
      </c>
      <c r="L104" s="228" t="s">
        <v>323</v>
      </c>
      <c r="M104" s="1" t="s">
        <v>316</v>
      </c>
      <c r="N104" s="229" t="s">
        <v>317</v>
      </c>
      <c r="O104" s="1" t="s">
        <v>415</v>
      </c>
      <c r="P104" s="230" t="s">
        <v>0</v>
      </c>
      <c r="Q104" s="84">
        <v>7850</v>
      </c>
      <c r="R104" s="162" t="s">
        <v>415</v>
      </c>
      <c r="S104" s="162" t="s">
        <v>415</v>
      </c>
      <c r="T104" s="162" t="s">
        <v>415</v>
      </c>
      <c r="U104" s="168" t="s">
        <v>415</v>
      </c>
      <c r="V104" s="107">
        <f>Table24[[#This Row],[A1toA3_GWP]]+Table24[[#This Row],[C1toC4_GWP]]</f>
        <v>618.16999999999996</v>
      </c>
      <c r="W104" s="107">
        <f>VLOOKUP("FR",[2]Sheet1!$B$11:$F$30,4,FALSE)+Table24[[#This Row],[Total_GWP]]</f>
        <v>688.37</v>
      </c>
      <c r="X104" s="107">
        <f>VLOOKUP("FR",[2]Sheet1!$B$11:$F$30,5,FALSE)+Table24[[#This Row],[Total_GWP]]</f>
        <v>625.37</v>
      </c>
      <c r="Y104" s="107">
        <f>Table24[[#This Row],[Total_GWP]]*Table24[[#This Row],[DENSITY]]/1000</f>
        <v>4852.6345000000001</v>
      </c>
      <c r="Z104" s="129">
        <v>506</v>
      </c>
      <c r="AA104" s="72">
        <f>6.37+16.5+1.6+87.7</f>
        <v>112.17</v>
      </c>
      <c r="AB104" s="73"/>
      <c r="AC104" s="73"/>
      <c r="AD104" s="73"/>
      <c r="AE104" s="75"/>
      <c r="AF104" s="107"/>
      <c r="AG104" s="129"/>
      <c r="AH104" s="129"/>
      <c r="AI104" s="75"/>
      <c r="AJ104" s="385">
        <f ca="1">IF(OR($E104="Ecoinvent",$E104="Betonsortenrechner",$E104="KBOB",$V104&lt;=0,Table24[[#This Row],[VALID_TO]]&lt;=TODAY()),0,1)</f>
        <v>1</v>
      </c>
      <c r="AK104" s="199">
        <v>1</v>
      </c>
      <c r="AL104" s="199">
        <f ca="1">IF(AND(Table24[[#This Row],[ValidEPD]]&lt;&gt;0,Table24[[#This Row],[Man_Ausschluss]]&lt;&gt;0),1,0)</f>
        <v>1</v>
      </c>
      <c r="AM104" s="17" cm="1">
        <f t="array" aca="1" ref="AM104" ca="1">IF(Table24[[#This Row],[gültig]]&lt;&gt;0,
IF(
OR(
V104=MIN(_xlfn._xlws.FILTER($V$2:$V$298,($P$2:$P$298=P104)*($N$2:$N$298=N104)*($AL$2:$AL$298&lt;&gt;0))),
V104=MAX(_xlfn._xlws.FILTER($V$2:$V$298,($P$2:$P$298=P104)*($N$2:$N$298=N104)*($AL$2:$AL$298&lt;&gt;0))),
ROWS(_xlfn._xlws.FILTER($V$2:$V$298,($P$2:$P$298=P104)*($N$2:$N$298=N104)*($AL$2:$AL$298&lt;&gt;0)))&lt;=2
),1,0),0)</f>
        <v>0</v>
      </c>
      <c r="AN104" s="138"/>
      <c r="AO104" s="1" t="s">
        <v>516</v>
      </c>
      <c r="AP104" s="1"/>
    </row>
    <row r="105" spans="1:42" x14ac:dyDescent="0.2">
      <c r="A105" s="161" t="s">
        <v>201</v>
      </c>
      <c r="B105" s="9"/>
      <c r="C105" s="100">
        <v>104</v>
      </c>
      <c r="D105" s="1" t="s">
        <v>57</v>
      </c>
      <c r="E105" s="162" t="s">
        <v>58</v>
      </c>
      <c r="F105" s="162"/>
      <c r="G105" s="226">
        <v>42825</v>
      </c>
      <c r="H105" s="163">
        <v>46000</v>
      </c>
      <c r="I105" s="84" t="s">
        <v>292</v>
      </c>
      <c r="J105" s="164" t="s">
        <v>292</v>
      </c>
      <c r="K105" s="165" t="s">
        <v>50</v>
      </c>
      <c r="L105" s="228" t="s">
        <v>323</v>
      </c>
      <c r="M105" s="1" t="s">
        <v>316</v>
      </c>
      <c r="N105" s="229" t="s">
        <v>317</v>
      </c>
      <c r="O105" s="1" t="s">
        <v>415</v>
      </c>
      <c r="P105" s="230" t="s">
        <v>0</v>
      </c>
      <c r="Q105" s="84">
        <v>7850</v>
      </c>
      <c r="R105" s="162" t="s">
        <v>415</v>
      </c>
      <c r="S105" s="162" t="s">
        <v>415</v>
      </c>
      <c r="T105" s="162" t="s">
        <v>415</v>
      </c>
      <c r="U105" s="168" t="s">
        <v>415</v>
      </c>
      <c r="V105" s="107">
        <f>Table24[[#This Row],[A1toA3_GWP]]+Table24[[#This Row],[C1toC4_GWP]]</f>
        <v>922.71</v>
      </c>
      <c r="W105" s="107">
        <f>VLOOKUP(Table24[[#This Row],[Country PRODUCTION]],[2]Sheet1!$B$11:$F$30,4,FALSE)+Table24[[#This Row],[Total_GWP]]</f>
        <v>1016.3100000000001</v>
      </c>
      <c r="X105" s="107">
        <f>VLOOKUP(Table24[[#This Row],[Country PRODUCTION]],[2]Sheet1!$B$11:$F$30,5,FALSE)+Table24[[#This Row],[Total_GWP]]</f>
        <v>932.31000000000006</v>
      </c>
      <c r="Y105" s="107">
        <f>Table24[[#This Row],[Total_GWP]]*Table24[[#This Row],[DENSITY]]/1000</f>
        <v>7243.2735000000002</v>
      </c>
      <c r="Z105" s="129">
        <f>592+40.1+153</f>
        <v>785.1</v>
      </c>
      <c r="AA105" s="72">
        <f>38.1+24.4+2.01+73.1</f>
        <v>137.61000000000001</v>
      </c>
      <c r="AB105" s="73"/>
      <c r="AC105" s="73"/>
      <c r="AD105" s="73"/>
      <c r="AE105" s="75"/>
      <c r="AF105" s="107"/>
      <c r="AG105" s="129"/>
      <c r="AH105" s="129"/>
      <c r="AI105" s="75"/>
      <c r="AJ105" s="385">
        <f ca="1">IF(OR($E105="Ecoinvent",$E105="Betonsortenrechner",$E105="KBOB",$V105&lt;=0,Table24[[#This Row],[VALID_TO]]&lt;=TODAY()),0,1)</f>
        <v>0</v>
      </c>
      <c r="AK105" s="199">
        <v>1</v>
      </c>
      <c r="AL105" s="199">
        <f ca="1">IF(AND(Table24[[#This Row],[ValidEPD]]&lt;&gt;0,Table24[[#This Row],[Man_Ausschluss]]&lt;&gt;0),1,0)</f>
        <v>0</v>
      </c>
      <c r="AM105" s="17" cm="1">
        <f t="array" aca="1" ref="AM105" ca="1">IF(Table24[[#This Row],[gültig]]&lt;&gt;0,
IF(
OR(
V105=MIN(_xlfn._xlws.FILTER($V$2:$V$298,($P$2:$P$298=P105)*($N$2:$N$298=N105)*($AL$2:$AL$298&lt;&gt;0))),
V105=MAX(_xlfn._xlws.FILTER($V$2:$V$298,($P$2:$P$298=P105)*($N$2:$N$298=N105)*($AL$2:$AL$298&lt;&gt;0))),
ROWS(_xlfn._xlws.FILTER($V$2:$V$298,($P$2:$P$298=P105)*($N$2:$N$298=N105)*($AL$2:$AL$298&lt;&gt;0)))&lt;=2
),1,0),0)</f>
        <v>0</v>
      </c>
      <c r="AN105" s="138"/>
      <c r="AO105" s="1"/>
      <c r="AP105" s="1"/>
    </row>
    <row r="106" spans="1:42" x14ac:dyDescent="0.2">
      <c r="A106" s="161" t="s">
        <v>202</v>
      </c>
      <c r="B106" s="9"/>
      <c r="C106" s="100">
        <v>105</v>
      </c>
      <c r="D106" s="1" t="s">
        <v>59</v>
      </c>
      <c r="E106" s="162" t="s">
        <v>60</v>
      </c>
      <c r="F106" s="162"/>
      <c r="G106" s="226">
        <v>44770</v>
      </c>
      <c r="H106" s="163">
        <v>46596</v>
      </c>
      <c r="I106" s="84" t="s">
        <v>264</v>
      </c>
      <c r="J106" s="164" t="s">
        <v>264</v>
      </c>
      <c r="K106" s="165" t="s">
        <v>50</v>
      </c>
      <c r="L106" s="228" t="s">
        <v>323</v>
      </c>
      <c r="M106" s="1" t="s">
        <v>316</v>
      </c>
      <c r="N106" s="229" t="s">
        <v>317</v>
      </c>
      <c r="O106" s="1" t="s">
        <v>415</v>
      </c>
      <c r="P106" s="230" t="s">
        <v>0</v>
      </c>
      <c r="Q106" s="84">
        <v>7850</v>
      </c>
      <c r="R106" s="162" t="s">
        <v>415</v>
      </c>
      <c r="S106" s="162" t="s">
        <v>415</v>
      </c>
      <c r="T106" s="162" t="s">
        <v>415</v>
      </c>
      <c r="U106" s="168" t="s">
        <v>415</v>
      </c>
      <c r="V106" s="107">
        <f>Table24[[#This Row],[A1toA3_GWP]]+Table24[[#This Row],[C1toC4_GWP]]</f>
        <v>632.27200000000005</v>
      </c>
      <c r="W106" s="107">
        <f>VLOOKUP(Table24[[#This Row],[Country PRODUCTION]],[2]Sheet1!$B$11:$F$30,4,FALSE)+Table24[[#This Row],[Total_GWP]]</f>
        <v>708.32200000000012</v>
      </c>
      <c r="X106" s="107">
        <f>VLOOKUP(Table24[[#This Row],[Country PRODUCTION]],[2]Sheet1!$B$11:$F$30,5,FALSE)+Table24[[#This Row],[Total_GWP]]</f>
        <v>640.072</v>
      </c>
      <c r="Y106" s="107">
        <f>Table24[[#This Row],[Total_GWP]]*Table24[[#This Row],[DENSITY]]/1000</f>
        <v>4963.3352000000004</v>
      </c>
      <c r="Z106" s="129">
        <f>81.9+22.3+521</f>
        <v>625.20000000000005</v>
      </c>
      <c r="AA106" s="72">
        <f>6.57+0.197+0.305</f>
        <v>7.0720000000000001</v>
      </c>
      <c r="AB106" s="73"/>
      <c r="AC106" s="73"/>
      <c r="AD106" s="73"/>
      <c r="AE106" s="75"/>
      <c r="AF106" s="107"/>
      <c r="AG106" s="129"/>
      <c r="AH106" s="129"/>
      <c r="AI106" s="75"/>
      <c r="AJ106" s="385">
        <f ca="1">IF(OR($E106="Ecoinvent",$E106="Betonsortenrechner",$E106="KBOB",$V106&lt;=0,Table24[[#This Row],[VALID_TO]]&lt;=TODAY()),0,1)</f>
        <v>1</v>
      </c>
      <c r="AK106" s="199">
        <v>1</v>
      </c>
      <c r="AL106" s="199">
        <f ca="1">IF(AND(Table24[[#This Row],[ValidEPD]]&lt;&gt;0,Table24[[#This Row],[Man_Ausschluss]]&lt;&gt;0),1,0)</f>
        <v>1</v>
      </c>
      <c r="AM106" s="17" cm="1">
        <f t="array" aca="1" ref="AM106" ca="1">IF(Table24[[#This Row],[gültig]]&lt;&gt;0,
IF(
OR(
V106=MIN(_xlfn._xlws.FILTER($V$2:$V$298,($P$2:$P$298=P106)*($N$2:$N$298=N106)*($AL$2:$AL$298&lt;&gt;0))),
V106=MAX(_xlfn._xlws.FILTER($V$2:$V$298,($P$2:$P$298=P106)*($N$2:$N$298=N106)*($AL$2:$AL$298&lt;&gt;0))),
ROWS(_xlfn._xlws.FILTER($V$2:$V$298,($P$2:$P$298=P106)*($N$2:$N$298=N106)*($AL$2:$AL$298&lt;&gt;0)))&lt;=2
),1,0),0)</f>
        <v>0</v>
      </c>
      <c r="AN106" s="138"/>
      <c r="AO106" s="1"/>
      <c r="AP106" s="1"/>
    </row>
    <row r="107" spans="1:42" x14ac:dyDescent="0.2">
      <c r="A107" s="161" t="s">
        <v>204</v>
      </c>
      <c r="B107" s="9"/>
      <c r="C107" s="100">
        <v>106</v>
      </c>
      <c r="D107" s="1" t="s">
        <v>61</v>
      </c>
      <c r="E107" s="162" t="s">
        <v>62</v>
      </c>
      <c r="F107" s="162"/>
      <c r="G107" s="226">
        <v>41025</v>
      </c>
      <c r="H107" s="163">
        <v>45556</v>
      </c>
      <c r="I107" s="84" t="s">
        <v>238</v>
      </c>
      <c r="J107" s="164" t="s">
        <v>293</v>
      </c>
      <c r="K107" s="165" t="s">
        <v>50</v>
      </c>
      <c r="L107" s="228" t="s">
        <v>323</v>
      </c>
      <c r="M107" s="1" t="s">
        <v>316</v>
      </c>
      <c r="N107" s="229" t="s">
        <v>317</v>
      </c>
      <c r="O107" s="1" t="s">
        <v>415</v>
      </c>
      <c r="P107" s="230" t="s">
        <v>0</v>
      </c>
      <c r="Q107" s="84">
        <v>7850</v>
      </c>
      <c r="R107" s="162" t="s">
        <v>415</v>
      </c>
      <c r="S107" s="162" t="s">
        <v>415</v>
      </c>
      <c r="T107" s="162" t="s">
        <v>415</v>
      </c>
      <c r="U107" s="168" t="s">
        <v>415</v>
      </c>
      <c r="V107" s="107">
        <f>Table24[[#This Row],[A1toA3_GWP]]+Table24[[#This Row],[C1toC4_GWP]]</f>
        <v>367.12099999999998</v>
      </c>
      <c r="W107" s="107">
        <f>VLOOKUP(Table24[[#This Row],[Country PRODUCTION]],[2]Sheet1!$B$11:$F$30,4,FALSE)+Table24[[#This Row],[Total_GWP]]</f>
        <v>601.12099999999998</v>
      </c>
      <c r="X107" s="107">
        <f>VLOOKUP(Table24[[#This Row],[Country PRODUCTION]],[2]Sheet1!$B$11:$F$30,5,FALSE)+Table24[[#This Row],[Total_GWP]]</f>
        <v>391.12099999999998</v>
      </c>
      <c r="Y107" s="107">
        <f>Table24[[#This Row],[Total_GWP]]*Table24[[#This Row],[DENSITY]]/1000</f>
        <v>2881.8998499999998</v>
      </c>
      <c r="Z107" s="129">
        <v>358</v>
      </c>
      <c r="AA107" s="72">
        <f>0.351+8.77</f>
        <v>9.1209999999999987</v>
      </c>
      <c r="AB107" s="73"/>
      <c r="AC107" s="73"/>
      <c r="AD107" s="73"/>
      <c r="AE107" s="75"/>
      <c r="AF107" s="107"/>
      <c r="AG107" s="129"/>
      <c r="AH107" s="129"/>
      <c r="AI107" s="75"/>
      <c r="AJ107" s="385">
        <f ca="1">IF(OR($E107="Ecoinvent",$E107="Betonsortenrechner",$E107="KBOB",$V107&lt;=0,Table24[[#This Row],[VALID_TO]]&lt;=TODAY()),0,1)</f>
        <v>0</v>
      </c>
      <c r="AK107" s="199">
        <v>1</v>
      </c>
      <c r="AL107" s="199">
        <f ca="1">IF(AND(Table24[[#This Row],[ValidEPD]]&lt;&gt;0,Table24[[#This Row],[Man_Ausschluss]]&lt;&gt;0),1,0)</f>
        <v>0</v>
      </c>
      <c r="AM107" s="17" cm="1">
        <f t="array" aca="1" ref="AM107" ca="1">IF(Table24[[#This Row],[gültig]]&lt;&gt;0,
IF(
OR(
V107=MIN(_xlfn._xlws.FILTER($V$2:$V$298,($P$2:$P$298=P107)*($N$2:$N$298=N107)*($AL$2:$AL$298&lt;&gt;0))),
V107=MAX(_xlfn._xlws.FILTER($V$2:$V$298,($P$2:$P$298=P107)*($N$2:$N$298=N107)*($AL$2:$AL$298&lt;&gt;0))),
ROWS(_xlfn._xlws.FILTER($V$2:$V$298,($P$2:$P$298=P107)*($N$2:$N$298=N107)*($AL$2:$AL$298&lt;&gt;0)))&lt;=2
),1,0),0)</f>
        <v>0</v>
      </c>
      <c r="AN107" s="138"/>
      <c r="AO107" s="1"/>
      <c r="AP107" s="1"/>
    </row>
    <row r="108" spans="1:42" x14ac:dyDescent="0.2">
      <c r="A108" s="161" t="s">
        <v>205</v>
      </c>
      <c r="B108" s="9"/>
      <c r="C108" s="100">
        <v>107</v>
      </c>
      <c r="D108" s="1" t="s">
        <v>63</v>
      </c>
      <c r="E108" s="162" t="s">
        <v>64</v>
      </c>
      <c r="F108" s="162"/>
      <c r="G108" s="226">
        <v>44896</v>
      </c>
      <c r="H108" s="163">
        <v>46714</v>
      </c>
      <c r="I108" s="84" t="s">
        <v>65</v>
      </c>
      <c r="J108" s="164" t="s">
        <v>65</v>
      </c>
      <c r="K108" s="165" t="s">
        <v>50</v>
      </c>
      <c r="L108" s="228" t="s">
        <v>323</v>
      </c>
      <c r="M108" s="1" t="s">
        <v>316</v>
      </c>
      <c r="N108" s="229" t="s">
        <v>317</v>
      </c>
      <c r="O108" s="1" t="s">
        <v>415</v>
      </c>
      <c r="P108" s="230" t="s">
        <v>0</v>
      </c>
      <c r="Q108" s="84">
        <v>7850</v>
      </c>
      <c r="R108" s="162" t="s">
        <v>415</v>
      </c>
      <c r="S108" s="162" t="s">
        <v>415</v>
      </c>
      <c r="T108" s="162" t="s">
        <v>415</v>
      </c>
      <c r="U108" s="168" t="s">
        <v>415</v>
      </c>
      <c r="V108" s="107">
        <f>Table24[[#This Row],[A1toA3_GWP]]+Table24[[#This Row],[C1toC4_GWP]]</f>
        <v>461.08</v>
      </c>
      <c r="W108" s="107">
        <f>VLOOKUP(Table24[[#This Row],[Country PRODUCTION]],[2]Sheet1!$B$11:$F$30,4,FALSE)+Table24[[#This Row],[Total_GWP]]</f>
        <v>578.07999999999993</v>
      </c>
      <c r="X108" s="107">
        <f>VLOOKUP(Table24[[#This Row],[Country PRODUCTION]],[2]Sheet1!$B$11:$F$30,5,FALSE)+Table24[[#This Row],[Total_GWP]]</f>
        <v>473.08</v>
      </c>
      <c r="Y108" s="107">
        <f>Table24[[#This Row],[Total_GWP]]*Table24[[#This Row],[DENSITY]]/1000</f>
        <v>3619.4780000000001</v>
      </c>
      <c r="Z108" s="231">
        <v>330</v>
      </c>
      <c r="AA108" s="72">
        <f>57.3+19.6+1.38+52.8</f>
        <v>131.07999999999998</v>
      </c>
      <c r="AB108" s="73"/>
      <c r="AC108" s="73"/>
      <c r="AD108" s="73"/>
      <c r="AE108" s="75"/>
      <c r="AF108" s="107"/>
      <c r="AG108" s="129"/>
      <c r="AH108" s="129"/>
      <c r="AI108" s="75"/>
      <c r="AJ108" s="385">
        <f ca="1">IF(OR($E108="Ecoinvent",$E108="Betonsortenrechner",$E108="KBOB",$V108&lt;=0,Table24[[#This Row],[VALID_TO]]&lt;=TODAY()),0,1)</f>
        <v>1</v>
      </c>
      <c r="AK108" s="199">
        <v>1</v>
      </c>
      <c r="AL108" s="199">
        <f ca="1">IF(AND(Table24[[#This Row],[ValidEPD]]&lt;&gt;0,Table24[[#This Row],[Man_Ausschluss]]&lt;&gt;0),1,0)</f>
        <v>1</v>
      </c>
      <c r="AM108" s="17" cm="1">
        <f t="array" aca="1" ref="AM108" ca="1">IF(Table24[[#This Row],[gültig]]&lt;&gt;0,
IF(
OR(
V108=MIN(_xlfn._xlws.FILTER($V$2:$V$298,($P$2:$P$298=P108)*($N$2:$N$298=N108)*($AL$2:$AL$298&lt;&gt;0))),
V108=MAX(_xlfn._xlws.FILTER($V$2:$V$298,($P$2:$P$298=P108)*($N$2:$N$298=N108)*($AL$2:$AL$298&lt;&gt;0))),
ROWS(_xlfn._xlws.FILTER($V$2:$V$298,($P$2:$P$298=P108)*($N$2:$N$298=N108)*($AL$2:$AL$298&lt;&gt;0)))&lt;=2
),1,0),0)</f>
        <v>0</v>
      </c>
      <c r="AN108" s="138"/>
      <c r="AO108" s="1"/>
      <c r="AP108" s="1"/>
    </row>
    <row r="109" spans="1:42" x14ac:dyDescent="0.2">
      <c r="A109" s="161" t="s">
        <v>206</v>
      </c>
      <c r="B109" s="9"/>
      <c r="C109" s="100">
        <v>108</v>
      </c>
      <c r="D109" s="1" t="s">
        <v>67</v>
      </c>
      <c r="E109" s="162" t="s">
        <v>66</v>
      </c>
      <c r="F109" s="162"/>
      <c r="G109" s="226">
        <v>45016</v>
      </c>
      <c r="H109" s="163">
        <v>46840</v>
      </c>
      <c r="I109" s="84" t="s">
        <v>169</v>
      </c>
      <c r="J109" s="164" t="s">
        <v>169</v>
      </c>
      <c r="K109" s="165" t="s">
        <v>50</v>
      </c>
      <c r="L109" s="228" t="s">
        <v>323</v>
      </c>
      <c r="M109" s="1" t="s">
        <v>316</v>
      </c>
      <c r="N109" s="229" t="s">
        <v>317</v>
      </c>
      <c r="O109" s="1" t="s">
        <v>415</v>
      </c>
      <c r="P109" s="230" t="s">
        <v>0</v>
      </c>
      <c r="Q109" s="84">
        <v>7850</v>
      </c>
      <c r="R109" s="162" t="s">
        <v>415</v>
      </c>
      <c r="S109" s="162" t="s">
        <v>415</v>
      </c>
      <c r="T109" s="162" t="s">
        <v>415</v>
      </c>
      <c r="U109" s="168" t="s">
        <v>415</v>
      </c>
      <c r="V109" s="107">
        <f>Table24[[#This Row],[A1toA3_GWP]]+Table24[[#This Row],[C1toC4_GWP]]</f>
        <v>544.25</v>
      </c>
      <c r="W109" s="107">
        <f>VLOOKUP(Table24[[#This Row],[Country PRODUCTION]],[2]Sheet1!$B$11:$F$30,4,FALSE)+Table24[[#This Row],[Total_GWP]]</f>
        <v>696.35</v>
      </c>
      <c r="X109" s="107">
        <f>VLOOKUP(Table24[[#This Row],[Country PRODUCTION]],[2]Sheet1!$B$11:$F$30,5,FALSE)+Table24[[#This Row],[Total_GWP]]</f>
        <v>559.85</v>
      </c>
      <c r="Y109" s="107">
        <f>Table24[[#This Row],[Total_GWP]]*Table24[[#This Row],[DENSITY]]/1000</f>
        <v>4272.3625000000002</v>
      </c>
      <c r="Z109" s="129">
        <v>413</v>
      </c>
      <c r="AA109" s="72">
        <f>57.3+19.6+1.55+52.8</f>
        <v>131.25</v>
      </c>
      <c r="AB109" s="73"/>
      <c r="AC109" s="73"/>
      <c r="AD109" s="73"/>
      <c r="AE109" s="75"/>
      <c r="AF109" s="107"/>
      <c r="AG109" s="129"/>
      <c r="AH109" s="129"/>
      <c r="AI109" s="75"/>
      <c r="AJ109" s="385">
        <f ca="1">IF(OR($E109="Ecoinvent",$E109="Betonsortenrechner",$E109="KBOB",$V109&lt;=0,Table24[[#This Row],[VALID_TO]]&lt;=TODAY()),0,1)</f>
        <v>1</v>
      </c>
      <c r="AK109" s="199">
        <v>1</v>
      </c>
      <c r="AL109" s="199">
        <f ca="1">IF(AND(Table24[[#This Row],[ValidEPD]]&lt;&gt;0,Table24[[#This Row],[Man_Ausschluss]]&lt;&gt;0),1,0)</f>
        <v>1</v>
      </c>
      <c r="AM109" s="17" cm="1">
        <f t="array" aca="1" ref="AM109" ca="1">IF(Table24[[#This Row],[gültig]]&lt;&gt;0,
IF(
OR(
V109=MIN(_xlfn._xlws.FILTER($V$2:$V$298,($P$2:$P$298=P109)*($N$2:$N$298=N109)*($AL$2:$AL$298&lt;&gt;0))),
V109=MAX(_xlfn._xlws.FILTER($V$2:$V$298,($P$2:$P$298=P109)*($N$2:$N$298=N109)*($AL$2:$AL$298&lt;&gt;0))),
ROWS(_xlfn._xlws.FILTER($V$2:$V$298,($P$2:$P$298=P109)*($N$2:$N$298=N109)*($AL$2:$AL$298&lt;&gt;0)))&lt;=2
),1,0),0)</f>
        <v>0</v>
      </c>
      <c r="AN109" s="138"/>
      <c r="AO109" s="1"/>
      <c r="AP109" s="1"/>
    </row>
    <row r="110" spans="1:42" x14ac:dyDescent="0.2">
      <c r="A110" s="161" t="s">
        <v>207</v>
      </c>
      <c r="B110" s="9"/>
      <c r="C110" s="100">
        <v>109</v>
      </c>
      <c r="D110" s="1" t="s">
        <v>68</v>
      </c>
      <c r="E110" s="162" t="s">
        <v>69</v>
      </c>
      <c r="F110" s="162"/>
      <c r="G110" s="226">
        <v>45097</v>
      </c>
      <c r="H110" s="163">
        <v>46924</v>
      </c>
      <c r="I110" s="84" t="s">
        <v>264</v>
      </c>
      <c r="J110" s="164" t="s">
        <v>264</v>
      </c>
      <c r="K110" s="165" t="s">
        <v>50</v>
      </c>
      <c r="L110" s="228" t="s">
        <v>323</v>
      </c>
      <c r="M110" s="1" t="s">
        <v>316</v>
      </c>
      <c r="N110" s="229" t="s">
        <v>317</v>
      </c>
      <c r="O110" s="1" t="s">
        <v>415</v>
      </c>
      <c r="P110" s="230" t="s">
        <v>0</v>
      </c>
      <c r="Q110" s="84">
        <v>7850</v>
      </c>
      <c r="R110" s="162" t="s">
        <v>415</v>
      </c>
      <c r="S110" s="162" t="s">
        <v>415</v>
      </c>
      <c r="T110" s="162" t="s">
        <v>415</v>
      </c>
      <c r="U110" s="168" t="s">
        <v>415</v>
      </c>
      <c r="V110" s="107">
        <f>Table24[[#This Row],[A1toA3_GWP]]+Table24[[#This Row],[C1toC4_GWP]]</f>
        <v>606.36399999999992</v>
      </c>
      <c r="W110" s="107">
        <f>VLOOKUP(Table24[[#This Row],[Country PRODUCTION]],[2]Sheet1!$B$11:$F$30,4,FALSE)+Table24[[#This Row],[Total_GWP]]</f>
        <v>682.41399999999999</v>
      </c>
      <c r="X110" s="107">
        <f>VLOOKUP(Table24[[#This Row],[Country PRODUCTION]],[2]Sheet1!$B$11:$F$30,5,FALSE)+Table24[[#This Row],[Total_GWP]]</f>
        <v>614.16399999999987</v>
      </c>
      <c r="Y110" s="107">
        <f>Table24[[#This Row],[Total_GWP]]*Table24[[#This Row],[DENSITY]]/1000</f>
        <v>4759.9573999999993</v>
      </c>
      <c r="Z110" s="129">
        <f>56.4+18.4+524</f>
        <v>598.79999999999995</v>
      </c>
      <c r="AA110" s="72">
        <f>7.12+0.149+0.295</f>
        <v>7.5640000000000001</v>
      </c>
      <c r="AB110" s="73"/>
      <c r="AC110" s="73"/>
      <c r="AD110" s="73"/>
      <c r="AE110" s="75"/>
      <c r="AF110" s="107"/>
      <c r="AG110" s="129"/>
      <c r="AH110" s="129"/>
      <c r="AI110" s="75"/>
      <c r="AJ110" s="385">
        <f ca="1">IF(OR($E110="Ecoinvent",$E110="Betonsortenrechner",$E110="KBOB",$V110&lt;=0,Table24[[#This Row],[VALID_TO]]&lt;=TODAY()),0,1)</f>
        <v>1</v>
      </c>
      <c r="AK110" s="199">
        <v>1</v>
      </c>
      <c r="AL110" s="199">
        <f ca="1">IF(AND(Table24[[#This Row],[ValidEPD]]&lt;&gt;0,Table24[[#This Row],[Man_Ausschluss]]&lt;&gt;0),1,0)</f>
        <v>1</v>
      </c>
      <c r="AM110" s="17" cm="1">
        <f t="array" aca="1" ref="AM110" ca="1">IF(Table24[[#This Row],[gültig]]&lt;&gt;0,
IF(
OR(
V110=MIN(_xlfn._xlws.FILTER($V$2:$V$298,($P$2:$P$298=P110)*($N$2:$N$298=N110)*($AL$2:$AL$298&lt;&gt;0))),
V110=MAX(_xlfn._xlws.FILTER($V$2:$V$298,($P$2:$P$298=P110)*($N$2:$N$298=N110)*($AL$2:$AL$298&lt;&gt;0))),
ROWS(_xlfn._xlws.FILTER($V$2:$V$298,($P$2:$P$298=P110)*($N$2:$N$298=N110)*($AL$2:$AL$298&lt;&gt;0)))&lt;=2
),1,0),0)</f>
        <v>0</v>
      </c>
      <c r="AN110" s="138"/>
      <c r="AO110" s="1"/>
      <c r="AP110" s="1"/>
    </row>
    <row r="111" spans="1:42" x14ac:dyDescent="0.2">
      <c r="A111" s="161" t="s">
        <v>208</v>
      </c>
      <c r="B111" s="9"/>
      <c r="C111" s="100">
        <v>110</v>
      </c>
      <c r="D111" s="1" t="s">
        <v>70</v>
      </c>
      <c r="E111" s="162" t="s">
        <v>69</v>
      </c>
      <c r="F111" s="162"/>
      <c r="G111" s="226">
        <v>45097</v>
      </c>
      <c r="H111" s="163">
        <v>46924</v>
      </c>
      <c r="I111" s="84" t="s">
        <v>264</v>
      </c>
      <c r="J111" s="164" t="s">
        <v>264</v>
      </c>
      <c r="K111" s="165" t="s">
        <v>50</v>
      </c>
      <c r="L111" s="228" t="s">
        <v>323</v>
      </c>
      <c r="M111" s="1" t="s">
        <v>316</v>
      </c>
      <c r="N111" s="229" t="s">
        <v>317</v>
      </c>
      <c r="O111" s="1" t="s">
        <v>415</v>
      </c>
      <c r="P111" s="230" t="s">
        <v>0</v>
      </c>
      <c r="Q111" s="84">
        <v>7850</v>
      </c>
      <c r="R111" s="162" t="s">
        <v>415</v>
      </c>
      <c r="S111" s="162" t="s">
        <v>415</v>
      </c>
      <c r="T111" s="162" t="s">
        <v>415</v>
      </c>
      <c r="U111" s="168" t="s">
        <v>415</v>
      </c>
      <c r="V111" s="107">
        <f>Table24[[#This Row],[A1toA3_GWP]]+Table24[[#This Row],[C1toC4_GWP]]</f>
        <v>600.49</v>
      </c>
      <c r="W111" s="107">
        <f>VLOOKUP(Table24[[#This Row],[Country PRODUCTION]],[2]Sheet1!$B$11:$F$30,4,FALSE)+Table24[[#This Row],[Total_GWP]]</f>
        <v>676.54</v>
      </c>
      <c r="X111" s="107">
        <f>VLOOKUP(Table24[[#This Row],[Country PRODUCTION]],[2]Sheet1!$B$11:$F$30,5,FALSE)+Table24[[#This Row],[Total_GWP]]</f>
        <v>608.29</v>
      </c>
      <c r="Y111" s="107">
        <f>Table24[[#This Row],[Total_GWP]]*Table24[[#This Row],[DENSITY]]/1000</f>
        <v>4713.8464999999997</v>
      </c>
      <c r="Z111" s="129">
        <f>55.8+18.2+519</f>
        <v>593</v>
      </c>
      <c r="AA111" s="72">
        <f>7.05+0.148+0.292</f>
        <v>7.4899999999999993</v>
      </c>
      <c r="AB111" s="73"/>
      <c r="AC111" s="73"/>
      <c r="AD111" s="73"/>
      <c r="AE111" s="75"/>
      <c r="AF111" s="107"/>
      <c r="AG111" s="129"/>
      <c r="AH111" s="129"/>
      <c r="AI111" s="75"/>
      <c r="AJ111" s="385">
        <f ca="1">IF(OR($E111="Ecoinvent",$E111="Betonsortenrechner",$E111="KBOB",$V111&lt;=0,Table24[[#This Row],[VALID_TO]]&lt;=TODAY()),0,1)</f>
        <v>1</v>
      </c>
      <c r="AK111" s="199">
        <v>1</v>
      </c>
      <c r="AL111" s="199">
        <f ca="1">IF(AND(Table24[[#This Row],[ValidEPD]]&lt;&gt;0,Table24[[#This Row],[Man_Ausschluss]]&lt;&gt;0),1,0)</f>
        <v>1</v>
      </c>
      <c r="AM111" s="17" cm="1">
        <f t="array" aca="1" ref="AM111" ca="1">IF(Table24[[#This Row],[gültig]]&lt;&gt;0,
IF(
OR(
V111=MIN(_xlfn._xlws.FILTER($V$2:$V$298,($P$2:$P$298=P111)*($N$2:$N$298=N111)*($AL$2:$AL$298&lt;&gt;0))),
V111=MAX(_xlfn._xlws.FILTER($V$2:$V$298,($P$2:$P$298=P111)*($N$2:$N$298=N111)*($AL$2:$AL$298&lt;&gt;0))),
ROWS(_xlfn._xlws.FILTER($V$2:$V$298,($P$2:$P$298=P111)*($N$2:$N$298=N111)*($AL$2:$AL$298&lt;&gt;0)))&lt;=2
),1,0),0)</f>
        <v>0</v>
      </c>
      <c r="AN111" s="138"/>
      <c r="AO111" s="1"/>
      <c r="AP111" s="1"/>
    </row>
    <row r="112" spans="1:42" s="70" customFormat="1" x14ac:dyDescent="0.2">
      <c r="A112" s="82" t="s">
        <v>213</v>
      </c>
      <c r="B112" s="232"/>
      <c r="C112" s="96">
        <v>111</v>
      </c>
      <c r="D112" s="69" t="s">
        <v>72</v>
      </c>
      <c r="E112" s="89" t="s">
        <v>73</v>
      </c>
      <c r="F112" s="89"/>
      <c r="G112" s="226">
        <v>44588</v>
      </c>
      <c r="H112" s="233">
        <v>46414</v>
      </c>
      <c r="I112" s="230" t="s">
        <v>291</v>
      </c>
      <c r="J112" s="234" t="s">
        <v>291</v>
      </c>
      <c r="K112" s="235" t="s">
        <v>50</v>
      </c>
      <c r="L112" s="236" t="s">
        <v>323</v>
      </c>
      <c r="M112" s="69" t="s">
        <v>316</v>
      </c>
      <c r="N112" s="237" t="s">
        <v>317</v>
      </c>
      <c r="O112" s="69" t="s">
        <v>415</v>
      </c>
      <c r="P112" s="230" t="s">
        <v>0</v>
      </c>
      <c r="Q112" s="230">
        <v>7850</v>
      </c>
      <c r="R112" s="89" t="s">
        <v>415</v>
      </c>
      <c r="S112" s="89" t="s">
        <v>415</v>
      </c>
      <c r="T112" s="89" t="s">
        <v>415</v>
      </c>
      <c r="U112" s="173" t="s">
        <v>415</v>
      </c>
      <c r="V112" s="81">
        <f>Table24[[#This Row],[A1toA3_GWP]]+Table24[[#This Row],[C1toC4_GWP]]</f>
        <v>418.73599999999999</v>
      </c>
      <c r="W112" s="107">
        <f>VLOOKUP(Table24[[#This Row],[Country PRODUCTION]],[2]Sheet1!$B$11:$F$30,4,FALSE)+Table24[[#This Row],[Total_GWP]]</f>
        <v>488.93599999999998</v>
      </c>
      <c r="X112" s="107">
        <f>VLOOKUP(Table24[[#This Row],[Country PRODUCTION]],[2]Sheet1!$B$11:$F$30,5,FALSE)+Table24[[#This Row],[Total_GWP]]</f>
        <v>425.93599999999998</v>
      </c>
      <c r="Y112" s="81">
        <f>Table24[[#This Row],[Total_GWP]]*Table24[[#This Row],[DENSITY]]/1000</f>
        <v>3287.0776000000001</v>
      </c>
      <c r="Z112" s="87">
        <f>52.9+24.3+333</f>
        <v>410.2</v>
      </c>
      <c r="AA112" s="88">
        <f>8.23+0.306</f>
        <v>8.5359999999999996</v>
      </c>
      <c r="AB112" s="77"/>
      <c r="AC112" s="77"/>
      <c r="AD112" s="77"/>
      <c r="AE112" s="76"/>
      <c r="AF112" s="81"/>
      <c r="AG112" s="87"/>
      <c r="AH112" s="129"/>
      <c r="AI112" s="76"/>
      <c r="AJ112" s="385">
        <f ca="1">IF(OR($E112="Ecoinvent",$E112="Betonsortenrechner",$E112="KBOB",$V112&lt;=0,Table24[[#This Row],[VALID_TO]]&lt;=TODAY()),0,1)</f>
        <v>1</v>
      </c>
      <c r="AK112" s="199">
        <v>1</v>
      </c>
      <c r="AL112" s="199">
        <f ca="1">IF(AND(Table24[[#This Row],[ValidEPD]]&lt;&gt;0,Table24[[#This Row],[Man_Ausschluss]]&lt;&gt;0),1,0)</f>
        <v>1</v>
      </c>
      <c r="AM112" s="17" cm="1">
        <f t="array" aca="1" ref="AM112" ca="1">IF(Table24[[#This Row],[gültig]]&lt;&gt;0,
IF(
OR(
V112=MIN(_xlfn._xlws.FILTER($V$2:$V$298,($P$2:$P$298=P112)*($N$2:$N$298=N112)*($AL$2:$AL$298&lt;&gt;0))),
V112=MAX(_xlfn._xlws.FILTER($V$2:$V$298,($P$2:$P$298=P112)*($N$2:$N$298=N112)*($AL$2:$AL$298&lt;&gt;0))),
ROWS(_xlfn._xlws.FILTER($V$2:$V$298,($P$2:$P$298=P112)*($N$2:$N$298=N112)*($AL$2:$AL$298&lt;&gt;0)))&lt;=2
),1,0),0)</f>
        <v>0</v>
      </c>
      <c r="AN112" s="138"/>
      <c r="AO112" s="69"/>
      <c r="AP112" s="69"/>
    </row>
    <row r="113" spans="1:42" s="70" customFormat="1" x14ac:dyDescent="0.2">
      <c r="A113" s="82" t="s">
        <v>211</v>
      </c>
      <c r="B113" s="232"/>
      <c r="C113" s="96">
        <v>112</v>
      </c>
      <c r="D113" s="69" t="s">
        <v>74</v>
      </c>
      <c r="E113" s="89" t="s">
        <v>75</v>
      </c>
      <c r="F113" s="89"/>
      <c r="G113" s="226">
        <v>44306</v>
      </c>
      <c r="H113" s="233">
        <v>46131</v>
      </c>
      <c r="I113" s="230" t="s">
        <v>264</v>
      </c>
      <c r="J113" s="234" t="s">
        <v>264</v>
      </c>
      <c r="K113" s="235" t="s">
        <v>50</v>
      </c>
      <c r="L113" s="236" t="s">
        <v>323</v>
      </c>
      <c r="M113" s="69" t="s">
        <v>316</v>
      </c>
      <c r="N113" s="237" t="s">
        <v>317</v>
      </c>
      <c r="O113" s="69" t="s">
        <v>415</v>
      </c>
      <c r="P113" s="230" t="s">
        <v>0</v>
      </c>
      <c r="Q113" s="230">
        <v>7850</v>
      </c>
      <c r="R113" s="89" t="s">
        <v>415</v>
      </c>
      <c r="S113" s="89" t="s">
        <v>415</v>
      </c>
      <c r="T113" s="89" t="s">
        <v>415</v>
      </c>
      <c r="U113" s="173" t="s">
        <v>415</v>
      </c>
      <c r="V113" s="81">
        <f>Table24[[#This Row],[A1toA3_GWP]]+Table24[[#This Row],[C1toC4_GWP]]</f>
        <v>468.90499999999997</v>
      </c>
      <c r="W113" s="107">
        <f>VLOOKUP(Table24[[#This Row],[Country PRODUCTION]],[2]Sheet1!$B$11:$F$30,4,FALSE)+Table24[[#This Row],[Total_GWP]]</f>
        <v>544.95499999999993</v>
      </c>
      <c r="X113" s="107">
        <f>VLOOKUP(Table24[[#This Row],[Country PRODUCTION]],[2]Sheet1!$B$11:$F$30,5,FALSE)+Table24[[#This Row],[Total_GWP]]</f>
        <v>476.70499999999998</v>
      </c>
      <c r="Y113" s="81">
        <f>Table24[[#This Row],[Total_GWP]]*Table24[[#This Row],[DENSITY]]/1000</f>
        <v>3680.90425</v>
      </c>
      <c r="Z113" s="87">
        <f>79.5+38+343</f>
        <v>460.5</v>
      </c>
      <c r="AA113" s="88">
        <f>8.09+0+0.315</f>
        <v>8.4049999999999994</v>
      </c>
      <c r="AB113" s="77"/>
      <c r="AC113" s="77"/>
      <c r="AD113" s="77"/>
      <c r="AE113" s="76"/>
      <c r="AF113" s="81"/>
      <c r="AG113" s="87"/>
      <c r="AH113" s="129"/>
      <c r="AI113" s="76"/>
      <c r="AJ113" s="385">
        <f ca="1">IF(OR($E113="Ecoinvent",$E113="Betonsortenrechner",$E113="KBOB",$V113&lt;=0,Table24[[#This Row],[VALID_TO]]&lt;=TODAY()),0,1)</f>
        <v>0</v>
      </c>
      <c r="AK113" s="199">
        <v>1</v>
      </c>
      <c r="AL113" s="199">
        <f ca="1">IF(AND(Table24[[#This Row],[ValidEPD]]&lt;&gt;0,Table24[[#This Row],[Man_Ausschluss]]&lt;&gt;0),1,0)</f>
        <v>0</v>
      </c>
      <c r="AM113" s="17" cm="1">
        <f t="array" aca="1" ref="AM113" ca="1">IF(Table24[[#This Row],[gültig]]&lt;&gt;0,
IF(
OR(
V113=MIN(_xlfn._xlws.FILTER($V$2:$V$298,($P$2:$P$298=P113)*($N$2:$N$298=N113)*($AL$2:$AL$298&lt;&gt;0))),
V113=MAX(_xlfn._xlws.FILTER($V$2:$V$298,($P$2:$P$298=P113)*($N$2:$N$298=N113)*($AL$2:$AL$298&lt;&gt;0))),
ROWS(_xlfn._xlws.FILTER($V$2:$V$298,($P$2:$P$298=P113)*($N$2:$N$298=N113)*($AL$2:$AL$298&lt;&gt;0)))&lt;=2
),1,0),0)</f>
        <v>0</v>
      </c>
      <c r="AN113" s="138"/>
      <c r="AO113" s="69"/>
      <c r="AP113" s="69"/>
    </row>
    <row r="114" spans="1:42" s="70" customFormat="1" x14ac:dyDescent="0.2">
      <c r="A114" s="82" t="s">
        <v>212</v>
      </c>
      <c r="B114" s="232"/>
      <c r="C114" s="96">
        <v>113</v>
      </c>
      <c r="D114" s="236" t="s">
        <v>76</v>
      </c>
      <c r="E114" s="89" t="s">
        <v>77</v>
      </c>
      <c r="F114" s="89"/>
      <c r="G114" s="226">
        <v>43803</v>
      </c>
      <c r="H114" s="233">
        <v>46150</v>
      </c>
      <c r="I114" s="230" t="s">
        <v>291</v>
      </c>
      <c r="J114" s="234" t="s">
        <v>291</v>
      </c>
      <c r="K114" s="235" t="s">
        <v>50</v>
      </c>
      <c r="L114" s="236" t="s">
        <v>323</v>
      </c>
      <c r="M114" s="69" t="s">
        <v>316</v>
      </c>
      <c r="N114" s="237" t="s">
        <v>317</v>
      </c>
      <c r="O114" s="69" t="s">
        <v>415</v>
      </c>
      <c r="P114" s="230" t="s">
        <v>0</v>
      </c>
      <c r="Q114" s="230">
        <v>7850</v>
      </c>
      <c r="R114" s="89" t="s">
        <v>415</v>
      </c>
      <c r="S114" s="89" t="s">
        <v>415</v>
      </c>
      <c r="T114" s="89" t="s">
        <v>415</v>
      </c>
      <c r="U114" s="173" t="s">
        <v>415</v>
      </c>
      <c r="V114" s="81">
        <f>Table24[[#This Row],[A1toA3_GWP]]+Table24[[#This Row],[C1toC4_GWP]]</f>
        <v>352.93</v>
      </c>
      <c r="W114" s="107">
        <f>VLOOKUP(Table24[[#This Row],[Country PRODUCTION]],[2]Sheet1!$B$11:$F$30,4,FALSE)+Table24[[#This Row],[Total_GWP]]</f>
        <v>423.13</v>
      </c>
      <c r="X114" s="107">
        <f>VLOOKUP(Table24[[#This Row],[Country PRODUCTION]],[2]Sheet1!$B$11:$F$30,5,FALSE)+Table24[[#This Row],[Total_GWP]]</f>
        <v>360.13</v>
      </c>
      <c r="Y114" s="81">
        <f>Table24[[#This Row],[Total_GWP]]*Table24[[#This Row],[DENSITY]]/1000</f>
        <v>2770.5005000000001</v>
      </c>
      <c r="Z114" s="238">
        <v>309</v>
      </c>
      <c r="AA114" s="88">
        <f>2.15+40.6+1.18</f>
        <v>43.93</v>
      </c>
      <c r="AB114" s="77"/>
      <c r="AC114" s="77"/>
      <c r="AD114" s="77"/>
      <c r="AE114" s="76"/>
      <c r="AF114" s="81"/>
      <c r="AG114" s="87"/>
      <c r="AH114" s="129"/>
      <c r="AI114" s="76"/>
      <c r="AJ114" s="385">
        <f ca="1">IF(OR($E114="Ecoinvent",$E114="Betonsortenrechner",$E114="KBOB",$V114&lt;=0,Table24[[#This Row],[VALID_TO]]&lt;=TODAY()),0,1)</f>
        <v>0</v>
      </c>
      <c r="AK114" s="199">
        <v>1</v>
      </c>
      <c r="AL114" s="199">
        <f ca="1">IF(AND(Table24[[#This Row],[ValidEPD]]&lt;&gt;0,Table24[[#This Row],[Man_Ausschluss]]&lt;&gt;0),1,0)</f>
        <v>0</v>
      </c>
      <c r="AM114" s="17" cm="1">
        <f t="array" aca="1" ref="AM114" ca="1">IF(Table24[[#This Row],[gültig]]&lt;&gt;0,
IF(
OR(
V114=MIN(_xlfn._xlws.FILTER($V$2:$V$298,($P$2:$P$298=P114)*($N$2:$N$298=N114)*($AL$2:$AL$298&lt;&gt;0))),
V114=MAX(_xlfn._xlws.FILTER($V$2:$V$298,($P$2:$P$298=P114)*($N$2:$N$298=N114)*($AL$2:$AL$298&lt;&gt;0))),
ROWS(_xlfn._xlws.FILTER($V$2:$V$298,($P$2:$P$298=P114)*($N$2:$N$298=N114)*($AL$2:$AL$298&lt;&gt;0)))&lt;=2
),1,0),0)</f>
        <v>0</v>
      </c>
      <c r="AN114" s="138"/>
      <c r="AO114" s="69"/>
      <c r="AP114" s="69"/>
    </row>
    <row r="115" spans="1:42" s="70" customFormat="1" x14ac:dyDescent="0.2">
      <c r="A115" s="82" t="s">
        <v>209</v>
      </c>
      <c r="B115" s="232"/>
      <c r="C115" s="96">
        <v>114</v>
      </c>
      <c r="D115" s="236" t="s">
        <v>78</v>
      </c>
      <c r="E115" s="89" t="s">
        <v>79</v>
      </c>
      <c r="F115" s="89"/>
      <c r="G115" s="226">
        <v>43759</v>
      </c>
      <c r="H115" s="233">
        <v>46150</v>
      </c>
      <c r="I115" s="230" t="s">
        <v>169</v>
      </c>
      <c r="J115" s="234" t="s">
        <v>169</v>
      </c>
      <c r="K115" s="235" t="s">
        <v>50</v>
      </c>
      <c r="L115" s="236" t="s">
        <v>323</v>
      </c>
      <c r="M115" s="69" t="s">
        <v>316</v>
      </c>
      <c r="N115" s="237" t="s">
        <v>317</v>
      </c>
      <c r="O115" s="69" t="s">
        <v>415</v>
      </c>
      <c r="P115" s="230" t="s">
        <v>0</v>
      </c>
      <c r="Q115" s="230">
        <v>7850</v>
      </c>
      <c r="R115" s="89" t="s">
        <v>415</v>
      </c>
      <c r="S115" s="89" t="s">
        <v>415</v>
      </c>
      <c r="T115" s="89" t="s">
        <v>415</v>
      </c>
      <c r="U115" s="173" t="s">
        <v>415</v>
      </c>
      <c r="V115" s="81">
        <f>Table24[[#This Row],[A1toA3_GWP]]+Table24[[#This Row],[C1toC4_GWP]]</f>
        <v>658.93</v>
      </c>
      <c r="W115" s="107">
        <f>VLOOKUP(Table24[[#This Row],[Country PRODUCTION]],[2]Sheet1!$B$11:$F$30,4,FALSE)+Table24[[#This Row],[Total_GWP]]</f>
        <v>811.03</v>
      </c>
      <c r="X115" s="107">
        <f>VLOOKUP(Table24[[#This Row],[Country PRODUCTION]],[2]Sheet1!$B$11:$F$30,5,FALSE)+Table24[[#This Row],[Total_GWP]]</f>
        <v>674.53</v>
      </c>
      <c r="Y115" s="81">
        <f>Table24[[#This Row],[Total_GWP]]*Table24[[#This Row],[DENSITY]]/1000</f>
        <v>5172.6004999999996</v>
      </c>
      <c r="Z115" s="238">
        <v>615</v>
      </c>
      <c r="AA115" s="88">
        <f>2.15+40.6+1.18</f>
        <v>43.93</v>
      </c>
      <c r="AB115" s="77"/>
      <c r="AC115" s="77"/>
      <c r="AD115" s="77"/>
      <c r="AE115" s="76"/>
      <c r="AF115" s="81"/>
      <c r="AG115" s="87"/>
      <c r="AH115" s="129"/>
      <c r="AI115" s="76"/>
      <c r="AJ115" s="385">
        <f ca="1">IF(OR($E115="Ecoinvent",$E115="Betonsortenrechner",$E115="KBOB",$V115&lt;=0,Table24[[#This Row],[VALID_TO]]&lt;=TODAY()),0,1)</f>
        <v>0</v>
      </c>
      <c r="AK115" s="199">
        <v>1</v>
      </c>
      <c r="AL115" s="199">
        <f ca="1">IF(AND(Table24[[#This Row],[ValidEPD]]&lt;&gt;0,Table24[[#This Row],[Man_Ausschluss]]&lt;&gt;0),1,0)</f>
        <v>0</v>
      </c>
      <c r="AM115" s="17" cm="1">
        <f t="array" aca="1" ref="AM115" ca="1">IF(Table24[[#This Row],[gültig]]&lt;&gt;0,
IF(
OR(
V115=MIN(_xlfn._xlws.FILTER($V$2:$V$298,($P$2:$P$298=P115)*($N$2:$N$298=N115)*($AL$2:$AL$298&lt;&gt;0))),
V115=MAX(_xlfn._xlws.FILTER($V$2:$V$298,($P$2:$P$298=P115)*($N$2:$N$298=N115)*($AL$2:$AL$298&lt;&gt;0))),
ROWS(_xlfn._xlws.FILTER($V$2:$V$298,($P$2:$P$298=P115)*($N$2:$N$298=N115)*($AL$2:$AL$298&lt;&gt;0)))&lt;=2
),1,0),0)</f>
        <v>0</v>
      </c>
      <c r="AN115" s="138"/>
      <c r="AO115" s="69"/>
      <c r="AP115" s="69"/>
    </row>
    <row r="116" spans="1:42" x14ac:dyDescent="0.2">
      <c r="A116" s="161" t="s">
        <v>214</v>
      </c>
      <c r="B116" s="9"/>
      <c r="C116" s="100">
        <v>115</v>
      </c>
      <c r="D116" s="228" t="s">
        <v>215</v>
      </c>
      <c r="E116" s="162" t="s">
        <v>216</v>
      </c>
      <c r="F116" s="162"/>
      <c r="G116" s="226">
        <v>43420</v>
      </c>
      <c r="H116" s="163">
        <v>45245</v>
      </c>
      <c r="I116" s="84" t="s">
        <v>292</v>
      </c>
      <c r="J116" s="164" t="s">
        <v>292</v>
      </c>
      <c r="K116" s="165" t="s">
        <v>50</v>
      </c>
      <c r="L116" s="228" t="s">
        <v>323</v>
      </c>
      <c r="M116" s="1" t="s">
        <v>316</v>
      </c>
      <c r="N116" s="229" t="s">
        <v>317</v>
      </c>
      <c r="O116" s="1" t="s">
        <v>415</v>
      </c>
      <c r="P116" s="230" t="s">
        <v>0</v>
      </c>
      <c r="Q116" s="84">
        <v>7850</v>
      </c>
      <c r="R116" s="162" t="s">
        <v>415</v>
      </c>
      <c r="S116" s="162" t="s">
        <v>415</v>
      </c>
      <c r="T116" s="162" t="s">
        <v>415</v>
      </c>
      <c r="U116" s="168" t="s">
        <v>415</v>
      </c>
      <c r="V116" s="80">
        <f>SUM(Table24[[#This Row],[A1toA3_GWP]:[C1toC4_GWP]])</f>
        <v>527</v>
      </c>
      <c r="W116" s="107">
        <f>VLOOKUP(Table24[[#This Row],[Country PRODUCTION]],[2]Sheet1!$B$11:$F$30,4,FALSE)+Table24[[#This Row],[Total_GWP]]</f>
        <v>620.6</v>
      </c>
      <c r="X116" s="107">
        <f>VLOOKUP(Table24[[#This Row],[Country PRODUCTION]],[2]Sheet1!$B$11:$F$30,5,FALSE)+Table24[[#This Row],[Total_GWP]]</f>
        <v>536.6</v>
      </c>
      <c r="Y116" s="81">
        <f>Table24[[#This Row],[Total_GWP]]*Table24[[#This Row],[DENSITY]]/1000</f>
        <v>4136.95</v>
      </c>
      <c r="Z116" s="238">
        <f>403+39+85</f>
        <v>527</v>
      </c>
      <c r="AA116" s="88" t="s">
        <v>159</v>
      </c>
      <c r="AB116" s="77"/>
      <c r="AC116" s="77"/>
      <c r="AD116" s="77"/>
      <c r="AE116" s="76"/>
      <c r="AF116" s="81"/>
      <c r="AG116" s="87"/>
      <c r="AH116" s="129"/>
      <c r="AI116" s="76"/>
      <c r="AJ116" s="385">
        <f ca="1">IF(OR($E116="Ecoinvent",$E116="Betonsortenrechner",$E116="KBOB",$V116&lt;=0,Table24[[#This Row],[VALID_TO]]&lt;=TODAY()),0,1)</f>
        <v>0</v>
      </c>
      <c r="AK116" s="199">
        <v>1</v>
      </c>
      <c r="AL116" s="199">
        <f ca="1">IF(AND(Table24[[#This Row],[ValidEPD]]&lt;&gt;0,Table24[[#This Row],[Man_Ausschluss]]&lt;&gt;0),1,0)</f>
        <v>0</v>
      </c>
      <c r="AM116" s="17" cm="1">
        <f t="array" aca="1" ref="AM116" ca="1">IF(Table24[[#This Row],[gültig]]&lt;&gt;0,
IF(
OR(
V116=MIN(_xlfn._xlws.FILTER($V$2:$V$298,($P$2:$P$298=P116)*($N$2:$N$298=N116)*($AL$2:$AL$298&lt;&gt;0))),
V116=MAX(_xlfn._xlws.FILTER($V$2:$V$298,($P$2:$P$298=P116)*($N$2:$N$298=N116)*($AL$2:$AL$298&lt;&gt;0))),
ROWS(_xlfn._xlws.FILTER($V$2:$V$298,($P$2:$P$298=P116)*($N$2:$N$298=N116)*($AL$2:$AL$298&lt;&gt;0)))&lt;=2
),1,0),0)</f>
        <v>0</v>
      </c>
      <c r="AN116" s="138"/>
      <c r="AO116" s="1"/>
      <c r="AP116" s="1"/>
    </row>
    <row r="117" spans="1:42" s="70" customFormat="1" x14ac:dyDescent="0.2">
      <c r="A117" s="82" t="s">
        <v>549</v>
      </c>
      <c r="B117" s="232"/>
      <c r="C117" s="96">
        <v>116</v>
      </c>
      <c r="D117" s="236" t="s">
        <v>551</v>
      </c>
      <c r="E117" s="89" t="s">
        <v>552</v>
      </c>
      <c r="F117" s="89"/>
      <c r="G117" s="226">
        <v>45763</v>
      </c>
      <c r="H117" s="233">
        <v>47588</v>
      </c>
      <c r="I117" s="230" t="s">
        <v>51</v>
      </c>
      <c r="J117" s="234" t="s">
        <v>51</v>
      </c>
      <c r="K117" s="165" t="s">
        <v>775</v>
      </c>
      <c r="L117" s="228" t="s">
        <v>323</v>
      </c>
      <c r="M117" s="69" t="s">
        <v>316</v>
      </c>
      <c r="N117" s="237" t="s">
        <v>317</v>
      </c>
      <c r="O117" s="69" t="s">
        <v>415</v>
      </c>
      <c r="P117" s="230" t="s">
        <v>553</v>
      </c>
      <c r="Q117" s="230">
        <v>7850</v>
      </c>
      <c r="R117" s="89" t="s">
        <v>415</v>
      </c>
      <c r="S117" s="89" t="s">
        <v>415</v>
      </c>
      <c r="T117" s="89" t="s">
        <v>415</v>
      </c>
      <c r="U117" s="173" t="s">
        <v>415</v>
      </c>
      <c r="V117" s="81">
        <f>SUM(Table24[[#This Row],[A1toA3_GWP]:[C1toC4_GWP]])</f>
        <v>572.36900000000003</v>
      </c>
      <c r="W117" s="107">
        <f>VLOOKUP(Table24[[#This Row],[Country PRODUCTION]],[2]Sheet1!$B$11:$F$30,4,FALSE)+Table24[[#This Row],[Total_GWP]]</f>
        <v>577.04899999999998</v>
      </c>
      <c r="X117" s="107">
        <f>VLOOKUP(Table24[[#This Row],[Country PRODUCTION]],[2]Sheet1!$B$11:$F$30,5,FALSE)+Table24[[#This Row],[Total_GWP]]</f>
        <v>572.84900000000005</v>
      </c>
      <c r="Y117" s="81">
        <f>Table24[[#This Row],[Total_GWP]]*Table24[[#This Row],[DENSITY]]/1000</f>
        <v>4493.0966500000004</v>
      </c>
      <c r="Z117" s="238">
        <v>562</v>
      </c>
      <c r="AA117" s="88">
        <f>0.445+7.5+0.114+2.31</f>
        <v>10.369000000000002</v>
      </c>
      <c r="AB117" s="77"/>
      <c r="AC117" s="77"/>
      <c r="AD117" s="77"/>
      <c r="AE117" s="76"/>
      <c r="AF117" s="81"/>
      <c r="AG117" s="87"/>
      <c r="AH117" s="87"/>
      <c r="AI117" s="76"/>
      <c r="AJ117" s="385">
        <f ca="1">IF(OR($E117="Ecoinvent",$E117="Betonsortenrechner",$E117="KBOB",$V117&lt;=0,Table24[[#This Row],[VALID_TO]]&lt;=TODAY()),0,1)</f>
        <v>1</v>
      </c>
      <c r="AK117" s="199">
        <v>1</v>
      </c>
      <c r="AL117" s="199">
        <f ca="1">IF(AND(Table24[[#This Row],[ValidEPD]]&lt;&gt;0,Table24[[#This Row],[Man_Ausschluss]]&lt;&gt;0),1,0)</f>
        <v>1</v>
      </c>
      <c r="AM117" s="17" cm="1">
        <f t="array" aca="1" ref="AM117" ca="1">IF(Table24[[#This Row],[gültig]]&lt;&gt;0,
IF(
OR(
V117=MIN(_xlfn._xlws.FILTER($V$2:$V$298,($P$2:$P$298=P117)*($N$2:$N$298=N117)*($AL$2:$AL$298&lt;&gt;0))),
V117=MAX(_xlfn._xlws.FILTER($V$2:$V$298,($P$2:$P$298=P117)*($N$2:$N$298=N117)*($AL$2:$AL$298&lt;&gt;0))),
ROWS(_xlfn._xlws.FILTER($V$2:$V$298,($P$2:$P$298=P117)*($N$2:$N$298=N117)*($AL$2:$AL$298&lt;&gt;0)))&lt;=2
),1,0),0)</f>
        <v>1</v>
      </c>
      <c r="AN117" s="138"/>
      <c r="AO117" s="69"/>
      <c r="AP117" s="69"/>
    </row>
    <row r="118" spans="1:42" s="70" customFormat="1" x14ac:dyDescent="0.2">
      <c r="A118" s="82" t="s">
        <v>550</v>
      </c>
      <c r="B118" s="232"/>
      <c r="C118" s="96">
        <v>117</v>
      </c>
      <c r="D118" s="236" t="s">
        <v>554</v>
      </c>
      <c r="E118" s="89" t="s">
        <v>552</v>
      </c>
      <c r="F118" s="89"/>
      <c r="G118" s="226">
        <v>45833</v>
      </c>
      <c r="H118" s="233">
        <v>47658</v>
      </c>
      <c r="I118" s="230" t="s">
        <v>51</v>
      </c>
      <c r="J118" s="234" t="s">
        <v>51</v>
      </c>
      <c r="K118" s="165" t="s">
        <v>50</v>
      </c>
      <c r="L118" s="228" t="s">
        <v>323</v>
      </c>
      <c r="M118" s="69" t="s">
        <v>316</v>
      </c>
      <c r="N118" s="237" t="s">
        <v>317</v>
      </c>
      <c r="O118" s="69" t="s">
        <v>415</v>
      </c>
      <c r="P118" s="230" t="s">
        <v>555</v>
      </c>
      <c r="Q118" s="230">
        <v>7850</v>
      </c>
      <c r="R118" s="89" t="s">
        <v>415</v>
      </c>
      <c r="S118" s="89" t="s">
        <v>415</v>
      </c>
      <c r="T118" s="89" t="s">
        <v>415</v>
      </c>
      <c r="U118" s="173" t="s">
        <v>415</v>
      </c>
      <c r="V118" s="81">
        <f>SUM(Table24[[#This Row],[A1toA3_GWP]:[C1toC4_GWP]])</f>
        <v>3650.4090000000001</v>
      </c>
      <c r="W118" s="107">
        <f>VLOOKUP(Table24[[#This Row],[Country PRODUCTION]],[2]Sheet1!$B$11:$F$30,4,FALSE)+Table24[[#This Row],[Total_GWP]]</f>
        <v>3655.0889999999999</v>
      </c>
      <c r="X118" s="107">
        <f>VLOOKUP(Table24[[#This Row],[Country PRODUCTION]],[2]Sheet1!$B$11:$F$30,5,FALSE)+Table24[[#This Row],[Total_GWP]]</f>
        <v>3650.8890000000001</v>
      </c>
      <c r="Y118" s="81">
        <f>Table24[[#This Row],[Total_GWP]]*Table24[[#This Row],[DENSITY]]/1000</f>
        <v>28655.710650000001</v>
      </c>
      <c r="Z118" s="238">
        <v>3640</v>
      </c>
      <c r="AA118" s="88">
        <f>0.445+7.5+0.114+2.35</f>
        <v>10.409000000000001</v>
      </c>
      <c r="AB118" s="77"/>
      <c r="AC118" s="77"/>
      <c r="AD118" s="77"/>
      <c r="AE118" s="76"/>
      <c r="AF118" s="81"/>
      <c r="AG118" s="87"/>
      <c r="AH118" s="87"/>
      <c r="AI118" s="76"/>
      <c r="AJ118" s="385">
        <f ca="1">IF(OR($E118="Ecoinvent",$E118="Betonsortenrechner",$E118="KBOB",$V118&lt;=0,Table24[[#This Row],[VALID_TO]]&lt;=TODAY()),0,1)</f>
        <v>1</v>
      </c>
      <c r="AK118" s="199">
        <v>1</v>
      </c>
      <c r="AL118" s="199">
        <f ca="1">IF(AND(Table24[[#This Row],[ValidEPD]]&lt;&gt;0,Table24[[#This Row],[Man_Ausschluss]]&lt;&gt;0),1,0)</f>
        <v>1</v>
      </c>
      <c r="AM118" s="17" cm="1">
        <f t="array" aca="1" ref="AM118" ca="1">IF(Table24[[#This Row],[gültig]]&lt;&gt;0,
IF(
OR(
V118=MIN(_xlfn._xlws.FILTER($V$2:$V$298,($P$2:$P$298=P118)*($N$2:$N$298=N118)*($AL$2:$AL$298&lt;&gt;0))),
V118=MAX(_xlfn._xlws.FILTER($V$2:$V$298,($P$2:$P$298=P118)*($N$2:$N$298=N118)*($AL$2:$AL$298&lt;&gt;0))),
ROWS(_xlfn._xlws.FILTER($V$2:$V$298,($P$2:$P$298=P118)*($N$2:$N$298=N118)*($AL$2:$AL$298&lt;&gt;0)))&lt;=2
),1,0),0)</f>
        <v>1</v>
      </c>
      <c r="AN118" s="138"/>
      <c r="AO118" s="69"/>
      <c r="AP118" s="69"/>
    </row>
    <row r="119" spans="1:42" x14ac:dyDescent="0.2">
      <c r="A119" s="135" t="s">
        <v>749</v>
      </c>
      <c r="B119" s="9" t="s">
        <v>502</v>
      </c>
      <c r="C119" s="96">
        <v>118</v>
      </c>
      <c r="D119" s="236" t="s">
        <v>751</v>
      </c>
      <c r="E119" s="89" t="s">
        <v>132</v>
      </c>
      <c r="F119" s="169"/>
      <c r="G119" s="226">
        <v>44664</v>
      </c>
      <c r="H119" s="233">
        <v>46489</v>
      </c>
      <c r="I119" s="104" t="s">
        <v>51</v>
      </c>
      <c r="J119" s="164" t="s">
        <v>773</v>
      </c>
      <c r="K119" s="171" t="s">
        <v>50</v>
      </c>
      <c r="L119" s="228" t="s">
        <v>323</v>
      </c>
      <c r="M119" s="69" t="s">
        <v>316</v>
      </c>
      <c r="N119" s="237" t="s">
        <v>317</v>
      </c>
      <c r="O119" s="69" t="s">
        <v>415</v>
      </c>
      <c r="P119" s="104">
        <v>460</v>
      </c>
      <c r="Q119" s="104">
        <v>7850</v>
      </c>
      <c r="R119" s="89" t="s">
        <v>415</v>
      </c>
      <c r="S119" s="89" t="s">
        <v>415</v>
      </c>
      <c r="T119" s="89" t="s">
        <v>415</v>
      </c>
      <c r="U119" s="173" t="s">
        <v>415</v>
      </c>
      <c r="V119" s="81">
        <f>SUM(Table24[[#This Row],[A1toA3_GWP]:[C1toC4_GWP]])</f>
        <v>821.03</v>
      </c>
      <c r="W119" s="107">
        <f>VLOOKUP("DE",[2]Sheet1!$B$11:$F$30,4,FALSE)+Table24[[#This Row],[Total_GWP]]</f>
        <v>897.07999999999993</v>
      </c>
      <c r="X119" s="107">
        <f>VLOOKUP("DE",[2]Sheet1!$B$11:$F$30,5,FALSE)+Table24[[#This Row],[Total_GWP]]</f>
        <v>828.82999999999993</v>
      </c>
      <c r="Y119" s="81">
        <f>Table24[[#This Row],[Total_GWP]]*Table24[[#This Row],[DENSITY]]/1000</f>
        <v>6445.0855000000001</v>
      </c>
      <c r="Z119" s="239">
        <v>818</v>
      </c>
      <c r="AA119" s="103">
        <f t="shared" ref="AA119:AA124" si="0">1.6+1.43</f>
        <v>3.0300000000000002</v>
      </c>
      <c r="AB119" s="73"/>
      <c r="AC119" s="73"/>
      <c r="AD119" s="73"/>
      <c r="AE119" s="75"/>
      <c r="AF119" s="107"/>
      <c r="AG119" s="129"/>
      <c r="AH119" s="129"/>
      <c r="AI119" s="75"/>
      <c r="AJ119" s="385">
        <f ca="1">IF(OR($E119="Ecoinvent",$E119="Betonsortenrechner",$E119="KBOB",$V119&lt;=0,Table24[[#This Row],[VALID_TO]]&lt;=TODAY()),0,1)</f>
        <v>1</v>
      </c>
      <c r="AK119" s="199">
        <v>1</v>
      </c>
      <c r="AL119" s="199">
        <f ca="1">IF(AND(Table24[[#This Row],[ValidEPD]]&lt;&gt;0,Table24[[#This Row],[Man_Ausschluss]]&lt;&gt;0),1,0)</f>
        <v>1</v>
      </c>
      <c r="AM119" s="17" cm="1">
        <f t="array" aca="1" ref="AM119" ca="1">IF(Table24[[#This Row],[gültig]]&lt;&gt;0,
IF(
OR(
V119=MIN(_xlfn._xlws.FILTER($V$2:$V$298,($P$2:$P$298=P119)*($N$2:$N$298=N119)*($AL$2:$AL$298&lt;&gt;0))),
V119=MAX(_xlfn._xlws.FILTER($V$2:$V$298,($P$2:$P$298=P119)*($N$2:$N$298=N119)*($AL$2:$AL$298&lt;&gt;0))),
ROWS(_xlfn._xlws.FILTER($V$2:$V$298,($P$2:$P$298=P119)*($N$2:$N$298=N119)*($AL$2:$AL$298&lt;&gt;0)))&lt;=2
),1,0),0)</f>
        <v>1</v>
      </c>
      <c r="AN119" s="138"/>
      <c r="AO119" s="102"/>
      <c r="AP119" s="1"/>
    </row>
    <row r="120" spans="1:42" x14ac:dyDescent="0.2">
      <c r="A120" s="135" t="s">
        <v>749</v>
      </c>
      <c r="B120" s="9" t="s">
        <v>518</v>
      </c>
      <c r="C120" s="96">
        <v>119</v>
      </c>
      <c r="D120" s="236" t="s">
        <v>751</v>
      </c>
      <c r="E120" s="89" t="s">
        <v>132</v>
      </c>
      <c r="F120" s="169"/>
      <c r="G120" s="226">
        <v>44664</v>
      </c>
      <c r="H120" s="233">
        <v>46489</v>
      </c>
      <c r="I120" s="104" t="s">
        <v>51</v>
      </c>
      <c r="J120" s="164" t="s">
        <v>773</v>
      </c>
      <c r="K120" s="171" t="s">
        <v>50</v>
      </c>
      <c r="L120" s="228" t="s">
        <v>323</v>
      </c>
      <c r="M120" s="69" t="s">
        <v>316</v>
      </c>
      <c r="N120" s="237" t="s">
        <v>317</v>
      </c>
      <c r="O120" s="69" t="s">
        <v>415</v>
      </c>
      <c r="P120" s="104">
        <v>900</v>
      </c>
      <c r="Q120" s="104">
        <v>7850</v>
      </c>
      <c r="R120" s="89" t="s">
        <v>415</v>
      </c>
      <c r="S120" s="89" t="s">
        <v>415</v>
      </c>
      <c r="T120" s="89" t="s">
        <v>415</v>
      </c>
      <c r="U120" s="173" t="s">
        <v>415</v>
      </c>
      <c r="V120" s="81">
        <f>SUM(Table24[[#This Row],[A1toA3_GWP]:[C1toC4_GWP]])</f>
        <v>821.03</v>
      </c>
      <c r="W120" s="107">
        <f>VLOOKUP("DE",[2]Sheet1!$B$11:$F$30,4,FALSE)+Table24[[#This Row],[Total_GWP]]</f>
        <v>897.07999999999993</v>
      </c>
      <c r="X120" s="107">
        <f>VLOOKUP("DE",[2]Sheet1!$B$11:$F$30,5,FALSE)+Table24[[#This Row],[Total_GWP]]</f>
        <v>828.82999999999993</v>
      </c>
      <c r="Y120" s="81">
        <f>Table24[[#This Row],[Total_GWP]]*Table24[[#This Row],[DENSITY]]/1000</f>
        <v>6445.0855000000001</v>
      </c>
      <c r="Z120" s="239">
        <v>818</v>
      </c>
      <c r="AA120" s="103">
        <f t="shared" si="0"/>
        <v>3.0300000000000002</v>
      </c>
      <c r="AB120" s="73"/>
      <c r="AC120" s="73"/>
      <c r="AD120" s="73"/>
      <c r="AE120" s="75"/>
      <c r="AF120" s="107"/>
      <c r="AG120" s="129"/>
      <c r="AH120" s="129"/>
      <c r="AI120" s="75"/>
      <c r="AJ120" s="385">
        <f ca="1">IF(OR($E120="Ecoinvent",$E120="Betonsortenrechner",$E120="KBOB",$V120&lt;=0,Table24[[#This Row],[VALID_TO]]&lt;=TODAY()),0,1)</f>
        <v>1</v>
      </c>
      <c r="AK120" s="199">
        <v>1</v>
      </c>
      <c r="AL120" s="199">
        <f ca="1">IF(AND(Table24[[#This Row],[ValidEPD]]&lt;&gt;0,Table24[[#This Row],[Man_Ausschluss]]&lt;&gt;0),1,0)</f>
        <v>1</v>
      </c>
      <c r="AM120" s="17" cm="1">
        <f t="array" aca="1" ref="AM120" ca="1">IF(Table24[[#This Row],[gültig]]&lt;&gt;0,
IF(
OR(
V120=MIN(_xlfn._xlws.FILTER($V$2:$V$298,($P$2:$P$298=P120)*($N$2:$N$298=N120)*($AL$2:$AL$298&lt;&gt;0))),
V120=MAX(_xlfn._xlws.FILTER($V$2:$V$298,($P$2:$P$298=P120)*($N$2:$N$298=N120)*($AL$2:$AL$298&lt;&gt;0))),
ROWS(_xlfn._xlws.FILTER($V$2:$V$298,($P$2:$P$298=P120)*($N$2:$N$298=N120)*($AL$2:$AL$298&lt;&gt;0)))&lt;=2
),1,0),0)</f>
        <v>1</v>
      </c>
      <c r="AN120" s="138"/>
      <c r="AO120" s="102"/>
      <c r="AP120" s="1"/>
    </row>
    <row r="121" spans="1:42" x14ac:dyDescent="0.2">
      <c r="A121" s="135" t="s">
        <v>749</v>
      </c>
      <c r="B121" s="9" t="s">
        <v>519</v>
      </c>
      <c r="C121" s="96">
        <v>120</v>
      </c>
      <c r="D121" s="236" t="s">
        <v>751</v>
      </c>
      <c r="E121" s="89" t="s">
        <v>132</v>
      </c>
      <c r="F121" s="169"/>
      <c r="G121" s="226">
        <v>44664</v>
      </c>
      <c r="H121" s="233">
        <v>46489</v>
      </c>
      <c r="I121" s="104" t="s">
        <v>51</v>
      </c>
      <c r="J121" s="164" t="s">
        <v>773</v>
      </c>
      <c r="K121" s="171" t="s">
        <v>50</v>
      </c>
      <c r="L121" s="228" t="s">
        <v>323</v>
      </c>
      <c r="M121" s="69" t="s">
        <v>316</v>
      </c>
      <c r="N121" s="237" t="s">
        <v>317</v>
      </c>
      <c r="O121" s="69" t="s">
        <v>415</v>
      </c>
      <c r="P121" s="84" t="s">
        <v>0</v>
      </c>
      <c r="Q121" s="104">
        <v>7850</v>
      </c>
      <c r="R121" s="89" t="s">
        <v>415</v>
      </c>
      <c r="S121" s="89" t="s">
        <v>415</v>
      </c>
      <c r="T121" s="89" t="s">
        <v>415</v>
      </c>
      <c r="U121" s="173" t="s">
        <v>415</v>
      </c>
      <c r="V121" s="81">
        <f>SUM(Table24[[#This Row],[A1toA3_GWP]:[C1toC4_GWP]])</f>
        <v>821.03</v>
      </c>
      <c r="W121" s="107">
        <f>VLOOKUP("DE",[2]Sheet1!$B$11:$F$30,4,FALSE)+Table24[[#This Row],[Total_GWP]]</f>
        <v>897.07999999999993</v>
      </c>
      <c r="X121" s="107">
        <f>VLOOKUP("DE",[2]Sheet1!$B$11:$F$30,5,FALSE)+Table24[[#This Row],[Total_GWP]]</f>
        <v>828.82999999999993</v>
      </c>
      <c r="Y121" s="81">
        <f>Table24[[#This Row],[Total_GWP]]*Table24[[#This Row],[DENSITY]]/1000</f>
        <v>6445.0855000000001</v>
      </c>
      <c r="Z121" s="239">
        <v>818</v>
      </c>
      <c r="AA121" s="103">
        <f t="shared" si="0"/>
        <v>3.0300000000000002</v>
      </c>
      <c r="AB121" s="73"/>
      <c r="AC121" s="73"/>
      <c r="AD121" s="73"/>
      <c r="AE121" s="75"/>
      <c r="AF121" s="107"/>
      <c r="AG121" s="129"/>
      <c r="AH121" s="129"/>
      <c r="AI121" s="75"/>
      <c r="AJ121" s="385">
        <f ca="1">IF(OR($E121="Ecoinvent",$E121="Betonsortenrechner",$E121="KBOB",$V121&lt;=0,Table24[[#This Row],[VALID_TO]]&lt;=TODAY()),0,1)</f>
        <v>1</v>
      </c>
      <c r="AK121" s="199">
        <v>1</v>
      </c>
      <c r="AL121" s="199">
        <f ca="1">IF(AND(Table24[[#This Row],[ValidEPD]]&lt;&gt;0,Table24[[#This Row],[Man_Ausschluss]]&lt;&gt;0),1,0)</f>
        <v>1</v>
      </c>
      <c r="AM121" s="17" cm="1">
        <f t="array" aca="1" ref="AM121" ca="1">IF(Table24[[#This Row],[gültig]]&lt;&gt;0,
IF(
OR(
V121=MIN(_xlfn._xlws.FILTER($V$2:$V$298,($P$2:$P$298=P121)*($N$2:$N$298=N121)*($AL$2:$AL$298&lt;&gt;0))),
V121=MAX(_xlfn._xlws.FILTER($V$2:$V$298,($P$2:$P$298=P121)*($N$2:$N$298=N121)*($AL$2:$AL$298&lt;&gt;0))),
ROWS(_xlfn._xlws.FILTER($V$2:$V$298,($P$2:$P$298=P121)*($N$2:$N$298=N121)*($AL$2:$AL$298&lt;&gt;0)))&lt;=2
),1,0),0)</f>
        <v>1</v>
      </c>
      <c r="AN121" s="138"/>
      <c r="AO121" s="102"/>
      <c r="AP121" s="1"/>
    </row>
    <row r="122" spans="1:42" x14ac:dyDescent="0.2">
      <c r="A122" s="135" t="s">
        <v>750</v>
      </c>
      <c r="B122" s="9" t="s">
        <v>502</v>
      </c>
      <c r="C122" s="96">
        <v>121</v>
      </c>
      <c r="D122" s="236" t="s">
        <v>752</v>
      </c>
      <c r="E122" s="89" t="s">
        <v>132</v>
      </c>
      <c r="F122" s="169"/>
      <c r="G122" s="226">
        <v>44498</v>
      </c>
      <c r="H122" s="233">
        <v>46323</v>
      </c>
      <c r="I122" s="104" t="s">
        <v>51</v>
      </c>
      <c r="J122" s="164" t="s">
        <v>774</v>
      </c>
      <c r="K122" s="171" t="s">
        <v>753</v>
      </c>
      <c r="L122" s="228" t="s">
        <v>323</v>
      </c>
      <c r="M122" s="69" t="s">
        <v>316</v>
      </c>
      <c r="N122" s="237" t="s">
        <v>317</v>
      </c>
      <c r="O122" s="69" t="s">
        <v>415</v>
      </c>
      <c r="P122" s="104">
        <v>460</v>
      </c>
      <c r="Q122" s="104">
        <v>7850</v>
      </c>
      <c r="R122" s="89" t="s">
        <v>415</v>
      </c>
      <c r="S122" s="89" t="s">
        <v>415</v>
      </c>
      <c r="T122" s="89" t="s">
        <v>415</v>
      </c>
      <c r="U122" s="173" t="s">
        <v>415</v>
      </c>
      <c r="V122" s="81">
        <f>SUM(Table24[[#This Row],[A1toA3_GWP]:[C1toC4_GWP]])</f>
        <v>303.02999999999997</v>
      </c>
      <c r="W122" s="107">
        <f>VLOOKUP(Table24[[#This Row],[Country PRODUCTION]],[2]Sheet1!$B$11:$F$30,4,FALSE)+Table24[[#This Row],[Total_GWP]]</f>
        <v>455.13</v>
      </c>
      <c r="X122" s="107">
        <f>VLOOKUP(Table24[[#This Row],[Country PRODUCTION]],[2]Sheet1!$B$11:$F$30,5,FALSE)+Table24[[#This Row],[Total_GWP]]</f>
        <v>318.63</v>
      </c>
      <c r="Y122" s="81">
        <f>Table24[[#This Row],[Total_GWP]]*Table24[[#This Row],[DENSITY]]/1000</f>
        <v>2378.7855</v>
      </c>
      <c r="Z122" s="239">
        <v>300</v>
      </c>
      <c r="AA122" s="103">
        <f t="shared" si="0"/>
        <v>3.0300000000000002</v>
      </c>
      <c r="AB122" s="73"/>
      <c r="AC122" s="73"/>
      <c r="AD122" s="73"/>
      <c r="AE122" s="75"/>
      <c r="AF122" s="107"/>
      <c r="AG122" s="129"/>
      <c r="AH122" s="129"/>
      <c r="AI122" s="75"/>
      <c r="AJ122" s="385">
        <f ca="1">IF(OR($E122="Ecoinvent",$E122="Betonsortenrechner",$E122="KBOB",$V122&lt;=0,Table24[[#This Row],[VALID_TO]]&lt;=TODAY()),0,1)</f>
        <v>1</v>
      </c>
      <c r="AK122" s="199">
        <v>1</v>
      </c>
      <c r="AL122" s="199">
        <f ca="1">IF(AND(Table24[[#This Row],[ValidEPD]]&lt;&gt;0,Table24[[#This Row],[Man_Ausschluss]]&lt;&gt;0),1,0)</f>
        <v>1</v>
      </c>
      <c r="AM122" s="17" cm="1">
        <f t="array" aca="1" ref="AM122" ca="1">IF(Table24[[#This Row],[gültig]]&lt;&gt;0,
IF(
OR(
V122=MIN(_xlfn._xlws.FILTER($V$2:$V$298,($P$2:$P$298=P122)*($N$2:$N$298=N122)*($AL$2:$AL$298&lt;&gt;0))),
V122=MAX(_xlfn._xlws.FILTER($V$2:$V$298,($P$2:$P$298=P122)*($N$2:$N$298=N122)*($AL$2:$AL$298&lt;&gt;0))),
ROWS(_xlfn._xlws.FILTER($V$2:$V$298,($P$2:$P$298=P122)*($N$2:$N$298=N122)*($AL$2:$AL$298&lt;&gt;0)))&lt;=2
),1,0),0)</f>
        <v>1</v>
      </c>
      <c r="AN122" s="138"/>
      <c r="AO122" s="102"/>
      <c r="AP122" s="1"/>
    </row>
    <row r="123" spans="1:42" x14ac:dyDescent="0.2">
      <c r="A123" s="135" t="s">
        <v>750</v>
      </c>
      <c r="B123" s="9" t="s">
        <v>518</v>
      </c>
      <c r="C123" s="96">
        <v>122</v>
      </c>
      <c r="D123" s="236" t="s">
        <v>752</v>
      </c>
      <c r="E123" s="89" t="s">
        <v>132</v>
      </c>
      <c r="F123" s="169"/>
      <c r="G123" s="226">
        <v>44498</v>
      </c>
      <c r="H123" s="233">
        <v>46323</v>
      </c>
      <c r="I123" s="104" t="s">
        <v>51</v>
      </c>
      <c r="J123" s="164" t="s">
        <v>774</v>
      </c>
      <c r="K123" s="171" t="s">
        <v>753</v>
      </c>
      <c r="L123" s="228" t="s">
        <v>323</v>
      </c>
      <c r="M123" s="69" t="s">
        <v>316</v>
      </c>
      <c r="N123" s="237" t="s">
        <v>317</v>
      </c>
      <c r="O123" s="69" t="s">
        <v>415</v>
      </c>
      <c r="P123" s="104">
        <v>900</v>
      </c>
      <c r="Q123" s="104">
        <v>7850</v>
      </c>
      <c r="R123" s="89" t="s">
        <v>415</v>
      </c>
      <c r="S123" s="89" t="s">
        <v>415</v>
      </c>
      <c r="T123" s="89" t="s">
        <v>415</v>
      </c>
      <c r="U123" s="173" t="s">
        <v>415</v>
      </c>
      <c r="V123" s="81">
        <f>SUM(Table24[[#This Row],[A1toA3_GWP]:[C1toC4_GWP]])</f>
        <v>303.02999999999997</v>
      </c>
      <c r="W123" s="107">
        <f>VLOOKUP(Table24[[#This Row],[Country PRODUCTION]],[2]Sheet1!$B$11:$F$30,4,FALSE)+Table24[[#This Row],[Total_GWP]]</f>
        <v>455.13</v>
      </c>
      <c r="X123" s="107">
        <f>VLOOKUP(Table24[[#This Row],[Country PRODUCTION]],[2]Sheet1!$B$11:$F$30,5,FALSE)+Table24[[#This Row],[Total_GWP]]</f>
        <v>318.63</v>
      </c>
      <c r="Y123" s="81">
        <f>Table24[[#This Row],[Total_GWP]]*Table24[[#This Row],[DENSITY]]/1000</f>
        <v>2378.7855</v>
      </c>
      <c r="Z123" s="239">
        <v>300</v>
      </c>
      <c r="AA123" s="103">
        <f t="shared" si="0"/>
        <v>3.0300000000000002</v>
      </c>
      <c r="AB123" s="73"/>
      <c r="AC123" s="73"/>
      <c r="AD123" s="73"/>
      <c r="AE123" s="75"/>
      <c r="AF123" s="107"/>
      <c r="AG123" s="129"/>
      <c r="AH123" s="129"/>
      <c r="AI123" s="75"/>
      <c r="AJ123" s="385">
        <f ca="1">IF(OR($E123="Ecoinvent",$E123="Betonsortenrechner",$E123="KBOB",$V123&lt;=0,Table24[[#This Row],[VALID_TO]]&lt;=TODAY()),0,1)</f>
        <v>1</v>
      </c>
      <c r="AK123" s="199">
        <v>1</v>
      </c>
      <c r="AL123" s="199">
        <f ca="1">IF(AND(Table24[[#This Row],[ValidEPD]]&lt;&gt;0,Table24[[#This Row],[Man_Ausschluss]]&lt;&gt;0),1,0)</f>
        <v>1</v>
      </c>
      <c r="AM123" s="17" cm="1">
        <f t="array" aca="1" ref="AM123" ca="1">IF(Table24[[#This Row],[gültig]]&lt;&gt;0,
IF(
OR(
V123=MIN(_xlfn._xlws.FILTER($V$2:$V$298,($P$2:$P$298=P123)*($N$2:$N$298=N123)*($AL$2:$AL$298&lt;&gt;0))),
V123=MAX(_xlfn._xlws.FILTER($V$2:$V$298,($P$2:$P$298=P123)*($N$2:$N$298=N123)*($AL$2:$AL$298&lt;&gt;0))),
ROWS(_xlfn._xlws.FILTER($V$2:$V$298,($P$2:$P$298=P123)*($N$2:$N$298=N123)*($AL$2:$AL$298&lt;&gt;0)))&lt;=2
),1,0),0)</f>
        <v>1</v>
      </c>
      <c r="AN123" s="138"/>
      <c r="AO123" s="102"/>
      <c r="AP123" s="1"/>
    </row>
    <row r="124" spans="1:42" s="142" customFormat="1" x14ac:dyDescent="0.2">
      <c r="A124" s="307" t="s">
        <v>750</v>
      </c>
      <c r="B124" s="308" t="s">
        <v>519</v>
      </c>
      <c r="C124" s="309">
        <v>123</v>
      </c>
      <c r="D124" s="310" t="s">
        <v>752</v>
      </c>
      <c r="E124" s="311" t="s">
        <v>132</v>
      </c>
      <c r="F124" s="312"/>
      <c r="G124" s="313">
        <v>44498</v>
      </c>
      <c r="H124" s="314">
        <v>46323</v>
      </c>
      <c r="I124" s="315" t="s">
        <v>51</v>
      </c>
      <c r="J124" s="316" t="s">
        <v>774</v>
      </c>
      <c r="K124" s="317" t="s">
        <v>753</v>
      </c>
      <c r="L124" s="318" t="s">
        <v>323</v>
      </c>
      <c r="M124" s="319" t="s">
        <v>316</v>
      </c>
      <c r="N124" s="320" t="s">
        <v>317</v>
      </c>
      <c r="O124" s="319" t="s">
        <v>415</v>
      </c>
      <c r="P124" s="331" t="s">
        <v>0</v>
      </c>
      <c r="Q124" s="315">
        <v>7850</v>
      </c>
      <c r="R124" s="311" t="s">
        <v>415</v>
      </c>
      <c r="S124" s="311" t="s">
        <v>415</v>
      </c>
      <c r="T124" s="311" t="s">
        <v>415</v>
      </c>
      <c r="U124" s="321" t="s">
        <v>415</v>
      </c>
      <c r="V124" s="322">
        <f>SUM(Table24[[#This Row],[A1toA3_GWP]:[C1toC4_GWP]])</f>
        <v>303.02999999999997</v>
      </c>
      <c r="W124" s="323">
        <f>VLOOKUP(Table24[[#This Row],[Country PRODUCTION]],[2]Sheet1!$B$11:$F$30,4,FALSE)+Table24[[#This Row],[Total_GWP]]</f>
        <v>455.13</v>
      </c>
      <c r="X124" s="323">
        <f>VLOOKUP(Table24[[#This Row],[Country PRODUCTION]],[2]Sheet1!$B$11:$F$30,5,FALSE)+Table24[[#This Row],[Total_GWP]]</f>
        <v>318.63</v>
      </c>
      <c r="Y124" s="322">
        <f>Table24[[#This Row],[Total_GWP]]*Table24[[#This Row],[DENSITY]]/1000</f>
        <v>2378.7855</v>
      </c>
      <c r="Z124" s="324">
        <v>300</v>
      </c>
      <c r="AA124" s="325">
        <f t="shared" si="0"/>
        <v>3.0300000000000002</v>
      </c>
      <c r="AB124" s="326"/>
      <c r="AC124" s="326"/>
      <c r="AD124" s="326"/>
      <c r="AE124" s="327"/>
      <c r="AF124" s="323"/>
      <c r="AG124" s="378"/>
      <c r="AH124" s="378"/>
      <c r="AI124" s="327"/>
      <c r="AJ124" s="387">
        <f ca="1">IF(OR($E124="Ecoinvent",$E124="Betonsortenrechner",$E124="KBOB",$V124&lt;=0,Table24[[#This Row],[VALID_TO]]&lt;=TODAY()),0,1)</f>
        <v>1</v>
      </c>
      <c r="AK124" s="389">
        <v>1</v>
      </c>
      <c r="AL124" s="389">
        <f ca="1">IF(AND(Table24[[#This Row],[ValidEPD]]&lt;&gt;0,Table24[[#This Row],[Man_Ausschluss]]&lt;&gt;0),1,0)</f>
        <v>1</v>
      </c>
      <c r="AM124" s="17" cm="1">
        <f t="array" aca="1" ref="AM124" ca="1">IF(Table24[[#This Row],[gültig]]&lt;&gt;0,
IF(
OR(
V124=MIN(_xlfn._xlws.FILTER($V$2:$V$298,($P$2:$P$298=P124)*($N$2:$N$298=N124)*($AL$2:$AL$298&lt;&gt;0))),
V124=MAX(_xlfn._xlws.FILTER($V$2:$V$298,($P$2:$P$298=P124)*($N$2:$N$298=N124)*($AL$2:$AL$298&lt;&gt;0))),
ROWS(_xlfn._xlws.FILTER($V$2:$V$298,($P$2:$P$298=P124)*($N$2:$N$298=N124)*($AL$2:$AL$298&lt;&gt;0)))&lt;=2
),1,0),0)</f>
        <v>1</v>
      </c>
      <c r="AN124" s="328"/>
      <c r="AO124" s="329"/>
      <c r="AP124" s="330"/>
    </row>
    <row r="125" spans="1:42" s="3" customFormat="1" x14ac:dyDescent="0.2">
      <c r="A125" s="34" t="s">
        <v>352</v>
      </c>
      <c r="B125" s="58"/>
      <c r="C125" s="92">
        <v>124</v>
      </c>
      <c r="D125" s="246" t="s">
        <v>140</v>
      </c>
      <c r="E125" s="5" t="s">
        <v>9</v>
      </c>
      <c r="F125" s="5"/>
      <c r="G125" s="143" t="s">
        <v>415</v>
      </c>
      <c r="H125" s="143" t="s">
        <v>415</v>
      </c>
      <c r="I125" s="10" t="s">
        <v>51</v>
      </c>
      <c r="J125" s="131"/>
      <c r="K125" s="38" t="s">
        <v>141</v>
      </c>
      <c r="L125" s="246" t="s">
        <v>326</v>
      </c>
      <c r="M125" s="4" t="s">
        <v>313</v>
      </c>
      <c r="N125" s="41" t="s">
        <v>319</v>
      </c>
      <c r="O125" s="4" t="s">
        <v>415</v>
      </c>
      <c r="P125" s="10" t="s">
        <v>1</v>
      </c>
      <c r="Q125" s="10">
        <v>440</v>
      </c>
      <c r="R125" s="5" t="s">
        <v>415</v>
      </c>
      <c r="S125" s="5" t="s">
        <v>415</v>
      </c>
      <c r="T125" s="5" t="s">
        <v>415</v>
      </c>
      <c r="U125" s="43" t="s">
        <v>415</v>
      </c>
      <c r="V125" s="17">
        <f>SUM(Table24[[#This Row],[A1toA3_GWP]:[C1toC4_GWP]])</f>
        <v>275</v>
      </c>
      <c r="W125" s="17"/>
      <c r="X125" s="17"/>
      <c r="Y125" s="17">
        <f>Table24[[#This Row],[Total_GWP]]*Table24[[#This Row],[DENSITY]]/1000</f>
        <v>121</v>
      </c>
      <c r="Z125" s="145">
        <f>85.8/Table24[[#This Row],[DENSITY]]*1000</f>
        <v>195</v>
      </c>
      <c r="AA125" s="137">
        <v>80</v>
      </c>
      <c r="AB125" s="56"/>
      <c r="AC125" s="56"/>
      <c r="AD125" s="56"/>
      <c r="AE125" s="136"/>
      <c r="AF125" s="17"/>
      <c r="AG125" s="144"/>
      <c r="AH125" s="144"/>
      <c r="AI125" s="136"/>
      <c r="AJ125" s="385">
        <f ca="1">IF(OR($E125="Ecoinvent",$E125="Betonsortenrechner",$E125="KBOB",$V125&lt;=0,Table24[[#This Row],[VALID_TO]]&lt;=TODAY()),0,1)</f>
        <v>0</v>
      </c>
      <c r="AK125" s="199">
        <v>1</v>
      </c>
      <c r="AL125" s="199">
        <f ca="1">IF(AND(Table24[[#This Row],[ValidEPD]]&lt;&gt;0,Table24[[#This Row],[Man_Ausschluss]]&lt;&gt;0),1,0)</f>
        <v>0</v>
      </c>
      <c r="AM125" s="391" cm="1">
        <f t="array" aca="1" ref="AM125" ca="1">IF(Table24[[#This Row],[gültig]]&lt;&gt;0,
IF(
OR(
V125=MIN(_xlfn._xlws.FILTER($V$2:$V$298,($P$2:$P$298=P125)*($N$2:$N$298=N125)*($AL$2:$AL$298&lt;&gt;0))),
V125=MAX(_xlfn._xlws.FILTER($V$2:$V$298,($P$2:$P$298=P125)*($N$2:$N$298=N125)*($AL$2:$AL$298&lt;&gt;0))),
ROWS(_xlfn._xlws.FILTER($V$2:$V$298,($P$2:$P$298=P125)*($N$2:$N$298=N125)*($AL$2:$AL$298&lt;&gt;0)))&lt;=2
),1,0),0)</f>
        <v>0</v>
      </c>
      <c r="AN125" s="138"/>
      <c r="AO125" s="4"/>
      <c r="AP125" s="4"/>
    </row>
    <row r="126" spans="1:42" s="3" customFormat="1" x14ac:dyDescent="0.2">
      <c r="A126" s="34" t="s">
        <v>353</v>
      </c>
      <c r="B126" s="58"/>
      <c r="C126" s="92">
        <v>125</v>
      </c>
      <c r="D126" s="246" t="s">
        <v>143</v>
      </c>
      <c r="E126" s="5" t="s">
        <v>9</v>
      </c>
      <c r="F126" s="5"/>
      <c r="G126" s="143" t="s">
        <v>415</v>
      </c>
      <c r="H126" s="143" t="s">
        <v>415</v>
      </c>
      <c r="I126" s="10" t="s">
        <v>51</v>
      </c>
      <c r="J126" s="131"/>
      <c r="K126" s="38" t="s">
        <v>142</v>
      </c>
      <c r="L126" s="246" t="s">
        <v>326</v>
      </c>
      <c r="M126" s="4" t="s">
        <v>313</v>
      </c>
      <c r="N126" s="41" t="s">
        <v>319</v>
      </c>
      <c r="O126" s="4" t="s">
        <v>415</v>
      </c>
      <c r="P126" s="10" t="s">
        <v>1</v>
      </c>
      <c r="Q126" s="10">
        <v>440</v>
      </c>
      <c r="R126" s="5" t="s">
        <v>415</v>
      </c>
      <c r="S126" s="5" t="s">
        <v>415</v>
      </c>
      <c r="T126" s="5" t="s">
        <v>415</v>
      </c>
      <c r="U126" s="43" t="s">
        <v>415</v>
      </c>
      <c r="V126" s="17">
        <f>SUM(Table24[[#This Row],[A1toA3_GWP]:[C1toC4_GWP]])</f>
        <v>279.31818181818181</v>
      </c>
      <c r="W126" s="17"/>
      <c r="X126" s="17"/>
      <c r="Y126" s="17">
        <f>Table24[[#This Row],[Total_GWP]]*Table24[[#This Row],[DENSITY]]/1000</f>
        <v>122.9</v>
      </c>
      <c r="Z126" s="144">
        <f>87.7/Table24[[#This Row],[DENSITY]]*1000</f>
        <v>199.31818181818181</v>
      </c>
      <c r="AA126" s="137">
        <v>80</v>
      </c>
      <c r="AB126" s="56"/>
      <c r="AC126" s="56"/>
      <c r="AD126" s="56"/>
      <c r="AE126" s="136"/>
      <c r="AF126" s="17"/>
      <c r="AG126" s="144"/>
      <c r="AH126" s="144"/>
      <c r="AI126" s="136"/>
      <c r="AJ126" s="385">
        <f ca="1">IF(OR($E126="Ecoinvent",$E126="Betonsortenrechner",$E126="KBOB",$V126&lt;=0,Table24[[#This Row],[VALID_TO]]&lt;=TODAY()),0,1)</f>
        <v>0</v>
      </c>
      <c r="AK126" s="199">
        <v>1</v>
      </c>
      <c r="AL126" s="199">
        <f ca="1">IF(AND(Table24[[#This Row],[ValidEPD]]&lt;&gt;0,Table24[[#This Row],[Man_Ausschluss]]&lt;&gt;0),1,0)</f>
        <v>0</v>
      </c>
      <c r="AM126" s="17" cm="1">
        <f t="array" aca="1" ref="AM126" ca="1">IF(Table24[[#This Row],[gültig]]&lt;&gt;0,
IF(
OR(
V126=MIN(_xlfn._xlws.FILTER($V$2:$V$298,($P$2:$P$298=P126)*($N$2:$N$298=N126)*($AL$2:$AL$298&lt;&gt;0))),
V126=MAX(_xlfn._xlws.FILTER($V$2:$V$298,($P$2:$P$298=P126)*($N$2:$N$298=N126)*($AL$2:$AL$298&lt;&gt;0))),
ROWS(_xlfn._xlws.FILTER($V$2:$V$298,($P$2:$P$298=P126)*($N$2:$N$298=N126)*($AL$2:$AL$298&lt;&gt;0)))&lt;=2
),1,0),0)</f>
        <v>0</v>
      </c>
      <c r="AN126" s="138"/>
      <c r="AO126" s="4"/>
      <c r="AP126" s="4"/>
    </row>
    <row r="127" spans="1:42" s="3" customFormat="1" x14ac:dyDescent="0.2">
      <c r="A127" s="34" t="s">
        <v>354</v>
      </c>
      <c r="B127" s="58"/>
      <c r="C127" s="92">
        <v>126</v>
      </c>
      <c r="D127" s="246" t="s">
        <v>144</v>
      </c>
      <c r="E127" s="5" t="s">
        <v>9</v>
      </c>
      <c r="F127" s="5"/>
      <c r="G127" s="143" t="s">
        <v>415</v>
      </c>
      <c r="H127" s="143" t="s">
        <v>415</v>
      </c>
      <c r="I127" s="10" t="s">
        <v>145</v>
      </c>
      <c r="J127" s="131"/>
      <c r="K127" s="38" t="s">
        <v>98</v>
      </c>
      <c r="L127" s="246" t="s">
        <v>326</v>
      </c>
      <c r="M127" s="4" t="s">
        <v>313</v>
      </c>
      <c r="N127" s="41" t="s">
        <v>319</v>
      </c>
      <c r="O127" s="4" t="s">
        <v>415</v>
      </c>
      <c r="P127" s="10" t="s">
        <v>1</v>
      </c>
      <c r="Q127" s="10">
        <v>440</v>
      </c>
      <c r="R127" s="5" t="s">
        <v>415</v>
      </c>
      <c r="S127" s="5" t="s">
        <v>415</v>
      </c>
      <c r="T127" s="5" t="s">
        <v>415</v>
      </c>
      <c r="U127" s="43" t="s">
        <v>415</v>
      </c>
      <c r="V127" s="17">
        <f>SUM(Table24[[#This Row],[A1toA3_GWP]:[C1toC4_GWP]])</f>
        <v>400.45454545454544</v>
      </c>
      <c r="W127" s="17"/>
      <c r="X127" s="17"/>
      <c r="Y127" s="17">
        <f>Table24[[#This Row],[Total_GWP]]*Table24[[#This Row],[DENSITY]]/1000</f>
        <v>176.2</v>
      </c>
      <c r="Z127" s="144">
        <f>141/Table24[[#This Row],[DENSITY]]*1000</f>
        <v>320.45454545454544</v>
      </c>
      <c r="AA127" s="137">
        <v>80</v>
      </c>
      <c r="AB127" s="56"/>
      <c r="AC127" s="56"/>
      <c r="AD127" s="56"/>
      <c r="AE127" s="136"/>
      <c r="AF127" s="17"/>
      <c r="AG127" s="144"/>
      <c r="AH127" s="144"/>
      <c r="AI127" s="136"/>
      <c r="AJ127" s="385">
        <f ca="1">IF(OR($E127="Ecoinvent",$E127="Betonsortenrechner",$E127="KBOB",$V127&lt;=0,Table24[[#This Row],[VALID_TO]]&lt;=TODAY()),0,1)</f>
        <v>0</v>
      </c>
      <c r="AK127" s="199">
        <v>1</v>
      </c>
      <c r="AL127" s="199">
        <f ca="1">IF(AND(Table24[[#This Row],[ValidEPD]]&lt;&gt;0,Table24[[#This Row],[Man_Ausschluss]]&lt;&gt;0),1,0)</f>
        <v>0</v>
      </c>
      <c r="AM127" s="17" cm="1">
        <f t="array" aca="1" ref="AM127" ca="1">IF(Table24[[#This Row],[gültig]]&lt;&gt;0,
IF(
OR(
V127=MIN(_xlfn._xlws.FILTER($V$2:$V$298,($P$2:$P$298=P127)*($N$2:$N$298=N127)*($AL$2:$AL$298&lt;&gt;0))),
V127=MAX(_xlfn._xlws.FILTER($V$2:$V$298,($P$2:$P$298=P127)*($N$2:$N$298=N127)*($AL$2:$AL$298&lt;&gt;0))),
ROWS(_xlfn._xlws.FILTER($V$2:$V$298,($P$2:$P$298=P127)*($N$2:$N$298=N127)*($AL$2:$AL$298&lt;&gt;0)))&lt;=2
),1,0),0)</f>
        <v>0</v>
      </c>
      <c r="AN127" s="138"/>
      <c r="AO127" s="4"/>
      <c r="AP127" s="4"/>
    </row>
    <row r="128" spans="1:42" s="3" customFormat="1" x14ac:dyDescent="0.2">
      <c r="A128" s="34" t="s">
        <v>355</v>
      </c>
      <c r="B128" s="58"/>
      <c r="C128" s="92">
        <v>127</v>
      </c>
      <c r="D128" s="246" t="s">
        <v>146</v>
      </c>
      <c r="E128" s="5" t="s">
        <v>9</v>
      </c>
      <c r="F128" s="5"/>
      <c r="G128" s="143" t="s">
        <v>415</v>
      </c>
      <c r="H128" s="143" t="s">
        <v>415</v>
      </c>
      <c r="I128" s="10" t="s">
        <v>147</v>
      </c>
      <c r="J128" s="131"/>
      <c r="K128" s="38" t="s">
        <v>112</v>
      </c>
      <c r="L128" s="246" t="s">
        <v>490</v>
      </c>
      <c r="M128" s="4" t="s">
        <v>313</v>
      </c>
      <c r="N128" s="41" t="s">
        <v>494</v>
      </c>
      <c r="O128" s="4" t="s">
        <v>415</v>
      </c>
      <c r="P128" s="10" t="s">
        <v>1</v>
      </c>
      <c r="Q128" s="10">
        <v>435</v>
      </c>
      <c r="R128" s="5" t="s">
        <v>415</v>
      </c>
      <c r="S128" s="5" t="s">
        <v>415</v>
      </c>
      <c r="T128" s="5" t="s">
        <v>415</v>
      </c>
      <c r="U128" s="43" t="s">
        <v>415</v>
      </c>
      <c r="V128" s="17">
        <f>SUM(Table24[[#This Row],[A1toA3_GWP]:[C1toC4_GWP]])</f>
        <v>415.63218390804599</v>
      </c>
      <c r="W128" s="17"/>
      <c r="X128" s="17"/>
      <c r="Y128" s="17">
        <f>Table24[[#This Row],[Total_GWP]]*Table24[[#This Row],[DENSITY]]/1000</f>
        <v>180.8</v>
      </c>
      <c r="Z128" s="144">
        <f>146/Table24[[#This Row],[DENSITY]]*1000</f>
        <v>335.63218390804599</v>
      </c>
      <c r="AA128" s="137">
        <v>80</v>
      </c>
      <c r="AB128" s="56"/>
      <c r="AC128" s="56"/>
      <c r="AD128" s="56"/>
      <c r="AE128" s="136"/>
      <c r="AF128" s="17"/>
      <c r="AG128" s="144"/>
      <c r="AH128" s="144"/>
      <c r="AI128" s="136"/>
      <c r="AJ128" s="385">
        <f ca="1">IF(OR($E128="Ecoinvent",$E128="Betonsortenrechner",$E128="KBOB",$V128&lt;=0,Table24[[#This Row],[VALID_TO]]&lt;=TODAY()),0,1)</f>
        <v>0</v>
      </c>
      <c r="AK128" s="199">
        <v>1</v>
      </c>
      <c r="AL128" s="199">
        <f ca="1">IF(AND(Table24[[#This Row],[ValidEPD]]&lt;&gt;0,Table24[[#This Row],[Man_Ausschluss]]&lt;&gt;0),1,0)</f>
        <v>0</v>
      </c>
      <c r="AM128" s="17" cm="1">
        <f t="array" aca="1" ref="AM128" ca="1">IF(Table24[[#This Row],[gültig]]&lt;&gt;0,
IF(
OR(
V128=MIN(_xlfn._xlws.FILTER($V$2:$V$298,($P$2:$P$298=P128)*($N$2:$N$298=N128)*($AL$2:$AL$298&lt;&gt;0))),
V128=MAX(_xlfn._xlws.FILTER($V$2:$V$298,($P$2:$P$298=P128)*($N$2:$N$298=N128)*($AL$2:$AL$298&lt;&gt;0))),
ROWS(_xlfn._xlws.FILTER($V$2:$V$298,($P$2:$P$298=P128)*($N$2:$N$298=N128)*($AL$2:$AL$298&lt;&gt;0)))&lt;=2
),1,0),0)</f>
        <v>0</v>
      </c>
      <c r="AN128" s="138"/>
      <c r="AO128" s="4"/>
      <c r="AP128" s="4"/>
    </row>
    <row r="129" spans="1:42" s="3" customFormat="1" x14ac:dyDescent="0.2">
      <c r="A129" s="34" t="s">
        <v>356</v>
      </c>
      <c r="B129" s="58"/>
      <c r="C129" s="92">
        <v>128</v>
      </c>
      <c r="D129" s="246" t="s">
        <v>150</v>
      </c>
      <c r="E129" s="5" t="s">
        <v>9</v>
      </c>
      <c r="F129" s="5"/>
      <c r="G129" s="143" t="s">
        <v>415</v>
      </c>
      <c r="H129" s="143" t="s">
        <v>415</v>
      </c>
      <c r="I129" s="10" t="s">
        <v>147</v>
      </c>
      <c r="J129" s="131"/>
      <c r="K129" s="38" t="s">
        <v>108</v>
      </c>
      <c r="L129" s="246" t="s">
        <v>327</v>
      </c>
      <c r="M129" s="4" t="s">
        <v>313</v>
      </c>
      <c r="N129" s="41" t="s">
        <v>320</v>
      </c>
      <c r="O129" s="4" t="s">
        <v>415</v>
      </c>
      <c r="P129" s="10" t="s">
        <v>113</v>
      </c>
      <c r="Q129" s="10">
        <v>470</v>
      </c>
      <c r="R129" s="5" t="s">
        <v>415</v>
      </c>
      <c r="S129" s="5" t="s">
        <v>415</v>
      </c>
      <c r="T129" s="5" t="s">
        <v>415</v>
      </c>
      <c r="U129" s="43" t="s">
        <v>415</v>
      </c>
      <c r="V129" s="17">
        <f>SUM(Table24[[#This Row],[A1toA3_GWP]:[C1toC4_GWP]])</f>
        <v>362.97872340425533</v>
      </c>
      <c r="W129" s="17"/>
      <c r="X129" s="17"/>
      <c r="Y129" s="17">
        <f>Table24[[#This Row],[Total_GWP]]*Table24[[#This Row],[DENSITY]]/1000</f>
        <v>170.6</v>
      </c>
      <c r="Z129" s="144">
        <f>133/Table24[[#This Row],[DENSITY]]*1000</f>
        <v>282.97872340425533</v>
      </c>
      <c r="AA129" s="137">
        <v>80</v>
      </c>
      <c r="AB129" s="56"/>
      <c r="AC129" s="56"/>
      <c r="AD129" s="56"/>
      <c r="AE129" s="136"/>
      <c r="AF129" s="17"/>
      <c r="AG129" s="144"/>
      <c r="AH129" s="144"/>
      <c r="AI129" s="136"/>
      <c r="AJ129" s="385">
        <f ca="1">IF(OR($E129="Ecoinvent",$E129="Betonsortenrechner",$E129="KBOB",$V129&lt;=0,Table24[[#This Row],[VALID_TO]]&lt;=TODAY()),0,1)</f>
        <v>0</v>
      </c>
      <c r="AK129" s="199">
        <v>1</v>
      </c>
      <c r="AL129" s="199">
        <f ca="1">IF(AND(Table24[[#This Row],[ValidEPD]]&lt;&gt;0,Table24[[#This Row],[Man_Ausschluss]]&lt;&gt;0),1,0)</f>
        <v>0</v>
      </c>
      <c r="AM129" s="17" cm="1">
        <f t="array" aca="1" ref="AM129" ca="1">IF(Table24[[#This Row],[gültig]]&lt;&gt;0,
IF(
OR(
V129=MIN(_xlfn._xlws.FILTER($V$2:$V$298,($P$2:$P$298=P129)*($N$2:$N$298=N129)*($AL$2:$AL$298&lt;&gt;0))),
V129=MAX(_xlfn._xlws.FILTER($V$2:$V$298,($P$2:$P$298=P129)*($N$2:$N$298=N129)*($AL$2:$AL$298&lt;&gt;0))),
ROWS(_xlfn._xlws.FILTER($V$2:$V$298,($P$2:$P$298=P129)*($N$2:$N$298=N129)*($AL$2:$AL$298&lt;&gt;0)))&lt;=2
),1,0),0)</f>
        <v>0</v>
      </c>
      <c r="AN129" s="138"/>
      <c r="AO129" s="4"/>
      <c r="AP129" s="4"/>
    </row>
    <row r="130" spans="1:42" s="3" customFormat="1" x14ac:dyDescent="0.2">
      <c r="A130" s="34" t="s">
        <v>357</v>
      </c>
      <c r="B130" s="58"/>
      <c r="C130" s="92">
        <v>129</v>
      </c>
      <c r="D130" s="246" t="s">
        <v>151</v>
      </c>
      <c r="E130" s="5" t="s">
        <v>9</v>
      </c>
      <c r="F130" s="5"/>
      <c r="G130" s="143" t="s">
        <v>415</v>
      </c>
      <c r="H130" s="143" t="s">
        <v>415</v>
      </c>
      <c r="I130" s="10" t="s">
        <v>147</v>
      </c>
      <c r="J130" s="131"/>
      <c r="K130" s="38" t="s">
        <v>152</v>
      </c>
      <c r="L130" s="246" t="s">
        <v>327</v>
      </c>
      <c r="M130" s="4" t="s">
        <v>313</v>
      </c>
      <c r="N130" s="41" t="s">
        <v>320</v>
      </c>
      <c r="O130" s="4" t="s">
        <v>415</v>
      </c>
      <c r="P130" s="10" t="s">
        <v>113</v>
      </c>
      <c r="Q130" s="10">
        <v>470</v>
      </c>
      <c r="R130" s="5" t="s">
        <v>415</v>
      </c>
      <c r="S130" s="5" t="s">
        <v>415</v>
      </c>
      <c r="T130" s="5" t="s">
        <v>415</v>
      </c>
      <c r="U130" s="43" t="s">
        <v>415</v>
      </c>
      <c r="V130" s="17">
        <f>SUM(Table24[[#This Row],[A1toA3_GWP]:[C1toC4_GWP]])</f>
        <v>280.21276595744678</v>
      </c>
      <c r="W130" s="17"/>
      <c r="X130" s="17"/>
      <c r="Y130" s="17">
        <f>Table24[[#This Row],[Total_GWP]]*Table24[[#This Row],[DENSITY]]/1000</f>
        <v>131.69999999999996</v>
      </c>
      <c r="Z130" s="144">
        <f>94.1/Table24[[#This Row],[DENSITY]]*1000</f>
        <v>200.21276595744681</v>
      </c>
      <c r="AA130" s="137">
        <v>80</v>
      </c>
      <c r="AB130" s="56"/>
      <c r="AC130" s="56"/>
      <c r="AD130" s="56"/>
      <c r="AE130" s="136"/>
      <c r="AF130" s="17"/>
      <c r="AG130" s="144"/>
      <c r="AH130" s="144"/>
      <c r="AI130" s="136"/>
      <c r="AJ130" s="385">
        <f ca="1">IF(OR($E130="Ecoinvent",$E130="Betonsortenrechner",$E130="KBOB",$V130&lt;=0,Table24[[#This Row],[VALID_TO]]&lt;=TODAY()),0,1)</f>
        <v>0</v>
      </c>
      <c r="AK130" s="199">
        <v>1</v>
      </c>
      <c r="AL130" s="199">
        <f ca="1">IF(AND(Table24[[#This Row],[ValidEPD]]&lt;&gt;0,Table24[[#This Row],[Man_Ausschluss]]&lt;&gt;0),1,0)</f>
        <v>0</v>
      </c>
      <c r="AM130" s="17" cm="1">
        <f t="array" aca="1" ref="AM130" ca="1">IF(Table24[[#This Row],[gültig]]&lt;&gt;0,
IF(
OR(
V130=MIN(_xlfn._xlws.FILTER($V$2:$V$298,($P$2:$P$298=P130)*($N$2:$N$298=N130)*($AL$2:$AL$298&lt;&gt;0))),
V130=MAX(_xlfn._xlws.FILTER($V$2:$V$298,($P$2:$P$298=P130)*($N$2:$N$298=N130)*($AL$2:$AL$298&lt;&gt;0))),
ROWS(_xlfn._xlws.FILTER($V$2:$V$298,($P$2:$P$298=P130)*($N$2:$N$298=N130)*($AL$2:$AL$298&lt;&gt;0)))&lt;=2
),1,0),0)</f>
        <v>0</v>
      </c>
      <c r="AN130" s="138"/>
      <c r="AO130" s="4"/>
      <c r="AP130" s="4"/>
    </row>
    <row r="131" spans="1:42" s="7" customFormat="1" x14ac:dyDescent="0.2">
      <c r="A131" s="190" t="s">
        <v>367</v>
      </c>
      <c r="B131" s="49"/>
      <c r="C131" s="97">
        <v>130</v>
      </c>
      <c r="D131" s="221" t="s">
        <v>415</v>
      </c>
      <c r="E131" s="191" t="s">
        <v>952</v>
      </c>
      <c r="F131" s="247" t="s">
        <v>481</v>
      </c>
      <c r="G131" s="220"/>
      <c r="H131" s="192"/>
      <c r="I131" s="193" t="s">
        <v>51</v>
      </c>
      <c r="J131" s="202" t="s">
        <v>51</v>
      </c>
      <c r="K131" s="203" t="s">
        <v>4</v>
      </c>
      <c r="L131" s="221" t="s">
        <v>326</v>
      </c>
      <c r="M131" s="8" t="s">
        <v>313</v>
      </c>
      <c r="N131" s="196" t="s">
        <v>319</v>
      </c>
      <c r="O131" s="8" t="s">
        <v>415</v>
      </c>
      <c r="P131" s="393" t="s">
        <v>1</v>
      </c>
      <c r="Q131" s="193">
        <v>439</v>
      </c>
      <c r="R131" s="191" t="s">
        <v>415</v>
      </c>
      <c r="S131" s="191" t="s">
        <v>415</v>
      </c>
      <c r="T131" s="191" t="s">
        <v>415</v>
      </c>
      <c r="U131" s="197" t="s">
        <v>415</v>
      </c>
      <c r="V131" s="198">
        <f>SUM(Table24[[#This Row],[A1toA3_GWP]:[C1toC4_GWP]])</f>
        <v>253.2</v>
      </c>
      <c r="W131" s="198"/>
      <c r="X131" s="198"/>
      <c r="Y131" s="198">
        <f>Table24[[#This Row],[Total_GWP]]*Table24[[#This Row],[DENSITY]]/1000</f>
        <v>111.15479999999999</v>
      </c>
      <c r="Z131" s="275">
        <v>204</v>
      </c>
      <c r="AA131" s="139">
        <v>49.2</v>
      </c>
      <c r="AB131" s="138"/>
      <c r="AC131" s="138"/>
      <c r="AD131" s="138"/>
      <c r="AE131" s="200"/>
      <c r="AF131" s="198">
        <f>681*1000</f>
        <v>681000</v>
      </c>
      <c r="AG131" s="199">
        <f>Table24[[#This Row],[Total_UBP]]*Table24[[#This Row],[DENSITY]]/1000</f>
        <v>298959</v>
      </c>
      <c r="AH131" s="199">
        <f>1.2*1000</f>
        <v>1200</v>
      </c>
      <c r="AI131" s="200">
        <f>Table24[[#This Row],[Graue_Energie]]*Table24[[#This Row],[DENSITY]]/1000</f>
        <v>526.79999999999995</v>
      </c>
      <c r="AJ131" s="385">
        <f ca="1">IF(OR($E131="Ecoinvent",$E131="Betonsortenrechner",$E131="KBOB",$V131&lt;=0,Table24[[#This Row],[VALID_TO]]&lt;=TODAY()),0,1)</f>
        <v>0</v>
      </c>
      <c r="AK131" s="199">
        <v>1</v>
      </c>
      <c r="AL131" s="199">
        <f ca="1">IF(AND(Table24[[#This Row],[ValidEPD]]&lt;&gt;0,Table24[[#This Row],[Man_Ausschluss]]&lt;&gt;0),1,0)</f>
        <v>0</v>
      </c>
      <c r="AM131" s="17" cm="1">
        <f t="array" aca="1" ref="AM131" ca="1">IF(Table24[[#This Row],[gültig]]&lt;&gt;0,
IF(
OR(
V131=MIN(_xlfn._xlws.FILTER($V$2:$V$298,($P$2:$P$298=P131)*($N$2:$N$298=N131)*($AL$2:$AL$298&lt;&gt;0))),
V131=MAX(_xlfn._xlws.FILTER($V$2:$V$298,($P$2:$P$298=P131)*($N$2:$N$298=N131)*($AL$2:$AL$298&lt;&gt;0))),
ROWS(_xlfn._xlws.FILTER($V$2:$V$298,($P$2:$P$298=P131)*($N$2:$N$298=N131)*($AL$2:$AL$298&lt;&gt;0)))&lt;=2
),1,0),0)</f>
        <v>0</v>
      </c>
      <c r="AN131" s="138"/>
      <c r="AO131" s="8"/>
      <c r="AP131" s="8"/>
    </row>
    <row r="132" spans="1:42" s="7" customFormat="1" x14ac:dyDescent="0.2">
      <c r="A132" s="190" t="s">
        <v>221</v>
      </c>
      <c r="B132" s="49"/>
      <c r="C132" s="97">
        <v>131</v>
      </c>
      <c r="D132" s="221" t="s">
        <v>415</v>
      </c>
      <c r="E132" s="191" t="s">
        <v>952</v>
      </c>
      <c r="F132" s="382" t="s">
        <v>974</v>
      </c>
      <c r="G132" s="220"/>
      <c r="H132" s="192"/>
      <c r="I132" s="193"/>
      <c r="J132" s="202"/>
      <c r="K132" s="203" t="s">
        <v>478</v>
      </c>
      <c r="L132" s="221" t="s">
        <v>326</v>
      </c>
      <c r="M132" s="8" t="s">
        <v>313</v>
      </c>
      <c r="N132" s="196" t="s">
        <v>319</v>
      </c>
      <c r="O132" s="8" t="s">
        <v>415</v>
      </c>
      <c r="P132" s="393" t="s">
        <v>1</v>
      </c>
      <c r="Q132" s="193">
        <v>439</v>
      </c>
      <c r="R132" s="191" t="s">
        <v>415</v>
      </c>
      <c r="S132" s="191" t="s">
        <v>415</v>
      </c>
      <c r="T132" s="191" t="s">
        <v>415</v>
      </c>
      <c r="U132" s="197" t="s">
        <v>415</v>
      </c>
      <c r="V132" s="198">
        <f>SUM(Table24[[#This Row],[A1toA3_GWP]:[C1toC4_GWP]])</f>
        <v>335.2</v>
      </c>
      <c r="W132" s="198"/>
      <c r="X132" s="198"/>
      <c r="Y132" s="198">
        <f>Table24[[#This Row],[Total_GWP]]*Table24[[#This Row],[DENSITY]]/1000</f>
        <v>147.15279999999998</v>
      </c>
      <c r="Z132" s="275">
        <v>286</v>
      </c>
      <c r="AA132" s="139">
        <v>49.2</v>
      </c>
      <c r="AB132" s="138"/>
      <c r="AC132" s="138"/>
      <c r="AD132" s="138"/>
      <c r="AE132" s="200"/>
      <c r="AF132" s="198">
        <f>769*1000</f>
        <v>769000</v>
      </c>
      <c r="AG132" s="199">
        <f>Table24[[#This Row],[Total_UBP]]*Table24[[#This Row],[DENSITY]]/1000</f>
        <v>337591</v>
      </c>
      <c r="AH132" s="199">
        <f>1.53*1000</f>
        <v>1530</v>
      </c>
      <c r="AI132" s="200">
        <f>Table24[[#This Row],[Graue_Energie]]*Table24[[#This Row],[DENSITY]]/1000</f>
        <v>671.67</v>
      </c>
      <c r="AJ132" s="385">
        <f ca="1">IF(OR($E132="Ecoinvent",$E132="Betonsortenrechner",$E132="KBOB",$V132&lt;=0,Table24[[#This Row],[VALID_TO]]&lt;=TODAY()),0,1)</f>
        <v>0</v>
      </c>
      <c r="AK132" s="199">
        <v>1</v>
      </c>
      <c r="AL132" s="199">
        <f ca="1">IF(AND(Table24[[#This Row],[ValidEPD]]&lt;&gt;0,Table24[[#This Row],[Man_Ausschluss]]&lt;&gt;0),1,0)</f>
        <v>0</v>
      </c>
      <c r="AM132" s="17" cm="1">
        <f t="array" aca="1" ref="AM132" ca="1">IF(Table24[[#This Row],[gültig]]&lt;&gt;0,
IF(
OR(
V132=MIN(_xlfn._xlws.FILTER($V$2:$V$298,($P$2:$P$298=P132)*($N$2:$N$298=N132)*($AL$2:$AL$298&lt;&gt;0))),
V132=MAX(_xlfn._xlws.FILTER($V$2:$V$298,($P$2:$P$298=P132)*($N$2:$N$298=N132)*($AL$2:$AL$298&lt;&gt;0))),
ROWS(_xlfn._xlws.FILTER($V$2:$V$298,($P$2:$P$298=P132)*($N$2:$N$298=N132)*($AL$2:$AL$298&lt;&gt;0)))&lt;=2
),1,0),0)</f>
        <v>0</v>
      </c>
      <c r="AN132" s="138"/>
      <c r="AO132" s="8"/>
      <c r="AP132" s="8"/>
    </row>
    <row r="133" spans="1:42" s="7" customFormat="1" x14ac:dyDescent="0.2">
      <c r="A133" s="190" t="s">
        <v>220</v>
      </c>
      <c r="B133" s="49"/>
      <c r="C133" s="97">
        <v>132</v>
      </c>
      <c r="D133" s="221" t="s">
        <v>415</v>
      </c>
      <c r="E133" s="191" t="s">
        <v>952</v>
      </c>
      <c r="F133" s="289" t="s">
        <v>482</v>
      </c>
      <c r="G133" s="220"/>
      <c r="H133" s="192"/>
      <c r="I133" s="193" t="s">
        <v>51</v>
      </c>
      <c r="J133" s="202" t="s">
        <v>51</v>
      </c>
      <c r="K133" s="203" t="s">
        <v>148</v>
      </c>
      <c r="L133" s="221" t="s">
        <v>490</v>
      </c>
      <c r="M133" s="8" t="s">
        <v>313</v>
      </c>
      <c r="N133" s="196" t="s">
        <v>494</v>
      </c>
      <c r="O133" s="8" t="s">
        <v>415</v>
      </c>
      <c r="P133" s="393" t="s">
        <v>827</v>
      </c>
      <c r="Q133" s="193">
        <v>424</v>
      </c>
      <c r="R133" s="191" t="s">
        <v>415</v>
      </c>
      <c r="S133" s="191" t="s">
        <v>415</v>
      </c>
      <c r="T133" s="191" t="s">
        <v>415</v>
      </c>
      <c r="U133" s="197" t="s">
        <v>415</v>
      </c>
      <c r="V133" s="198">
        <f>SUM(Table24[[#This Row],[A1toA3_GWP]:[C1toC4_GWP]])</f>
        <v>250.2</v>
      </c>
      <c r="W133" s="198"/>
      <c r="X133" s="198"/>
      <c r="Y133" s="198">
        <f>Table24[[#This Row],[Total_GWP]]*Table24[[#This Row],[DENSITY]]/1000</f>
        <v>106.08479999999999</v>
      </c>
      <c r="Z133" s="275">
        <v>201</v>
      </c>
      <c r="AA133" s="139">
        <v>49.2</v>
      </c>
      <c r="AB133" s="138"/>
      <c r="AC133" s="138"/>
      <c r="AD133" s="138"/>
      <c r="AE133" s="200"/>
      <c r="AF133" s="198">
        <f>711*1000</f>
        <v>711000</v>
      </c>
      <c r="AG133" s="199">
        <f>Table24[[#This Row],[Total_UBP]]*Table24[[#This Row],[DENSITY]]/1000</f>
        <v>301464</v>
      </c>
      <c r="AH133" s="199">
        <f>1.6*1000</f>
        <v>1600</v>
      </c>
      <c r="AI133" s="200">
        <f>Table24[[#This Row],[Graue_Energie]]*Table24[[#This Row],[DENSITY]]/1000</f>
        <v>678.4</v>
      </c>
      <c r="AJ133" s="385">
        <f ca="1">IF(OR($E133="Ecoinvent",$E133="Betonsortenrechner",$E133="KBOB",$V133&lt;=0,Table24[[#This Row],[VALID_TO]]&lt;=TODAY()),0,1)</f>
        <v>0</v>
      </c>
      <c r="AK133" s="199">
        <v>1</v>
      </c>
      <c r="AL133" s="199">
        <f ca="1">IF(AND(Table24[[#This Row],[ValidEPD]]&lt;&gt;0,Table24[[#This Row],[Man_Ausschluss]]&lt;&gt;0),1,0)</f>
        <v>0</v>
      </c>
      <c r="AM133" s="17" cm="1">
        <f t="array" aca="1" ref="AM133" ca="1">IF(Table24[[#This Row],[gültig]]&lt;&gt;0,
IF(
OR(
V133=MIN(_xlfn._xlws.FILTER($V$2:$V$298,($P$2:$P$298=P133)*($N$2:$N$298=N133)*($AL$2:$AL$298&lt;&gt;0))),
V133=MAX(_xlfn._xlws.FILTER($V$2:$V$298,($P$2:$P$298=P133)*($N$2:$N$298=N133)*($AL$2:$AL$298&lt;&gt;0))),
ROWS(_xlfn._xlws.FILTER($V$2:$V$298,($P$2:$P$298=P133)*($N$2:$N$298=N133)*($AL$2:$AL$298&lt;&gt;0)))&lt;=2
),1,0),0)</f>
        <v>0</v>
      </c>
      <c r="AN133" s="138"/>
      <c r="AO133" s="8"/>
      <c r="AP133" s="8"/>
    </row>
    <row r="134" spans="1:42" s="7" customFormat="1" x14ac:dyDescent="0.2">
      <c r="A134" s="190" t="s">
        <v>219</v>
      </c>
      <c r="B134" s="49"/>
      <c r="C134" s="97">
        <v>133</v>
      </c>
      <c r="D134" s="221" t="s">
        <v>415</v>
      </c>
      <c r="E134" s="191" t="s">
        <v>952</v>
      </c>
      <c r="F134" s="382" t="s">
        <v>971</v>
      </c>
      <c r="G134" s="220"/>
      <c r="H134" s="192"/>
      <c r="I134" s="193"/>
      <c r="J134" s="202"/>
      <c r="K134" s="203" t="s">
        <v>149</v>
      </c>
      <c r="L134" s="221" t="s">
        <v>490</v>
      </c>
      <c r="M134" s="8" t="s">
        <v>313</v>
      </c>
      <c r="N134" s="196" t="s">
        <v>494</v>
      </c>
      <c r="O134" s="8" t="s">
        <v>415</v>
      </c>
      <c r="P134" s="393" t="s">
        <v>827</v>
      </c>
      <c r="Q134" s="193">
        <v>436</v>
      </c>
      <c r="R134" s="191" t="s">
        <v>415</v>
      </c>
      <c r="S134" s="191" t="s">
        <v>415</v>
      </c>
      <c r="T134" s="191" t="s">
        <v>415</v>
      </c>
      <c r="U134" s="197" t="s">
        <v>415</v>
      </c>
      <c r="V134" s="198">
        <f>SUM(Table24[[#This Row],[A1toA3_GWP]:[C1toC4_GWP]])</f>
        <v>365.2</v>
      </c>
      <c r="W134" s="198"/>
      <c r="X134" s="198"/>
      <c r="Y134" s="198">
        <f>Table24[[#This Row],[Total_GWP]]*Table24[[#This Row],[DENSITY]]/1000</f>
        <v>159.22719999999998</v>
      </c>
      <c r="Z134" s="275">
        <v>316</v>
      </c>
      <c r="AA134" s="139">
        <v>49.2</v>
      </c>
      <c r="AB134" s="138"/>
      <c r="AC134" s="138"/>
      <c r="AD134" s="138"/>
      <c r="AE134" s="200"/>
      <c r="AF134" s="198">
        <f>849*1000</f>
        <v>849000</v>
      </c>
      <c r="AG134" s="199">
        <f>Table24[[#This Row],[Total_UBP]]*Table24[[#This Row],[DENSITY]]/1000</f>
        <v>370164</v>
      </c>
      <c r="AH134" s="199">
        <f>1.82*1000</f>
        <v>1820</v>
      </c>
      <c r="AI134" s="200">
        <f>Table24[[#This Row],[Graue_Energie]]*Table24[[#This Row],[DENSITY]]/1000</f>
        <v>793.52</v>
      </c>
      <c r="AJ134" s="385">
        <f ca="1">IF(OR($E134="Ecoinvent",$E134="Betonsortenrechner",$E134="KBOB",$V134&lt;=0,Table24[[#This Row],[VALID_TO]]&lt;=TODAY()),0,1)</f>
        <v>0</v>
      </c>
      <c r="AK134" s="199">
        <v>1</v>
      </c>
      <c r="AL134" s="199">
        <f ca="1">IF(AND(Table24[[#This Row],[ValidEPD]]&lt;&gt;0,Table24[[#This Row],[Man_Ausschluss]]&lt;&gt;0),1,0)</f>
        <v>0</v>
      </c>
      <c r="AM134" s="17" cm="1">
        <f t="array" aca="1" ref="AM134" ca="1">IF(Table24[[#This Row],[gültig]]&lt;&gt;0,
IF(
OR(
V134=MIN(_xlfn._xlws.FILTER($V$2:$V$298,($P$2:$P$298=P134)*($N$2:$N$298=N134)*($AL$2:$AL$298&lt;&gt;0))),
V134=MAX(_xlfn._xlws.FILTER($V$2:$V$298,($P$2:$P$298=P134)*($N$2:$N$298=N134)*($AL$2:$AL$298&lt;&gt;0))),
ROWS(_xlfn._xlws.FILTER($V$2:$V$298,($P$2:$P$298=P134)*($N$2:$N$298=N134)*($AL$2:$AL$298&lt;&gt;0)))&lt;=2
),1,0),0)</f>
        <v>0</v>
      </c>
      <c r="AN134" s="138"/>
      <c r="AO134" s="8"/>
      <c r="AP134" s="8"/>
    </row>
    <row r="135" spans="1:42" s="7" customFormat="1" x14ac:dyDescent="0.2">
      <c r="A135" s="190" t="s">
        <v>218</v>
      </c>
      <c r="B135" s="49"/>
      <c r="C135" s="97">
        <v>134</v>
      </c>
      <c r="D135" s="221" t="s">
        <v>415</v>
      </c>
      <c r="E135" s="191" t="s">
        <v>952</v>
      </c>
      <c r="F135" s="382" t="s">
        <v>973</v>
      </c>
      <c r="G135" s="220"/>
      <c r="H135" s="192"/>
      <c r="I135" s="193"/>
      <c r="J135" s="202"/>
      <c r="K135" s="203" t="s">
        <v>777</v>
      </c>
      <c r="L135" s="221" t="s">
        <v>327</v>
      </c>
      <c r="M135" s="8" t="s">
        <v>313</v>
      </c>
      <c r="N135" s="196" t="s">
        <v>320</v>
      </c>
      <c r="O135" s="8" t="s">
        <v>415</v>
      </c>
      <c r="P135" s="393" t="s">
        <v>113</v>
      </c>
      <c r="Q135" s="193">
        <v>436</v>
      </c>
      <c r="R135" s="191" t="s">
        <v>415</v>
      </c>
      <c r="S135" s="191" t="s">
        <v>415</v>
      </c>
      <c r="T135" s="191" t="s">
        <v>415</v>
      </c>
      <c r="U135" s="197" t="s">
        <v>415</v>
      </c>
      <c r="V135" s="198">
        <f>SUM(Table24[[#This Row],[A1toA3_GWP]:[C1toC4_GWP]])</f>
        <v>283</v>
      </c>
      <c r="W135" s="198"/>
      <c r="X135" s="198"/>
      <c r="Y135" s="198">
        <f>Table24[[#This Row],[Total_GWP]]*Table24[[#This Row],[DENSITY]]/1000</f>
        <v>123.38800000000001</v>
      </c>
      <c r="Z135" s="275">
        <v>244</v>
      </c>
      <c r="AA135" s="139">
        <v>39</v>
      </c>
      <c r="AB135" s="138"/>
      <c r="AC135" s="138"/>
      <c r="AD135" s="138"/>
      <c r="AE135" s="200"/>
      <c r="AF135" s="198">
        <f>683*1000</f>
        <v>683000</v>
      </c>
      <c r="AG135" s="199">
        <f>Table24[[#This Row],[Total_UBP]]*Table24[[#This Row],[DENSITY]]/1000</f>
        <v>297788</v>
      </c>
      <c r="AH135" s="199">
        <f>1.24*1000</f>
        <v>1240</v>
      </c>
      <c r="AI135" s="200">
        <f>Table24[[#This Row],[Graue_Energie]]*Table24[[#This Row],[DENSITY]]/1000</f>
        <v>540.64</v>
      </c>
      <c r="AJ135" s="385">
        <f ca="1">IF(OR($E135="Ecoinvent",$E135="Betonsortenrechner",$E135="KBOB",$V135&lt;=0,Table24[[#This Row],[VALID_TO]]&lt;=TODAY()),0,1)</f>
        <v>0</v>
      </c>
      <c r="AK135" s="199">
        <v>1</v>
      </c>
      <c r="AL135" s="199">
        <f ca="1">IF(AND(Table24[[#This Row],[ValidEPD]]&lt;&gt;0,Table24[[#This Row],[Man_Ausschluss]]&lt;&gt;0),1,0)</f>
        <v>0</v>
      </c>
      <c r="AM135" s="17" cm="1">
        <f t="array" aca="1" ref="AM135" ca="1">IF(Table24[[#This Row],[gültig]]&lt;&gt;0,
IF(
OR(
V135=MIN(_xlfn._xlws.FILTER($V$2:$V$298,($P$2:$P$298=P135)*($N$2:$N$298=N135)*($AL$2:$AL$298&lt;&gt;0))),
V135=MAX(_xlfn._xlws.FILTER($V$2:$V$298,($P$2:$P$298=P135)*($N$2:$N$298=N135)*($AL$2:$AL$298&lt;&gt;0))),
ROWS(_xlfn._xlws.FILTER($V$2:$V$298,($P$2:$P$298=P135)*($N$2:$N$298=N135)*($AL$2:$AL$298&lt;&gt;0)))&lt;=2
),1,0),0)</f>
        <v>0</v>
      </c>
      <c r="AN135" s="138"/>
      <c r="AO135" s="8"/>
      <c r="AP135" s="8"/>
    </row>
    <row r="136" spans="1:42" s="7" customFormat="1" x14ac:dyDescent="0.2">
      <c r="A136" s="190" t="s">
        <v>812</v>
      </c>
      <c r="B136" s="9"/>
      <c r="C136" s="97">
        <v>135</v>
      </c>
      <c r="D136" s="221" t="s">
        <v>415</v>
      </c>
      <c r="E136" s="191" t="s">
        <v>952</v>
      </c>
      <c r="F136" s="219" t="s">
        <v>813</v>
      </c>
      <c r="G136" s="265"/>
      <c r="H136" s="265"/>
      <c r="I136" s="264"/>
      <c r="J136" s="164"/>
      <c r="K136" s="203" t="s">
        <v>814</v>
      </c>
      <c r="L136" s="221" t="s">
        <v>326</v>
      </c>
      <c r="M136" s="8" t="s">
        <v>313</v>
      </c>
      <c r="N136" s="196" t="s">
        <v>319</v>
      </c>
      <c r="O136" s="8" t="s">
        <v>415</v>
      </c>
      <c r="P136" s="393" t="s">
        <v>1</v>
      </c>
      <c r="Q136" s="193">
        <v>700</v>
      </c>
      <c r="R136" s="191" t="s">
        <v>415</v>
      </c>
      <c r="S136" s="191" t="s">
        <v>415</v>
      </c>
      <c r="T136" s="191" t="s">
        <v>415</v>
      </c>
      <c r="U136" s="197" t="s">
        <v>415</v>
      </c>
      <c r="V136" s="198">
        <f>SUM(Table24[[#This Row],[A1toA3_GWP]:[C1toC4_GWP]])</f>
        <v>367.5</v>
      </c>
      <c r="W136" s="198"/>
      <c r="X136" s="198"/>
      <c r="Y136" s="198">
        <f>Table24[[#This Row],[Total_GWP]]*Table24[[#This Row],[DENSITY]]/1000</f>
        <v>257.25</v>
      </c>
      <c r="Z136" s="275">
        <v>306</v>
      </c>
      <c r="AA136" s="139">
        <v>61.5</v>
      </c>
      <c r="AB136" s="73"/>
      <c r="AC136" s="73"/>
      <c r="AD136" s="73"/>
      <c r="AE136" s="75"/>
      <c r="AF136" s="198">
        <f>1010*1000</f>
        <v>1010000</v>
      </c>
      <c r="AG136" s="199">
        <f>Table24[[#This Row],[Total_UBP]]*Table24[[#This Row],[DENSITY]]/1000</f>
        <v>707000</v>
      </c>
      <c r="AH136" s="199">
        <f>1.86*1000</f>
        <v>1860</v>
      </c>
      <c r="AI136" s="200">
        <f>Table24[[#This Row],[Graue_Energie]]*Table24[[#This Row],[DENSITY]]/1000</f>
        <v>1302</v>
      </c>
      <c r="AJ136" s="385">
        <f ca="1">IF(OR($E136="Ecoinvent",$E136="Betonsortenrechner",$E136="KBOB",$V136&lt;=0,Table24[[#This Row],[VALID_TO]]&lt;=TODAY()),0,1)</f>
        <v>0</v>
      </c>
      <c r="AK136" s="199">
        <v>1</v>
      </c>
      <c r="AL136" s="199">
        <f ca="1">IF(AND(Table24[[#This Row],[ValidEPD]]&lt;&gt;0,Table24[[#This Row],[Man_Ausschluss]]&lt;&gt;0),1,0)</f>
        <v>0</v>
      </c>
      <c r="AM136" s="17" cm="1">
        <f t="array" aca="1" ref="AM136" ca="1">IF(Table24[[#This Row],[gültig]]&lt;&gt;0,
IF(
OR(
V136=MIN(_xlfn._xlws.FILTER($V$2:$V$298,($P$2:$P$298=P136)*($N$2:$N$298=N136)*($AL$2:$AL$298&lt;&gt;0))),
V136=MAX(_xlfn._xlws.FILTER($V$2:$V$298,($P$2:$P$298=P136)*($N$2:$N$298=N136)*($AL$2:$AL$298&lt;&gt;0))),
ROWS(_xlfn._xlws.FILTER($V$2:$V$298,($P$2:$P$298=P136)*($N$2:$N$298=N136)*($AL$2:$AL$298&lt;&gt;0)))&lt;=2
),1,0),0)</f>
        <v>0</v>
      </c>
      <c r="AN136" s="138"/>
      <c r="AO136" s="267"/>
      <c r="AP136" s="1"/>
    </row>
    <row r="137" spans="1:42" s="367" customFormat="1" x14ac:dyDescent="0.2">
      <c r="A137" s="349" t="s">
        <v>962</v>
      </c>
      <c r="B137" s="350"/>
      <c r="C137" s="351">
        <v>136</v>
      </c>
      <c r="D137" s="371" t="s">
        <v>415</v>
      </c>
      <c r="E137" s="353" t="s">
        <v>952</v>
      </c>
      <c r="F137" s="372" t="s">
        <v>963</v>
      </c>
      <c r="G137" s="355"/>
      <c r="H137" s="355"/>
      <c r="I137" s="354" t="s">
        <v>51</v>
      </c>
      <c r="J137" s="356" t="s">
        <v>51</v>
      </c>
      <c r="K137" s="348" t="s">
        <v>964</v>
      </c>
      <c r="L137" s="357" t="s">
        <v>965</v>
      </c>
      <c r="M137" s="354" t="s">
        <v>313</v>
      </c>
      <c r="N137" s="358" t="s">
        <v>578</v>
      </c>
      <c r="O137" s="353" t="s">
        <v>415</v>
      </c>
      <c r="P137" s="393" t="s">
        <v>113</v>
      </c>
      <c r="Q137" s="354">
        <v>450</v>
      </c>
      <c r="R137" s="353" t="s">
        <v>415</v>
      </c>
      <c r="S137" s="353" t="s">
        <v>415</v>
      </c>
      <c r="T137" s="353" t="s">
        <v>415</v>
      </c>
      <c r="U137" s="360" t="s">
        <v>415</v>
      </c>
      <c r="V137" s="362">
        <f>SUM(Table24[[#This Row],[A1toA3_GWP]:[C1toC4_GWP]])</f>
        <v>188.4</v>
      </c>
      <c r="W137" s="362"/>
      <c r="X137" s="362"/>
      <c r="Y137" s="362">
        <f>Table24[[#This Row],[Total_GWP]]*Table24[[#This Row],[DENSITY]]/1000</f>
        <v>84.78</v>
      </c>
      <c r="Z137" s="363">
        <v>139</v>
      </c>
      <c r="AA137" s="364">
        <v>49.4</v>
      </c>
      <c r="AB137" s="365"/>
      <c r="AC137" s="365"/>
      <c r="AD137" s="365"/>
      <c r="AE137" s="366"/>
      <c r="AF137" s="361">
        <f>545*1000</f>
        <v>545000</v>
      </c>
      <c r="AG137" s="361">
        <f>Table24[[#This Row],[Total_UBP]]*Table24[[#This Row],[DENSITY]]/1000</f>
        <v>245250</v>
      </c>
      <c r="AH137" s="361">
        <f>0.849*1000</f>
        <v>849</v>
      </c>
      <c r="AI137" s="366">
        <f>Table24[[#This Row],[Graue_Energie]]*Table24[[#This Row],[DENSITY]]/1000</f>
        <v>382.05</v>
      </c>
      <c r="AJ137" s="386">
        <f ca="1">IF(OR($E137="Ecoinvent",$E137="Betonsortenrechner",$E137="KBOB",$V137&lt;=0,Table24[[#This Row],[VALID_TO]]&lt;=TODAY()),0,1)</f>
        <v>0</v>
      </c>
      <c r="AK137" s="361">
        <v>1</v>
      </c>
      <c r="AL137" s="361">
        <f ca="1">IF(AND(Table24[[#This Row],[ValidEPD]]&lt;&gt;0,Table24[[#This Row],[Man_Ausschluss]]&lt;&gt;0),1,0)</f>
        <v>0</v>
      </c>
      <c r="AM137" s="362" cm="1">
        <f t="array" aca="1" ref="AM137" ca="1">IF(Table24[[#This Row],[gültig]]&lt;&gt;0,
IF(
OR(
V137=MIN(_xlfn._xlws.FILTER($V$2:$V$298,($P$2:$P$298=P137)*($N$2:$N$298=N137)*($AL$2:$AL$298&lt;&gt;0))),
V137=MAX(_xlfn._xlws.FILTER($V$2:$V$298,($P$2:$P$298=P137)*($N$2:$N$298=N137)*($AL$2:$AL$298&lt;&gt;0))),
ROWS(_xlfn._xlws.FILTER($V$2:$V$298,($P$2:$P$298=P137)*($N$2:$N$298=N137)*($AL$2:$AL$298&lt;&gt;0)))&lt;=2
),1,0),0)</f>
        <v>0</v>
      </c>
      <c r="AN137" s="365"/>
      <c r="AO137" s="352"/>
      <c r="AP137" s="352"/>
    </row>
    <row r="138" spans="1:42" x14ac:dyDescent="0.2">
      <c r="A138" s="161" t="s">
        <v>229</v>
      </c>
      <c r="B138" s="9" t="s">
        <v>502</v>
      </c>
      <c r="C138" s="100">
        <v>137</v>
      </c>
      <c r="D138" s="1" t="s">
        <v>95</v>
      </c>
      <c r="E138" s="162" t="s">
        <v>96</v>
      </c>
      <c r="F138" s="162"/>
      <c r="G138" s="163">
        <v>43248</v>
      </c>
      <c r="H138" s="233">
        <v>45439</v>
      </c>
      <c r="I138" s="84" t="s">
        <v>51</v>
      </c>
      <c r="J138" s="164" t="s">
        <v>51</v>
      </c>
      <c r="K138" s="165" t="s">
        <v>98</v>
      </c>
      <c r="L138" s="228" t="s">
        <v>326</v>
      </c>
      <c r="M138" s="1" t="s">
        <v>313</v>
      </c>
      <c r="N138" s="167" t="s">
        <v>319</v>
      </c>
      <c r="O138" s="1" t="s">
        <v>415</v>
      </c>
      <c r="P138" s="84" t="s">
        <v>1</v>
      </c>
      <c r="Q138" s="84">
        <v>427</v>
      </c>
      <c r="R138" s="162" t="s">
        <v>415</v>
      </c>
      <c r="S138" s="162" t="s">
        <v>415</v>
      </c>
      <c r="T138" s="162" t="s">
        <v>415</v>
      </c>
      <c r="U138" s="168" t="s">
        <v>415</v>
      </c>
      <c r="V138" s="107">
        <f>SUM(Table24[[#This Row],[A1toA3_GWP]:[C1toC4_GWP]])</f>
        <v>169.48477751756423</v>
      </c>
      <c r="W138" s="107">
        <f>VLOOKUP(Table24[[#This Row],[Country PRODUCTION]],[2]Sheet1!$B$11:$F$30,4,FALSE)+Table24[[#This Row],[Total_GWP]]</f>
        <v>174.16477751756423</v>
      </c>
      <c r="X138" s="107">
        <f>VLOOKUP(Table24[[#This Row],[Country PRODUCTION]],[2]Sheet1!$B$11:$F$30,5,FALSE)+Table24[[#This Row],[Total_GWP]]</f>
        <v>169.96477751756422</v>
      </c>
      <c r="Y138" s="107">
        <f>Table24[[#This Row],[Total_GWP]]*Table24[[#This Row],[DENSITY]]/1000</f>
        <v>72.369999999999933</v>
      </c>
      <c r="Z138" s="129">
        <f>-615/Table24[[#This Row],[DENSITY]]*1000</f>
        <v>-1440.2810304449649</v>
      </c>
      <c r="AA138" s="72">
        <f>(1.37+686)/Table24[[#This Row],[DENSITY]]*1000</f>
        <v>1609.7658079625292</v>
      </c>
      <c r="AB138" s="77">
        <f>SUM(Table24[[#This Row],[A1toA3_GWP-biogenic]:[C1toC4_GWP-biogenic]])</f>
        <v>0</v>
      </c>
      <c r="AC138" s="73">
        <f>Table24[[#This Row],[GWP-biogenic]]*Table24[[#This Row],[DENSITY]]/1000</f>
        <v>0</v>
      </c>
      <c r="AD138" s="73" t="s">
        <v>415</v>
      </c>
      <c r="AE138" s="75" t="s">
        <v>415</v>
      </c>
      <c r="AF138" s="107"/>
      <c r="AG138" s="129"/>
      <c r="AH138" s="129"/>
      <c r="AI138" s="75"/>
      <c r="AJ138" s="385">
        <f ca="1">IF(OR($E138="Ecoinvent",$E138="Betonsortenrechner",$E138="KBOB",$V138&lt;=0,Table24[[#This Row],[VALID_TO]]&lt;=TODAY()),0,1)</f>
        <v>0</v>
      </c>
      <c r="AK138" s="199">
        <v>1</v>
      </c>
      <c r="AL138" s="199">
        <f ca="1">IF(AND(Table24[[#This Row],[ValidEPD]]&lt;&gt;0,Table24[[#This Row],[Man_Ausschluss]]&lt;&gt;0),1,0)</f>
        <v>0</v>
      </c>
      <c r="AM138" s="17" cm="1">
        <f t="array" aca="1" ref="AM138" ca="1">IF(Table24[[#This Row],[gültig]]&lt;&gt;0,
IF(
OR(
V138=MIN(_xlfn._xlws.FILTER($V$2:$V$298,($P$2:$P$298=P138)*($N$2:$N$298=N138)*($AL$2:$AL$298&lt;&gt;0))),
V138=MAX(_xlfn._xlws.FILTER($V$2:$V$298,($P$2:$P$298=P138)*($N$2:$N$298=N138)*($AL$2:$AL$298&lt;&gt;0))),
ROWS(_xlfn._xlws.FILTER($V$2:$V$298,($P$2:$P$298=P138)*($N$2:$N$298=N138)*($AL$2:$AL$298&lt;&gt;0)))&lt;=2
),1,0),0)</f>
        <v>0</v>
      </c>
      <c r="AN138" s="138"/>
      <c r="AO138" s="1" t="s">
        <v>416</v>
      </c>
      <c r="AP138" s="1"/>
    </row>
    <row r="139" spans="1:42" x14ac:dyDescent="0.2">
      <c r="A139" s="161" t="s">
        <v>229</v>
      </c>
      <c r="B139" s="9" t="s">
        <v>518</v>
      </c>
      <c r="C139" s="96">
        <v>138</v>
      </c>
      <c r="D139" s="1" t="s">
        <v>95</v>
      </c>
      <c r="E139" s="162" t="s">
        <v>96</v>
      </c>
      <c r="F139" s="162"/>
      <c r="G139" s="163">
        <v>43248</v>
      </c>
      <c r="H139" s="233">
        <v>45439</v>
      </c>
      <c r="I139" s="84" t="s">
        <v>51</v>
      </c>
      <c r="J139" s="164" t="s">
        <v>51</v>
      </c>
      <c r="K139" s="165" t="s">
        <v>98</v>
      </c>
      <c r="L139" s="228" t="s">
        <v>326</v>
      </c>
      <c r="M139" s="1" t="s">
        <v>313</v>
      </c>
      <c r="N139" s="167" t="s">
        <v>319</v>
      </c>
      <c r="O139" s="1" t="s">
        <v>415</v>
      </c>
      <c r="P139" s="84" t="s">
        <v>824</v>
      </c>
      <c r="Q139" s="84">
        <v>427</v>
      </c>
      <c r="R139" s="162" t="s">
        <v>415</v>
      </c>
      <c r="S139" s="162" t="s">
        <v>415</v>
      </c>
      <c r="T139" s="162" t="s">
        <v>415</v>
      </c>
      <c r="U139" s="168" t="s">
        <v>415</v>
      </c>
      <c r="V139" s="107">
        <f>SUM(Table24[[#This Row],[A1toA3_GWP]:[C1toC4_GWP]])</f>
        <v>169.48477751756423</v>
      </c>
      <c r="W139" s="107">
        <f>VLOOKUP(Table24[[#This Row],[Country PRODUCTION]],[2]Sheet1!$B$11:$F$30,4,FALSE)+Table24[[#This Row],[Total_GWP]]</f>
        <v>174.16477751756423</v>
      </c>
      <c r="X139" s="107">
        <f>VLOOKUP(Table24[[#This Row],[Country PRODUCTION]],[2]Sheet1!$B$11:$F$30,5,FALSE)+Table24[[#This Row],[Total_GWP]]</f>
        <v>169.96477751756422</v>
      </c>
      <c r="Y139" s="107">
        <f>Table24[[#This Row],[Total_GWP]]*Table24[[#This Row],[DENSITY]]/1000</f>
        <v>72.369999999999933</v>
      </c>
      <c r="Z139" s="129">
        <f>-615/Table24[[#This Row],[DENSITY]]*1000</f>
        <v>-1440.2810304449649</v>
      </c>
      <c r="AA139" s="72">
        <f>(1.37+686)/Table24[[#This Row],[DENSITY]]*1000</f>
        <v>1609.7658079625292</v>
      </c>
      <c r="AB139" s="77">
        <f>SUM(Table24[[#This Row],[A1toA3_GWP-biogenic]:[C1toC4_GWP-biogenic]])</f>
        <v>0</v>
      </c>
      <c r="AC139" s="77">
        <f>Table24[[#This Row],[GWP-biogenic]]*Table24[[#This Row],[DENSITY]]/1000</f>
        <v>0</v>
      </c>
      <c r="AD139" s="73" t="s">
        <v>415</v>
      </c>
      <c r="AE139" s="75" t="s">
        <v>415</v>
      </c>
      <c r="AF139" s="107"/>
      <c r="AG139" s="129"/>
      <c r="AH139" s="129"/>
      <c r="AI139" s="75"/>
      <c r="AJ139" s="385">
        <f ca="1">IF(OR($E139="Ecoinvent",$E139="Betonsortenrechner",$E139="KBOB",$V139&lt;=0,Table24[[#This Row],[VALID_TO]]&lt;=TODAY()),0,1)</f>
        <v>0</v>
      </c>
      <c r="AK139" s="199">
        <v>1</v>
      </c>
      <c r="AL139" s="199">
        <f ca="1">IF(AND(Table24[[#This Row],[ValidEPD]]&lt;&gt;0,Table24[[#This Row],[Man_Ausschluss]]&lt;&gt;0),1,0)</f>
        <v>0</v>
      </c>
      <c r="AM139" s="17" cm="1">
        <f t="array" aca="1" ref="AM139" ca="1">IF(Table24[[#This Row],[gültig]]&lt;&gt;0,
IF(
OR(
V139=MIN(_xlfn._xlws.FILTER($V$2:$V$298,($P$2:$P$298=P139)*($N$2:$N$298=N139)*($AL$2:$AL$298&lt;&gt;0))),
V139=MAX(_xlfn._xlws.FILTER($V$2:$V$298,($P$2:$P$298=P139)*($N$2:$N$298=N139)*($AL$2:$AL$298&lt;&gt;0))),
ROWS(_xlfn._xlws.FILTER($V$2:$V$298,($P$2:$P$298=P139)*($N$2:$N$298=N139)*($AL$2:$AL$298&lt;&gt;0)))&lt;=2
),1,0),0)</f>
        <v>0</v>
      </c>
      <c r="AN139" s="138"/>
      <c r="AO139" s="1" t="s">
        <v>416</v>
      </c>
      <c r="AP139" s="1"/>
    </row>
    <row r="140" spans="1:42" x14ac:dyDescent="0.2">
      <c r="A140" s="161" t="s">
        <v>229</v>
      </c>
      <c r="B140" s="9" t="s">
        <v>519</v>
      </c>
      <c r="C140" s="96">
        <v>139</v>
      </c>
      <c r="D140" s="1" t="s">
        <v>95</v>
      </c>
      <c r="E140" s="162" t="s">
        <v>96</v>
      </c>
      <c r="F140" s="162"/>
      <c r="G140" s="163">
        <v>43248</v>
      </c>
      <c r="H140" s="233">
        <v>45439</v>
      </c>
      <c r="I140" s="84" t="s">
        <v>51</v>
      </c>
      <c r="J140" s="164" t="s">
        <v>51</v>
      </c>
      <c r="K140" s="165" t="s">
        <v>98</v>
      </c>
      <c r="L140" s="228" t="s">
        <v>326</v>
      </c>
      <c r="M140" s="1" t="s">
        <v>313</v>
      </c>
      <c r="N140" s="167" t="s">
        <v>319</v>
      </c>
      <c r="O140" s="1" t="s">
        <v>415</v>
      </c>
      <c r="P140" s="84" t="s">
        <v>522</v>
      </c>
      <c r="Q140" s="84">
        <v>427</v>
      </c>
      <c r="R140" s="162" t="s">
        <v>415</v>
      </c>
      <c r="S140" s="162" t="s">
        <v>415</v>
      </c>
      <c r="T140" s="162" t="s">
        <v>415</v>
      </c>
      <c r="U140" s="168" t="s">
        <v>415</v>
      </c>
      <c r="V140" s="107">
        <f>SUM(Table24[[#This Row],[A1toA3_GWP]:[C1toC4_GWP]])</f>
        <v>169.48477751756423</v>
      </c>
      <c r="W140" s="107">
        <f>VLOOKUP(Table24[[#This Row],[Country PRODUCTION]],[2]Sheet1!$B$11:$F$30,4,FALSE)+Table24[[#This Row],[Total_GWP]]</f>
        <v>174.16477751756423</v>
      </c>
      <c r="X140" s="107">
        <f>VLOOKUP(Table24[[#This Row],[Country PRODUCTION]],[2]Sheet1!$B$11:$F$30,5,FALSE)+Table24[[#This Row],[Total_GWP]]</f>
        <v>169.96477751756422</v>
      </c>
      <c r="Y140" s="107">
        <f>Table24[[#This Row],[Total_GWP]]*Table24[[#This Row],[DENSITY]]/1000</f>
        <v>72.369999999999933</v>
      </c>
      <c r="Z140" s="129">
        <f>-615/Table24[[#This Row],[DENSITY]]*1000</f>
        <v>-1440.2810304449649</v>
      </c>
      <c r="AA140" s="72">
        <f>(1.37+686)/Table24[[#This Row],[DENSITY]]*1000</f>
        <v>1609.7658079625292</v>
      </c>
      <c r="AB140" s="77">
        <f>SUM(Table24[[#This Row],[A1toA3_GWP-biogenic]:[C1toC4_GWP-biogenic]])</f>
        <v>0</v>
      </c>
      <c r="AC140" s="77">
        <f>Table24[[#This Row],[GWP-biogenic]]*Table24[[#This Row],[DENSITY]]/1000</f>
        <v>0</v>
      </c>
      <c r="AD140" s="73" t="s">
        <v>415</v>
      </c>
      <c r="AE140" s="75" t="s">
        <v>415</v>
      </c>
      <c r="AF140" s="107"/>
      <c r="AG140" s="129"/>
      <c r="AH140" s="129"/>
      <c r="AI140" s="75"/>
      <c r="AJ140" s="385">
        <f ca="1">IF(OR($E140="Ecoinvent",$E140="Betonsortenrechner",$E140="KBOB",$V140&lt;=0,Table24[[#This Row],[VALID_TO]]&lt;=TODAY()),0,1)</f>
        <v>0</v>
      </c>
      <c r="AK140" s="199">
        <v>1</v>
      </c>
      <c r="AL140" s="199">
        <f ca="1">IF(AND(Table24[[#This Row],[ValidEPD]]&lt;&gt;0,Table24[[#This Row],[Man_Ausschluss]]&lt;&gt;0),1,0)</f>
        <v>0</v>
      </c>
      <c r="AM140" s="17" cm="1">
        <f t="array" aca="1" ref="AM140" ca="1">IF(Table24[[#This Row],[gültig]]&lt;&gt;0,
IF(
OR(
V140=MIN(_xlfn._xlws.FILTER($V$2:$V$298,($P$2:$P$298=P140)*($N$2:$N$298=N140)*($AL$2:$AL$298&lt;&gt;0))),
V140=MAX(_xlfn._xlws.FILTER($V$2:$V$298,($P$2:$P$298=P140)*($N$2:$N$298=N140)*($AL$2:$AL$298&lt;&gt;0))),
ROWS(_xlfn._xlws.FILTER($V$2:$V$298,($P$2:$P$298=P140)*($N$2:$N$298=N140)*($AL$2:$AL$298&lt;&gt;0)))&lt;=2
),1,0),0)</f>
        <v>0</v>
      </c>
      <c r="AN140" s="138"/>
      <c r="AO140" s="1" t="s">
        <v>416</v>
      </c>
      <c r="AP140" s="1"/>
    </row>
    <row r="141" spans="1:42" x14ac:dyDescent="0.2">
      <c r="A141" s="161" t="s">
        <v>229</v>
      </c>
      <c r="B141" s="9" t="s">
        <v>520</v>
      </c>
      <c r="C141" s="100">
        <v>140</v>
      </c>
      <c r="D141" s="1" t="s">
        <v>95</v>
      </c>
      <c r="E141" s="162" t="s">
        <v>96</v>
      </c>
      <c r="F141" s="162"/>
      <c r="G141" s="163">
        <v>43248</v>
      </c>
      <c r="H141" s="233">
        <v>45439</v>
      </c>
      <c r="I141" s="84" t="s">
        <v>51</v>
      </c>
      <c r="J141" s="164" t="s">
        <v>51</v>
      </c>
      <c r="K141" s="165" t="s">
        <v>98</v>
      </c>
      <c r="L141" s="228" t="s">
        <v>326</v>
      </c>
      <c r="M141" s="1" t="s">
        <v>313</v>
      </c>
      <c r="N141" s="167" t="s">
        <v>319</v>
      </c>
      <c r="O141" s="1" t="s">
        <v>415</v>
      </c>
      <c r="P141" s="84" t="s">
        <v>826</v>
      </c>
      <c r="Q141" s="84">
        <v>427</v>
      </c>
      <c r="R141" s="162" t="s">
        <v>415</v>
      </c>
      <c r="S141" s="162" t="s">
        <v>415</v>
      </c>
      <c r="T141" s="162" t="s">
        <v>415</v>
      </c>
      <c r="U141" s="168" t="s">
        <v>415</v>
      </c>
      <c r="V141" s="107">
        <f>SUM(Table24[[#This Row],[A1toA3_GWP]:[C1toC4_GWP]])</f>
        <v>169.48477751756423</v>
      </c>
      <c r="W141" s="107">
        <f>VLOOKUP(Table24[[#This Row],[Country PRODUCTION]],[2]Sheet1!$B$11:$F$30,4,FALSE)+Table24[[#This Row],[Total_GWP]]</f>
        <v>174.16477751756423</v>
      </c>
      <c r="X141" s="107">
        <f>VLOOKUP(Table24[[#This Row],[Country PRODUCTION]],[2]Sheet1!$B$11:$F$30,5,FALSE)+Table24[[#This Row],[Total_GWP]]</f>
        <v>169.96477751756422</v>
      </c>
      <c r="Y141" s="107">
        <f>Table24[[#This Row],[Total_GWP]]*Table24[[#This Row],[DENSITY]]/1000</f>
        <v>72.369999999999933</v>
      </c>
      <c r="Z141" s="129">
        <f>-615/Table24[[#This Row],[DENSITY]]*1000</f>
        <v>-1440.2810304449649</v>
      </c>
      <c r="AA141" s="72">
        <f>(1.37+686)/Table24[[#This Row],[DENSITY]]*1000</f>
        <v>1609.7658079625292</v>
      </c>
      <c r="AB141" s="77">
        <f>SUM(Table24[[#This Row],[A1toA3_GWP-biogenic]:[C1toC4_GWP-biogenic]])</f>
        <v>0</v>
      </c>
      <c r="AC141" s="77">
        <f>Table24[[#This Row],[GWP-biogenic]]*Table24[[#This Row],[DENSITY]]/1000</f>
        <v>0</v>
      </c>
      <c r="AD141" s="73" t="s">
        <v>415</v>
      </c>
      <c r="AE141" s="75" t="s">
        <v>415</v>
      </c>
      <c r="AF141" s="107"/>
      <c r="AG141" s="129"/>
      <c r="AH141" s="129"/>
      <c r="AI141" s="75"/>
      <c r="AJ141" s="385">
        <f ca="1">IF(OR($E141="Ecoinvent",$E141="Betonsortenrechner",$E141="KBOB",$V141&lt;=0,Table24[[#This Row],[VALID_TO]]&lt;=TODAY()),0,1)</f>
        <v>0</v>
      </c>
      <c r="AK141" s="199">
        <v>1</v>
      </c>
      <c r="AL141" s="199">
        <f ca="1">IF(AND(Table24[[#This Row],[ValidEPD]]&lt;&gt;0,Table24[[#This Row],[Man_Ausschluss]]&lt;&gt;0),1,0)</f>
        <v>0</v>
      </c>
      <c r="AM141" s="17" cm="1">
        <f t="array" aca="1" ref="AM141" ca="1">IF(Table24[[#This Row],[gültig]]&lt;&gt;0,
IF(
OR(
V141=MIN(_xlfn._xlws.FILTER($V$2:$V$298,($P$2:$P$298=P141)*($N$2:$N$298=N141)*($AL$2:$AL$298&lt;&gt;0))),
V141=MAX(_xlfn._xlws.FILTER($V$2:$V$298,($P$2:$P$298=P141)*($N$2:$N$298=N141)*($AL$2:$AL$298&lt;&gt;0))),
ROWS(_xlfn._xlws.FILTER($V$2:$V$298,($P$2:$P$298=P141)*($N$2:$N$298=N141)*($AL$2:$AL$298&lt;&gt;0)))&lt;=2
),1,0),0)</f>
        <v>0</v>
      </c>
      <c r="AN141" s="138"/>
      <c r="AO141" s="1" t="s">
        <v>416</v>
      </c>
      <c r="AP141" s="1"/>
    </row>
    <row r="142" spans="1:42" x14ac:dyDescent="0.2">
      <c r="A142" s="161" t="s">
        <v>229</v>
      </c>
      <c r="B142" s="9" t="s">
        <v>521</v>
      </c>
      <c r="C142" s="100">
        <v>141</v>
      </c>
      <c r="D142" s="1" t="s">
        <v>95</v>
      </c>
      <c r="E142" s="162" t="s">
        <v>96</v>
      </c>
      <c r="F142" s="162"/>
      <c r="G142" s="163">
        <v>43248</v>
      </c>
      <c r="H142" s="233">
        <v>45439</v>
      </c>
      <c r="I142" s="84" t="s">
        <v>51</v>
      </c>
      <c r="J142" s="164" t="s">
        <v>51</v>
      </c>
      <c r="K142" s="165" t="s">
        <v>98</v>
      </c>
      <c r="L142" s="228" t="s">
        <v>326</v>
      </c>
      <c r="M142" s="1" t="s">
        <v>313</v>
      </c>
      <c r="N142" s="167" t="s">
        <v>319</v>
      </c>
      <c r="O142" s="1" t="s">
        <v>415</v>
      </c>
      <c r="P142" s="84" t="s">
        <v>825</v>
      </c>
      <c r="Q142" s="84">
        <v>427</v>
      </c>
      <c r="R142" s="162" t="s">
        <v>415</v>
      </c>
      <c r="S142" s="162" t="s">
        <v>415</v>
      </c>
      <c r="T142" s="162" t="s">
        <v>415</v>
      </c>
      <c r="U142" s="168" t="s">
        <v>415</v>
      </c>
      <c r="V142" s="107">
        <f>SUM(Table24[[#This Row],[A1toA3_GWP]:[C1toC4_GWP]])</f>
        <v>169.48477751756423</v>
      </c>
      <c r="W142" s="107">
        <f>VLOOKUP(Table24[[#This Row],[Country PRODUCTION]],[2]Sheet1!$B$11:$F$30,4,FALSE)+Table24[[#This Row],[Total_GWP]]</f>
        <v>174.16477751756423</v>
      </c>
      <c r="X142" s="107">
        <f>VLOOKUP(Table24[[#This Row],[Country PRODUCTION]],[2]Sheet1!$B$11:$F$30,5,FALSE)+Table24[[#This Row],[Total_GWP]]</f>
        <v>169.96477751756422</v>
      </c>
      <c r="Y142" s="107">
        <f>Table24[[#This Row],[Total_GWP]]*Table24[[#This Row],[DENSITY]]/1000</f>
        <v>72.369999999999933</v>
      </c>
      <c r="Z142" s="129">
        <f>-615/Table24[[#This Row],[DENSITY]]*1000</f>
        <v>-1440.2810304449649</v>
      </c>
      <c r="AA142" s="72">
        <f>(1.37+686)/Table24[[#This Row],[DENSITY]]*1000</f>
        <v>1609.7658079625292</v>
      </c>
      <c r="AB142" s="77">
        <f>SUM(Table24[[#This Row],[A1toA3_GWP-biogenic]:[C1toC4_GWP-biogenic]])</f>
        <v>0</v>
      </c>
      <c r="AC142" s="77">
        <f>Table24[[#This Row],[GWP-biogenic]]*Table24[[#This Row],[DENSITY]]/1000</f>
        <v>0</v>
      </c>
      <c r="AD142" s="73" t="s">
        <v>415</v>
      </c>
      <c r="AE142" s="75" t="s">
        <v>415</v>
      </c>
      <c r="AF142" s="107"/>
      <c r="AG142" s="129"/>
      <c r="AH142" s="129"/>
      <c r="AI142" s="75"/>
      <c r="AJ142" s="385">
        <f ca="1">IF(OR($E142="Ecoinvent",$E142="Betonsortenrechner",$E142="KBOB",$V142&lt;=0,Table24[[#This Row],[VALID_TO]]&lt;=TODAY()),0,1)</f>
        <v>0</v>
      </c>
      <c r="AK142" s="199">
        <v>1</v>
      </c>
      <c r="AL142" s="199">
        <f ca="1">IF(AND(Table24[[#This Row],[ValidEPD]]&lt;&gt;0,Table24[[#This Row],[Man_Ausschluss]]&lt;&gt;0),1,0)</f>
        <v>0</v>
      </c>
      <c r="AM142" s="17" cm="1">
        <f t="array" aca="1" ref="AM142" ca="1">IF(Table24[[#This Row],[gültig]]&lt;&gt;0,
IF(
OR(
V142=MIN(_xlfn._xlws.FILTER($V$2:$V$298,($P$2:$P$298=P142)*($N$2:$N$298=N142)*($AL$2:$AL$298&lt;&gt;0))),
V142=MAX(_xlfn._xlws.FILTER($V$2:$V$298,($P$2:$P$298=P142)*($N$2:$N$298=N142)*($AL$2:$AL$298&lt;&gt;0))),
ROWS(_xlfn._xlws.FILTER($V$2:$V$298,($P$2:$P$298=P142)*($N$2:$N$298=N142)*($AL$2:$AL$298&lt;&gt;0)))&lt;=2
),1,0),0)</f>
        <v>0</v>
      </c>
      <c r="AN142" s="138"/>
      <c r="AO142" s="1" t="s">
        <v>416</v>
      </c>
      <c r="AP142" s="1"/>
    </row>
    <row r="143" spans="1:42" x14ac:dyDescent="0.2">
      <c r="A143" s="161" t="s">
        <v>228</v>
      </c>
      <c r="B143" s="9" t="s">
        <v>502</v>
      </c>
      <c r="C143" s="96">
        <v>142</v>
      </c>
      <c r="D143" s="1" t="s">
        <v>97</v>
      </c>
      <c r="E143" s="162" t="s">
        <v>96</v>
      </c>
      <c r="F143" s="162"/>
      <c r="G143" s="163">
        <v>45358</v>
      </c>
      <c r="H143" s="163">
        <v>47183</v>
      </c>
      <c r="I143" s="84" t="s">
        <v>51</v>
      </c>
      <c r="J143" s="164" t="s">
        <v>51</v>
      </c>
      <c r="K143" s="165" t="s">
        <v>98</v>
      </c>
      <c r="L143" s="228" t="s">
        <v>326</v>
      </c>
      <c r="M143" s="1" t="s">
        <v>313</v>
      </c>
      <c r="N143" s="167" t="s">
        <v>319</v>
      </c>
      <c r="O143" s="1" t="s">
        <v>415</v>
      </c>
      <c r="P143" s="84" t="s">
        <v>1</v>
      </c>
      <c r="Q143" s="84">
        <v>424</v>
      </c>
      <c r="R143" s="162" t="s">
        <v>415</v>
      </c>
      <c r="S143" s="162" t="s">
        <v>415</v>
      </c>
      <c r="T143" s="162" t="s">
        <v>415</v>
      </c>
      <c r="U143" s="168" t="s">
        <v>415</v>
      </c>
      <c r="V143" s="107">
        <f>SUM(Table24[[#This Row],[A1toA3_GWP]:[C1toC4_GWP]])</f>
        <v>305.09433962264143</v>
      </c>
      <c r="W143" s="107">
        <f>VLOOKUP(Table24[[#This Row],[Country PRODUCTION]],[2]Sheet1!$B$11:$F$30,4,FALSE)+Table24[[#This Row],[Total_GWP]]</f>
        <v>309.77433962264143</v>
      </c>
      <c r="X143" s="107">
        <f>VLOOKUP(Table24[[#This Row],[Country PRODUCTION]],[2]Sheet1!$B$11:$F$30,5,FALSE)+Table24[[#This Row],[Total_GWP]]</f>
        <v>305.57433962264145</v>
      </c>
      <c r="Y143" s="107">
        <f>Table24[[#This Row],[Total_GWP]]*Table24[[#This Row],[DENSITY]]/1000</f>
        <v>129.35999999999996</v>
      </c>
      <c r="Z143" s="129">
        <f>-559/Table24[[#This Row],[DENSITY]]*1000</f>
        <v>-1318.3962264150944</v>
      </c>
      <c r="AA143" s="72">
        <f>(2.36+686)/Table24[[#This Row],[DENSITY]]*1000</f>
        <v>1623.4905660377358</v>
      </c>
      <c r="AB143" s="77">
        <f>SUM(Table24[[#This Row],[A1toA3_GWP-biogenic]:[C1toC4_GWP-biogenic]])</f>
        <v>0</v>
      </c>
      <c r="AC143" s="77">
        <f>Table24[[#This Row],[GWP-biogenic]]*Table24[[#This Row],[DENSITY]]/1000</f>
        <v>0</v>
      </c>
      <c r="AD143" s="73">
        <f>(-682)/Table24[[#This Row],[DENSITY]]*1000</f>
        <v>-1608.4905660377358</v>
      </c>
      <c r="AE143" s="75">
        <f>(682)/Table24[[#This Row],[DENSITY]]*1000</f>
        <v>1608.4905660377358</v>
      </c>
      <c r="AF143" s="107"/>
      <c r="AG143" s="129"/>
      <c r="AH143" s="129"/>
      <c r="AI143" s="75"/>
      <c r="AJ143" s="385">
        <f ca="1">IF(OR($E143="Ecoinvent",$E143="Betonsortenrechner",$E143="KBOB",$V143&lt;=0,Table24[[#This Row],[VALID_TO]]&lt;=TODAY()),0,1)</f>
        <v>1</v>
      </c>
      <c r="AK143" s="199">
        <v>1</v>
      </c>
      <c r="AL143" s="199">
        <f ca="1">IF(AND(Table24[[#This Row],[ValidEPD]]&lt;&gt;0,Table24[[#This Row],[Man_Ausschluss]]&lt;&gt;0),1,0)</f>
        <v>1</v>
      </c>
      <c r="AM143" s="17" cm="1">
        <f t="array" aca="1" ref="AM143" ca="1">IF(Table24[[#This Row],[gültig]]&lt;&gt;0,
IF(
OR(
V143=MIN(_xlfn._xlws.FILTER($V$2:$V$298,($P$2:$P$298=P143)*($N$2:$N$298=N143)*($AL$2:$AL$298&lt;&gt;0))),
V143=MAX(_xlfn._xlws.FILTER($V$2:$V$298,($P$2:$P$298=P143)*($N$2:$N$298=N143)*($AL$2:$AL$298&lt;&gt;0))),
ROWS(_xlfn._xlws.FILTER($V$2:$V$298,($P$2:$P$298=P143)*($N$2:$N$298=N143)*($AL$2:$AL$298&lt;&gt;0)))&lt;=2
),1,0),0)</f>
        <v>0</v>
      </c>
      <c r="AN143" s="138"/>
      <c r="AO143" s="1" t="s">
        <v>417</v>
      </c>
      <c r="AP143" s="1"/>
    </row>
    <row r="144" spans="1:42" x14ac:dyDescent="0.2">
      <c r="A144" s="161" t="s">
        <v>228</v>
      </c>
      <c r="B144" s="9" t="s">
        <v>518</v>
      </c>
      <c r="C144" s="100">
        <v>143</v>
      </c>
      <c r="D144" s="1" t="s">
        <v>97</v>
      </c>
      <c r="E144" s="162" t="s">
        <v>96</v>
      </c>
      <c r="F144" s="162"/>
      <c r="G144" s="163">
        <v>45358</v>
      </c>
      <c r="H144" s="163">
        <v>47183</v>
      </c>
      <c r="I144" s="84" t="s">
        <v>51</v>
      </c>
      <c r="J144" s="164" t="s">
        <v>51</v>
      </c>
      <c r="K144" s="165" t="s">
        <v>98</v>
      </c>
      <c r="L144" s="228" t="s">
        <v>326</v>
      </c>
      <c r="M144" s="1" t="s">
        <v>313</v>
      </c>
      <c r="N144" s="167" t="s">
        <v>319</v>
      </c>
      <c r="O144" s="1" t="s">
        <v>415</v>
      </c>
      <c r="P144" s="84" t="s">
        <v>824</v>
      </c>
      <c r="Q144" s="84">
        <v>424</v>
      </c>
      <c r="R144" s="162" t="s">
        <v>415</v>
      </c>
      <c r="S144" s="162" t="s">
        <v>415</v>
      </c>
      <c r="T144" s="162" t="s">
        <v>415</v>
      </c>
      <c r="U144" s="168" t="s">
        <v>415</v>
      </c>
      <c r="V144" s="107">
        <f>SUM(Table24[[#This Row],[A1toA3_GWP]:[C1toC4_GWP]])</f>
        <v>305.09433962264143</v>
      </c>
      <c r="W144" s="107">
        <f>VLOOKUP(Table24[[#This Row],[Country PRODUCTION]],[2]Sheet1!$B$11:$F$30,4,FALSE)+Table24[[#This Row],[Total_GWP]]</f>
        <v>309.77433962264143</v>
      </c>
      <c r="X144" s="107">
        <f>VLOOKUP(Table24[[#This Row],[Country PRODUCTION]],[2]Sheet1!$B$11:$F$30,5,FALSE)+Table24[[#This Row],[Total_GWP]]</f>
        <v>305.57433962264145</v>
      </c>
      <c r="Y144" s="107">
        <f>Table24[[#This Row],[Total_GWP]]*Table24[[#This Row],[DENSITY]]/1000</f>
        <v>129.35999999999996</v>
      </c>
      <c r="Z144" s="129">
        <f>-559/Table24[[#This Row],[DENSITY]]*1000</f>
        <v>-1318.3962264150944</v>
      </c>
      <c r="AA144" s="72">
        <f>(2.36+686)/Table24[[#This Row],[DENSITY]]*1000</f>
        <v>1623.4905660377358</v>
      </c>
      <c r="AB144" s="77">
        <f>SUM(Table24[[#This Row],[A1toA3_GWP-biogenic]:[C1toC4_GWP-biogenic]])</f>
        <v>0</v>
      </c>
      <c r="AC144" s="77">
        <f>Table24[[#This Row],[GWP-biogenic]]*Table24[[#This Row],[DENSITY]]/1000</f>
        <v>0</v>
      </c>
      <c r="AD144" s="73">
        <f>(-682)/Table24[[#This Row],[DENSITY]]*1000</f>
        <v>-1608.4905660377358</v>
      </c>
      <c r="AE144" s="75">
        <f>(682)/Table24[[#This Row],[DENSITY]]*1000</f>
        <v>1608.4905660377358</v>
      </c>
      <c r="AF144" s="107"/>
      <c r="AG144" s="129"/>
      <c r="AH144" s="129"/>
      <c r="AI144" s="75"/>
      <c r="AJ144" s="385">
        <f ca="1">IF(OR($E144="Ecoinvent",$E144="Betonsortenrechner",$E144="KBOB",$V144&lt;=0,Table24[[#This Row],[VALID_TO]]&lt;=TODAY()),0,1)</f>
        <v>1</v>
      </c>
      <c r="AK144" s="199">
        <v>1</v>
      </c>
      <c r="AL144" s="199">
        <f ca="1">IF(AND(Table24[[#This Row],[ValidEPD]]&lt;&gt;0,Table24[[#This Row],[Man_Ausschluss]]&lt;&gt;0),1,0)</f>
        <v>1</v>
      </c>
      <c r="AM144" s="17" cm="1">
        <f t="array" aca="1" ref="AM144" ca="1">IF(Table24[[#This Row],[gültig]]&lt;&gt;0,
IF(
OR(
V144=MIN(_xlfn._xlws.FILTER($V$2:$V$298,($P$2:$P$298=P144)*($N$2:$N$298=N144)*($AL$2:$AL$298&lt;&gt;0))),
V144=MAX(_xlfn._xlws.FILTER($V$2:$V$298,($P$2:$P$298=P144)*($N$2:$N$298=N144)*($AL$2:$AL$298&lt;&gt;0))),
ROWS(_xlfn._xlws.FILTER($V$2:$V$298,($P$2:$P$298=P144)*($N$2:$N$298=N144)*($AL$2:$AL$298&lt;&gt;0)))&lt;=2
),1,0),0)</f>
        <v>1</v>
      </c>
      <c r="AN144" s="138"/>
      <c r="AO144" s="1" t="s">
        <v>417</v>
      </c>
      <c r="AP144" s="1"/>
    </row>
    <row r="145" spans="1:42" x14ac:dyDescent="0.2">
      <c r="A145" s="161" t="s">
        <v>228</v>
      </c>
      <c r="B145" s="9" t="s">
        <v>519</v>
      </c>
      <c r="C145" s="100">
        <v>144</v>
      </c>
      <c r="D145" s="1" t="s">
        <v>97</v>
      </c>
      <c r="E145" s="162" t="s">
        <v>96</v>
      </c>
      <c r="F145" s="162"/>
      <c r="G145" s="163">
        <v>45358</v>
      </c>
      <c r="H145" s="163">
        <v>47183</v>
      </c>
      <c r="I145" s="84" t="s">
        <v>51</v>
      </c>
      <c r="J145" s="164" t="s">
        <v>51</v>
      </c>
      <c r="K145" s="165" t="s">
        <v>98</v>
      </c>
      <c r="L145" s="228" t="s">
        <v>326</v>
      </c>
      <c r="M145" s="1" t="s">
        <v>313</v>
      </c>
      <c r="N145" s="167" t="s">
        <v>319</v>
      </c>
      <c r="O145" s="1" t="s">
        <v>415</v>
      </c>
      <c r="P145" s="84" t="s">
        <v>522</v>
      </c>
      <c r="Q145" s="84">
        <v>424</v>
      </c>
      <c r="R145" s="162" t="s">
        <v>415</v>
      </c>
      <c r="S145" s="162" t="s">
        <v>415</v>
      </c>
      <c r="T145" s="162" t="s">
        <v>415</v>
      </c>
      <c r="U145" s="168" t="s">
        <v>415</v>
      </c>
      <c r="V145" s="107">
        <f>SUM(Table24[[#This Row],[A1toA3_GWP]:[C1toC4_GWP]])</f>
        <v>305.09433962264143</v>
      </c>
      <c r="W145" s="107">
        <f>VLOOKUP(Table24[[#This Row],[Country PRODUCTION]],[2]Sheet1!$B$11:$F$30,4,FALSE)+Table24[[#This Row],[Total_GWP]]</f>
        <v>309.77433962264143</v>
      </c>
      <c r="X145" s="107">
        <f>VLOOKUP(Table24[[#This Row],[Country PRODUCTION]],[2]Sheet1!$B$11:$F$30,5,FALSE)+Table24[[#This Row],[Total_GWP]]</f>
        <v>305.57433962264145</v>
      </c>
      <c r="Y145" s="107">
        <f>Table24[[#This Row],[Total_GWP]]*Table24[[#This Row],[DENSITY]]/1000</f>
        <v>129.35999999999996</v>
      </c>
      <c r="Z145" s="129">
        <f>-559/Table24[[#This Row],[DENSITY]]*1000</f>
        <v>-1318.3962264150944</v>
      </c>
      <c r="AA145" s="72">
        <f>(2.36+686)/Table24[[#This Row],[DENSITY]]*1000</f>
        <v>1623.4905660377358</v>
      </c>
      <c r="AB145" s="77">
        <f>SUM(Table24[[#This Row],[A1toA3_GWP-biogenic]:[C1toC4_GWP-biogenic]])</f>
        <v>0</v>
      </c>
      <c r="AC145" s="77">
        <f>Table24[[#This Row],[GWP-biogenic]]*Table24[[#This Row],[DENSITY]]/1000</f>
        <v>0</v>
      </c>
      <c r="AD145" s="73">
        <f>(-682)/Table24[[#This Row],[DENSITY]]*1000</f>
        <v>-1608.4905660377358</v>
      </c>
      <c r="AE145" s="75">
        <f>(682)/Table24[[#This Row],[DENSITY]]*1000</f>
        <v>1608.4905660377358</v>
      </c>
      <c r="AF145" s="107"/>
      <c r="AG145" s="129"/>
      <c r="AH145" s="129"/>
      <c r="AI145" s="75"/>
      <c r="AJ145" s="385">
        <f ca="1">IF(OR($E145="Ecoinvent",$E145="Betonsortenrechner",$E145="KBOB",$V145&lt;=0,Table24[[#This Row],[VALID_TO]]&lt;=TODAY()),0,1)</f>
        <v>1</v>
      </c>
      <c r="AK145" s="199">
        <v>1</v>
      </c>
      <c r="AL145" s="199">
        <f ca="1">IF(AND(Table24[[#This Row],[ValidEPD]]&lt;&gt;0,Table24[[#This Row],[Man_Ausschluss]]&lt;&gt;0),1,0)</f>
        <v>1</v>
      </c>
      <c r="AM145" s="17" cm="1">
        <f t="array" aca="1" ref="AM145" ca="1">IF(Table24[[#This Row],[gültig]]&lt;&gt;0,
IF(
OR(
V145=MIN(_xlfn._xlws.FILTER($V$2:$V$298,($P$2:$P$298=P145)*($N$2:$N$298=N145)*($AL$2:$AL$298&lt;&gt;0))),
V145=MAX(_xlfn._xlws.FILTER($V$2:$V$298,($P$2:$P$298=P145)*($N$2:$N$298=N145)*($AL$2:$AL$298&lt;&gt;0))),
ROWS(_xlfn._xlws.FILTER($V$2:$V$298,($P$2:$P$298=P145)*($N$2:$N$298=N145)*($AL$2:$AL$298&lt;&gt;0)))&lt;=2
),1,0),0)</f>
        <v>0</v>
      </c>
      <c r="AN145" s="138"/>
      <c r="AO145" s="1" t="s">
        <v>417</v>
      </c>
      <c r="AP145" s="1"/>
    </row>
    <row r="146" spans="1:42" x14ac:dyDescent="0.2">
      <c r="A146" s="161" t="s">
        <v>228</v>
      </c>
      <c r="B146" s="9" t="s">
        <v>520</v>
      </c>
      <c r="C146" s="96">
        <v>145</v>
      </c>
      <c r="D146" s="1" t="s">
        <v>97</v>
      </c>
      <c r="E146" s="162" t="s">
        <v>96</v>
      </c>
      <c r="F146" s="162"/>
      <c r="G146" s="163">
        <v>45358</v>
      </c>
      <c r="H146" s="163">
        <v>47183</v>
      </c>
      <c r="I146" s="84" t="s">
        <v>51</v>
      </c>
      <c r="J146" s="164" t="s">
        <v>51</v>
      </c>
      <c r="K146" s="165" t="s">
        <v>98</v>
      </c>
      <c r="L146" s="228" t="s">
        <v>326</v>
      </c>
      <c r="M146" s="1" t="s">
        <v>313</v>
      </c>
      <c r="N146" s="167" t="s">
        <v>319</v>
      </c>
      <c r="O146" s="1" t="s">
        <v>415</v>
      </c>
      <c r="P146" s="84" t="s">
        <v>826</v>
      </c>
      <c r="Q146" s="84">
        <v>424</v>
      </c>
      <c r="R146" s="162" t="s">
        <v>415</v>
      </c>
      <c r="S146" s="162" t="s">
        <v>415</v>
      </c>
      <c r="T146" s="162" t="s">
        <v>415</v>
      </c>
      <c r="U146" s="168" t="s">
        <v>415</v>
      </c>
      <c r="V146" s="107">
        <f>SUM(Table24[[#This Row],[A1toA3_GWP]:[C1toC4_GWP]])</f>
        <v>305.09433962264143</v>
      </c>
      <c r="W146" s="107">
        <f>VLOOKUP(Table24[[#This Row],[Country PRODUCTION]],[2]Sheet1!$B$11:$F$30,4,FALSE)+Table24[[#This Row],[Total_GWP]]</f>
        <v>309.77433962264143</v>
      </c>
      <c r="X146" s="107">
        <f>VLOOKUP(Table24[[#This Row],[Country PRODUCTION]],[2]Sheet1!$B$11:$F$30,5,FALSE)+Table24[[#This Row],[Total_GWP]]</f>
        <v>305.57433962264145</v>
      </c>
      <c r="Y146" s="107">
        <f>Table24[[#This Row],[Total_GWP]]*Table24[[#This Row],[DENSITY]]/1000</f>
        <v>129.35999999999996</v>
      </c>
      <c r="Z146" s="129">
        <f>-559/Table24[[#This Row],[DENSITY]]*1000</f>
        <v>-1318.3962264150944</v>
      </c>
      <c r="AA146" s="72">
        <f>(2.36+686)/Table24[[#This Row],[DENSITY]]*1000</f>
        <v>1623.4905660377358</v>
      </c>
      <c r="AB146" s="77">
        <f>SUM(Table24[[#This Row],[A1toA3_GWP-biogenic]:[C1toC4_GWP-biogenic]])</f>
        <v>0</v>
      </c>
      <c r="AC146" s="77">
        <f>Table24[[#This Row],[GWP-biogenic]]*Table24[[#This Row],[DENSITY]]/1000</f>
        <v>0</v>
      </c>
      <c r="AD146" s="73">
        <f>(-682)/Table24[[#This Row],[DENSITY]]*1000</f>
        <v>-1608.4905660377358</v>
      </c>
      <c r="AE146" s="75">
        <f>(682)/Table24[[#This Row],[DENSITY]]*1000</f>
        <v>1608.4905660377358</v>
      </c>
      <c r="AF146" s="107"/>
      <c r="AG146" s="129"/>
      <c r="AH146" s="129"/>
      <c r="AI146" s="75"/>
      <c r="AJ146" s="385">
        <f ca="1">IF(OR($E146="Ecoinvent",$E146="Betonsortenrechner",$E146="KBOB",$V146&lt;=0,Table24[[#This Row],[VALID_TO]]&lt;=TODAY()),0,1)</f>
        <v>1</v>
      </c>
      <c r="AK146" s="199">
        <v>1</v>
      </c>
      <c r="AL146" s="199">
        <f ca="1">IF(AND(Table24[[#This Row],[ValidEPD]]&lt;&gt;0,Table24[[#This Row],[Man_Ausschluss]]&lt;&gt;0),1,0)</f>
        <v>1</v>
      </c>
      <c r="AM146" s="17" cm="1">
        <f t="array" aca="1" ref="AM146" ca="1">IF(Table24[[#This Row],[gültig]]&lt;&gt;0,
IF(
OR(
V146=MIN(_xlfn._xlws.FILTER($V$2:$V$298,($P$2:$P$298=P146)*($N$2:$N$298=N146)*($AL$2:$AL$298&lt;&gt;0))),
V146=MAX(_xlfn._xlws.FILTER($V$2:$V$298,($P$2:$P$298=P146)*($N$2:$N$298=N146)*($AL$2:$AL$298&lt;&gt;0))),
ROWS(_xlfn._xlws.FILTER($V$2:$V$298,($P$2:$P$298=P146)*($N$2:$N$298=N146)*($AL$2:$AL$298&lt;&gt;0)))&lt;=2
),1,0),0)</f>
        <v>1</v>
      </c>
      <c r="AN146" s="138"/>
      <c r="AO146" s="1" t="s">
        <v>417</v>
      </c>
      <c r="AP146" s="1"/>
    </row>
    <row r="147" spans="1:42" x14ac:dyDescent="0.2">
      <c r="A147" s="161" t="s">
        <v>228</v>
      </c>
      <c r="B147" s="9" t="s">
        <v>521</v>
      </c>
      <c r="C147" s="96">
        <v>146</v>
      </c>
      <c r="D147" s="1" t="s">
        <v>97</v>
      </c>
      <c r="E147" s="162" t="s">
        <v>96</v>
      </c>
      <c r="F147" s="162"/>
      <c r="G147" s="163">
        <v>45358</v>
      </c>
      <c r="H147" s="163">
        <v>47183</v>
      </c>
      <c r="I147" s="84" t="s">
        <v>51</v>
      </c>
      <c r="J147" s="164" t="s">
        <v>51</v>
      </c>
      <c r="K147" s="165" t="s">
        <v>98</v>
      </c>
      <c r="L147" s="228" t="s">
        <v>326</v>
      </c>
      <c r="M147" s="1" t="s">
        <v>313</v>
      </c>
      <c r="N147" s="167" t="s">
        <v>319</v>
      </c>
      <c r="O147" s="1" t="s">
        <v>415</v>
      </c>
      <c r="P147" s="84" t="s">
        <v>825</v>
      </c>
      <c r="Q147" s="84">
        <v>424</v>
      </c>
      <c r="R147" s="162" t="s">
        <v>415</v>
      </c>
      <c r="S147" s="162" t="s">
        <v>415</v>
      </c>
      <c r="T147" s="162" t="s">
        <v>415</v>
      </c>
      <c r="U147" s="168" t="s">
        <v>415</v>
      </c>
      <c r="V147" s="107">
        <f>SUM(Table24[[#This Row],[A1toA3_GWP]:[C1toC4_GWP]])</f>
        <v>305.09433962264143</v>
      </c>
      <c r="W147" s="107">
        <f>VLOOKUP(Table24[[#This Row],[Country PRODUCTION]],[2]Sheet1!$B$11:$F$30,4,FALSE)+Table24[[#This Row],[Total_GWP]]</f>
        <v>309.77433962264143</v>
      </c>
      <c r="X147" s="107">
        <f>VLOOKUP(Table24[[#This Row],[Country PRODUCTION]],[2]Sheet1!$B$11:$F$30,5,FALSE)+Table24[[#This Row],[Total_GWP]]</f>
        <v>305.57433962264145</v>
      </c>
      <c r="Y147" s="107">
        <f>Table24[[#This Row],[Total_GWP]]*Table24[[#This Row],[DENSITY]]/1000</f>
        <v>129.35999999999996</v>
      </c>
      <c r="Z147" s="129">
        <f>-559/Table24[[#This Row],[DENSITY]]*1000</f>
        <v>-1318.3962264150944</v>
      </c>
      <c r="AA147" s="72">
        <f>(2.36+686)/Table24[[#This Row],[DENSITY]]*1000</f>
        <v>1623.4905660377358</v>
      </c>
      <c r="AB147" s="77">
        <f>SUM(Table24[[#This Row],[A1toA3_GWP-biogenic]:[C1toC4_GWP-biogenic]])</f>
        <v>0</v>
      </c>
      <c r="AC147" s="77">
        <f>Table24[[#This Row],[GWP-biogenic]]*Table24[[#This Row],[DENSITY]]/1000</f>
        <v>0</v>
      </c>
      <c r="AD147" s="73">
        <f>(-682)/Table24[[#This Row],[DENSITY]]*1000</f>
        <v>-1608.4905660377358</v>
      </c>
      <c r="AE147" s="75">
        <f>(682)/Table24[[#This Row],[DENSITY]]*1000</f>
        <v>1608.4905660377358</v>
      </c>
      <c r="AF147" s="107"/>
      <c r="AG147" s="129"/>
      <c r="AH147" s="129"/>
      <c r="AI147" s="75"/>
      <c r="AJ147" s="385">
        <f ca="1">IF(OR($E147="Ecoinvent",$E147="Betonsortenrechner",$E147="KBOB",$V147&lt;=0,Table24[[#This Row],[VALID_TO]]&lt;=TODAY()),0,1)</f>
        <v>1</v>
      </c>
      <c r="AK147" s="199">
        <v>1</v>
      </c>
      <c r="AL147" s="199">
        <f ca="1">IF(AND(Table24[[#This Row],[ValidEPD]]&lt;&gt;0,Table24[[#This Row],[Man_Ausschluss]]&lt;&gt;0),1,0)</f>
        <v>1</v>
      </c>
      <c r="AM147" s="17" cm="1">
        <f t="array" aca="1" ref="AM147" ca="1">IF(Table24[[#This Row],[gültig]]&lt;&gt;0,
IF(
OR(
V147=MIN(_xlfn._xlws.FILTER($V$2:$V$298,($P$2:$P$298=P147)*($N$2:$N$298=N147)*($AL$2:$AL$298&lt;&gt;0))),
V147=MAX(_xlfn._xlws.FILTER($V$2:$V$298,($P$2:$P$298=P147)*($N$2:$N$298=N147)*($AL$2:$AL$298&lt;&gt;0))),
ROWS(_xlfn._xlws.FILTER($V$2:$V$298,($P$2:$P$298=P147)*($N$2:$N$298=N147)*($AL$2:$AL$298&lt;&gt;0)))&lt;=2
),1,0),0)</f>
        <v>1</v>
      </c>
      <c r="AN147" s="138"/>
      <c r="AO147" s="1" t="s">
        <v>417</v>
      </c>
      <c r="AP147" s="1"/>
    </row>
    <row r="148" spans="1:42" x14ac:dyDescent="0.2">
      <c r="A148" s="161" t="s">
        <v>222</v>
      </c>
      <c r="B148" s="9"/>
      <c r="C148" s="100">
        <v>147</v>
      </c>
      <c r="D148" s="1" t="s">
        <v>114</v>
      </c>
      <c r="E148" s="162" t="s">
        <v>96</v>
      </c>
      <c r="F148" s="162"/>
      <c r="G148" s="163">
        <v>44005</v>
      </c>
      <c r="H148" s="163">
        <v>45830</v>
      </c>
      <c r="I148" s="84" t="s">
        <v>51</v>
      </c>
      <c r="J148" s="164" t="s">
        <v>51</v>
      </c>
      <c r="K148" s="165" t="s">
        <v>112</v>
      </c>
      <c r="L148" s="228" t="s">
        <v>490</v>
      </c>
      <c r="M148" s="1" t="s">
        <v>313</v>
      </c>
      <c r="N148" s="167" t="s">
        <v>494</v>
      </c>
      <c r="O148" s="1" t="s">
        <v>415</v>
      </c>
      <c r="P148" s="84" t="s">
        <v>113</v>
      </c>
      <c r="Q148" s="84">
        <v>424</v>
      </c>
      <c r="R148" s="162" t="s">
        <v>415</v>
      </c>
      <c r="S148" s="162" t="s">
        <v>415</v>
      </c>
      <c r="T148" s="162" t="s">
        <v>415</v>
      </c>
      <c r="U148" s="168" t="s">
        <v>415</v>
      </c>
      <c r="V148" s="107">
        <f>SUM(Table24[[#This Row],[A1toA3_GWP]:[C1toC4_GWP]])</f>
        <v>185.49528301886789</v>
      </c>
      <c r="W148" s="107">
        <f>VLOOKUP(Table24[[#This Row],[Country PRODUCTION]],[2]Sheet1!$B$11:$F$30,4,FALSE)+Table24[[#This Row],[Total_GWP]]</f>
        <v>190.1752830188679</v>
      </c>
      <c r="X148" s="107">
        <f>VLOOKUP(Table24[[#This Row],[Country PRODUCTION]],[2]Sheet1!$B$11:$F$30,5,FALSE)+Table24[[#This Row],[Total_GWP]]</f>
        <v>185.97528301886788</v>
      </c>
      <c r="Y148" s="107">
        <f>Table24[[#This Row],[Total_GWP]]*Table24[[#This Row],[DENSITY]]/1000</f>
        <v>78.649999999999991</v>
      </c>
      <c r="Z148" s="129">
        <f>-623/Table24[[#This Row],[DENSITY]]*1000</f>
        <v>-1469.3396226415093</v>
      </c>
      <c r="AA148" s="72">
        <f>(1.65+700)/Table24[[#This Row],[DENSITY]]*1000</f>
        <v>1654.8349056603772</v>
      </c>
      <c r="AB148" s="77">
        <f>SUM(Table24[[#This Row],[A1toA3_GWP-biogenic]:[C1toC4_GWP-biogenic]])</f>
        <v>0</v>
      </c>
      <c r="AC148" s="77">
        <f>Table24[[#This Row],[GWP-biogenic]]*Table24[[#This Row],[DENSITY]]/1000</f>
        <v>0</v>
      </c>
      <c r="AD148" s="77" t="s">
        <v>415</v>
      </c>
      <c r="AE148" s="76" t="s">
        <v>415</v>
      </c>
      <c r="AF148" s="81"/>
      <c r="AG148" s="87"/>
      <c r="AH148" s="87"/>
      <c r="AI148" s="76"/>
      <c r="AJ148" s="385">
        <f ca="1">IF(OR($E148="Ecoinvent",$E148="Betonsortenrechner",$E148="KBOB",$V148&lt;=0,Table24[[#This Row],[VALID_TO]]&lt;=TODAY()),0,1)</f>
        <v>0</v>
      </c>
      <c r="AK148" s="199">
        <v>1</v>
      </c>
      <c r="AL148" s="199">
        <f ca="1">IF(AND(Table24[[#This Row],[ValidEPD]]&lt;&gt;0,Table24[[#This Row],[Man_Ausschluss]]&lt;&gt;0),1,0)</f>
        <v>0</v>
      </c>
      <c r="AM148" s="17" cm="1">
        <f t="array" aca="1" ref="AM148" ca="1">IF(Table24[[#This Row],[gültig]]&lt;&gt;0,
IF(
OR(
V148=MIN(_xlfn._xlws.FILTER($V$2:$V$298,($P$2:$P$298=P148)*($N$2:$N$298=N148)*($AL$2:$AL$298&lt;&gt;0))),
V148=MAX(_xlfn._xlws.FILTER($V$2:$V$298,($P$2:$P$298=P148)*($N$2:$N$298=N148)*($AL$2:$AL$298&lt;&gt;0))),
ROWS(_xlfn._xlws.FILTER($V$2:$V$298,($P$2:$P$298=P148)*($N$2:$N$298=N148)*($AL$2:$AL$298&lt;&gt;0)))&lt;=2
),1,0),0)</f>
        <v>0</v>
      </c>
      <c r="AN148" s="138"/>
      <c r="AO148" s="1"/>
      <c r="AP148" s="1"/>
    </row>
    <row r="149" spans="1:42" x14ac:dyDescent="0.2">
      <c r="A149" s="161" t="s">
        <v>223</v>
      </c>
      <c r="B149" s="9" t="s">
        <v>502</v>
      </c>
      <c r="C149" s="96">
        <v>148</v>
      </c>
      <c r="D149" s="1" t="s">
        <v>99</v>
      </c>
      <c r="E149" s="162" t="s">
        <v>100</v>
      </c>
      <c r="F149" s="162"/>
      <c r="G149" s="163">
        <v>45387</v>
      </c>
      <c r="H149" s="163">
        <v>47212</v>
      </c>
      <c r="I149" s="84" t="s">
        <v>240</v>
      </c>
      <c r="J149" s="164" t="s">
        <v>240</v>
      </c>
      <c r="K149" s="165" t="s">
        <v>98</v>
      </c>
      <c r="L149" s="228" t="s">
        <v>326</v>
      </c>
      <c r="M149" s="1" t="s">
        <v>313</v>
      </c>
      <c r="N149" s="167" t="s">
        <v>319</v>
      </c>
      <c r="O149" s="1" t="s">
        <v>415</v>
      </c>
      <c r="P149" s="84" t="s">
        <v>1</v>
      </c>
      <c r="Q149" s="84">
        <v>466</v>
      </c>
      <c r="R149" s="162" t="s">
        <v>415</v>
      </c>
      <c r="S149" s="162" t="s">
        <v>415</v>
      </c>
      <c r="T149" s="162" t="s">
        <v>415</v>
      </c>
      <c r="U149" s="168" t="s">
        <v>415</v>
      </c>
      <c r="V149" s="107">
        <f>SUM(Table24[[#This Row],[A1toA3_GWP]:[C1toC4_GWP]])</f>
        <v>190.53648068669531</v>
      </c>
      <c r="W149" s="107">
        <f>VLOOKUP(Table24[[#This Row],[Country PRODUCTION]],[2]Sheet1!$B$11:$F$30,4,FALSE)+Table24[[#This Row],[Total_GWP]]</f>
        <v>260.7364806866953</v>
      </c>
      <c r="X149" s="107">
        <f>VLOOKUP(Table24[[#This Row],[Country PRODUCTION]],[2]Sheet1!$B$11:$F$30,5,FALSE)+Table24[[#This Row],[Total_GWP]]</f>
        <v>197.7364806866953</v>
      </c>
      <c r="Y149" s="107">
        <f>Table24[[#This Row],[Total_GWP]]*Table24[[#This Row],[DENSITY]]/1000</f>
        <v>88.79000000000002</v>
      </c>
      <c r="Z149" s="129">
        <f>-677/Table24[[#This Row],[DENSITY]]*1000</f>
        <v>-1452.7896995708154</v>
      </c>
      <c r="AA149" s="72">
        <f>(1.79+764)/Table24[[#This Row],[DENSITY]]*1000</f>
        <v>1643.3261802575107</v>
      </c>
      <c r="AB149" s="77">
        <f>SUM(Table24[[#This Row],[A1toA3_GWP-biogenic]:[C1toC4_GWP-biogenic]])</f>
        <v>4.4407725321887028</v>
      </c>
      <c r="AC149" s="77">
        <f>Table24[[#This Row],[GWP-biogenic]]*Table24[[#This Row],[DENSITY]]/1000</f>
        <v>2.0693999999999355</v>
      </c>
      <c r="AD149" s="73">
        <f>(-759)/Table24[[#This Row],[DENSITY]]*1000</f>
        <v>-1628.755364806867</v>
      </c>
      <c r="AE149" s="75">
        <f>(6.94*10^-2+761)/Table24[[#This Row],[DENSITY]]*1000</f>
        <v>1633.1961373390557</v>
      </c>
      <c r="AF149" s="107"/>
      <c r="AG149" s="129"/>
      <c r="AH149" s="129"/>
      <c r="AI149" s="75"/>
      <c r="AJ149" s="385">
        <f ca="1">IF(OR($E149="Ecoinvent",$E149="Betonsortenrechner",$E149="KBOB",$V149&lt;=0,Table24[[#This Row],[VALID_TO]]&lt;=TODAY()),0,1)</f>
        <v>1</v>
      </c>
      <c r="AK149" s="199">
        <v>1</v>
      </c>
      <c r="AL149" s="199">
        <f ca="1">IF(AND(Table24[[#This Row],[ValidEPD]]&lt;&gt;0,Table24[[#This Row],[Man_Ausschluss]]&lt;&gt;0),1,0)</f>
        <v>1</v>
      </c>
      <c r="AM149" s="17" cm="1">
        <f t="array" aca="1" ref="AM149" ca="1">IF(Table24[[#This Row],[gültig]]&lt;&gt;0,
IF(
OR(
V149=MIN(_xlfn._xlws.FILTER($V$2:$V$298,($P$2:$P$298=P149)*($N$2:$N$298=N149)*($AL$2:$AL$298&lt;&gt;0))),
V149=MAX(_xlfn._xlws.FILTER($V$2:$V$298,($P$2:$P$298=P149)*($N$2:$N$298=N149)*($AL$2:$AL$298&lt;&gt;0))),
ROWS(_xlfn._xlws.FILTER($V$2:$V$298,($P$2:$P$298=P149)*($N$2:$N$298=N149)*($AL$2:$AL$298&lt;&gt;0)))&lt;=2
),1,0),0)</f>
        <v>0</v>
      </c>
      <c r="AN149" s="138"/>
      <c r="AO149" s="1" t="s">
        <v>419</v>
      </c>
      <c r="AP149" s="1"/>
    </row>
    <row r="150" spans="1:42" x14ac:dyDescent="0.2">
      <c r="A150" s="161" t="s">
        <v>223</v>
      </c>
      <c r="B150" s="9" t="s">
        <v>518</v>
      </c>
      <c r="C150" s="100">
        <v>149</v>
      </c>
      <c r="D150" s="1" t="s">
        <v>99</v>
      </c>
      <c r="E150" s="162" t="s">
        <v>100</v>
      </c>
      <c r="F150" s="162"/>
      <c r="G150" s="163">
        <v>45387</v>
      </c>
      <c r="H150" s="163">
        <v>47212</v>
      </c>
      <c r="I150" s="84" t="s">
        <v>240</v>
      </c>
      <c r="J150" s="164" t="s">
        <v>240</v>
      </c>
      <c r="K150" s="165" t="s">
        <v>98</v>
      </c>
      <c r="L150" s="228" t="s">
        <v>326</v>
      </c>
      <c r="M150" s="1" t="s">
        <v>313</v>
      </c>
      <c r="N150" s="167" t="s">
        <v>319</v>
      </c>
      <c r="O150" s="1" t="s">
        <v>415</v>
      </c>
      <c r="P150" s="84" t="s">
        <v>824</v>
      </c>
      <c r="Q150" s="84">
        <v>466</v>
      </c>
      <c r="R150" s="162" t="s">
        <v>415</v>
      </c>
      <c r="S150" s="162" t="s">
        <v>415</v>
      </c>
      <c r="T150" s="162" t="s">
        <v>415</v>
      </c>
      <c r="U150" s="168" t="s">
        <v>415</v>
      </c>
      <c r="V150" s="107">
        <f>SUM(Table24[[#This Row],[A1toA3_GWP]:[C1toC4_GWP]])</f>
        <v>190.53648068669531</v>
      </c>
      <c r="W150" s="107">
        <f>VLOOKUP(Table24[[#This Row],[Country PRODUCTION]],[2]Sheet1!$B$11:$F$30,4,FALSE)+Table24[[#This Row],[Total_GWP]]</f>
        <v>260.7364806866953</v>
      </c>
      <c r="X150" s="107">
        <f>VLOOKUP(Table24[[#This Row],[Country PRODUCTION]],[2]Sheet1!$B$11:$F$30,5,FALSE)+Table24[[#This Row],[Total_GWP]]</f>
        <v>197.7364806866953</v>
      </c>
      <c r="Y150" s="107">
        <f>Table24[[#This Row],[Total_GWP]]*Table24[[#This Row],[DENSITY]]/1000</f>
        <v>88.79000000000002</v>
      </c>
      <c r="Z150" s="129">
        <f>-677/Table24[[#This Row],[DENSITY]]*1000</f>
        <v>-1452.7896995708154</v>
      </c>
      <c r="AA150" s="72">
        <f>(1.79+764)/Table24[[#This Row],[DENSITY]]*1000</f>
        <v>1643.3261802575107</v>
      </c>
      <c r="AB150" s="77">
        <f>SUM(Table24[[#This Row],[A1toA3_GWP-biogenic]:[C1toC4_GWP-biogenic]])</f>
        <v>4.4407725321887028</v>
      </c>
      <c r="AC150" s="77">
        <f>Table24[[#This Row],[GWP-biogenic]]*Table24[[#This Row],[DENSITY]]/1000</f>
        <v>2.0693999999999355</v>
      </c>
      <c r="AD150" s="73">
        <f>(-759)/Table24[[#This Row],[DENSITY]]*1000</f>
        <v>-1628.755364806867</v>
      </c>
      <c r="AE150" s="75">
        <f>(6.94*10^-2+761)/Table24[[#This Row],[DENSITY]]*1000</f>
        <v>1633.1961373390557</v>
      </c>
      <c r="AF150" s="107"/>
      <c r="AG150" s="129"/>
      <c r="AH150" s="129"/>
      <c r="AI150" s="75"/>
      <c r="AJ150" s="385">
        <f ca="1">IF(OR($E150="Ecoinvent",$E150="Betonsortenrechner",$E150="KBOB",$V150&lt;=0,Table24[[#This Row],[VALID_TO]]&lt;=TODAY()),0,1)</f>
        <v>1</v>
      </c>
      <c r="AK150" s="199">
        <v>1</v>
      </c>
      <c r="AL150" s="199">
        <f ca="1">IF(AND(Table24[[#This Row],[ValidEPD]]&lt;&gt;0,Table24[[#This Row],[Man_Ausschluss]]&lt;&gt;0),1,0)</f>
        <v>1</v>
      </c>
      <c r="AM150" s="17" cm="1">
        <f t="array" aca="1" ref="AM150" ca="1">IF(Table24[[#This Row],[gültig]]&lt;&gt;0,
IF(
OR(
V150=MIN(_xlfn._xlws.FILTER($V$2:$V$298,($P$2:$P$298=P150)*($N$2:$N$298=N150)*($AL$2:$AL$298&lt;&gt;0))),
V150=MAX(_xlfn._xlws.FILTER($V$2:$V$298,($P$2:$P$298=P150)*($N$2:$N$298=N150)*($AL$2:$AL$298&lt;&gt;0))),
ROWS(_xlfn._xlws.FILTER($V$2:$V$298,($P$2:$P$298=P150)*($N$2:$N$298=N150)*($AL$2:$AL$298&lt;&gt;0)))&lt;=2
),1,0),0)</f>
        <v>1</v>
      </c>
      <c r="AN150" s="138"/>
      <c r="AO150" s="1" t="s">
        <v>419</v>
      </c>
      <c r="AP150" s="1"/>
    </row>
    <row r="151" spans="1:42" x14ac:dyDescent="0.2">
      <c r="A151" s="161" t="s">
        <v>223</v>
      </c>
      <c r="B151" s="9" t="s">
        <v>519</v>
      </c>
      <c r="C151" s="100">
        <v>150</v>
      </c>
      <c r="D151" s="1" t="s">
        <v>99</v>
      </c>
      <c r="E151" s="162" t="s">
        <v>100</v>
      </c>
      <c r="F151" s="162"/>
      <c r="G151" s="163">
        <v>45387</v>
      </c>
      <c r="H151" s="163">
        <v>47212</v>
      </c>
      <c r="I151" s="84" t="s">
        <v>240</v>
      </c>
      <c r="J151" s="164" t="s">
        <v>240</v>
      </c>
      <c r="K151" s="165" t="s">
        <v>98</v>
      </c>
      <c r="L151" s="228" t="s">
        <v>326</v>
      </c>
      <c r="M151" s="1" t="s">
        <v>313</v>
      </c>
      <c r="N151" s="167" t="s">
        <v>319</v>
      </c>
      <c r="O151" s="1" t="s">
        <v>415</v>
      </c>
      <c r="P151" s="84" t="s">
        <v>522</v>
      </c>
      <c r="Q151" s="84">
        <v>466</v>
      </c>
      <c r="R151" s="162" t="s">
        <v>415</v>
      </c>
      <c r="S151" s="162" t="s">
        <v>415</v>
      </c>
      <c r="T151" s="162" t="s">
        <v>415</v>
      </c>
      <c r="U151" s="168" t="s">
        <v>415</v>
      </c>
      <c r="V151" s="107">
        <f>SUM(Table24[[#This Row],[A1toA3_GWP]:[C1toC4_GWP]])</f>
        <v>190.53648068669531</v>
      </c>
      <c r="W151" s="107">
        <f>VLOOKUP(Table24[[#This Row],[Country PRODUCTION]],[2]Sheet1!$B$11:$F$30,4,FALSE)+Table24[[#This Row],[Total_GWP]]</f>
        <v>260.7364806866953</v>
      </c>
      <c r="X151" s="107">
        <f>VLOOKUP(Table24[[#This Row],[Country PRODUCTION]],[2]Sheet1!$B$11:$F$30,5,FALSE)+Table24[[#This Row],[Total_GWP]]</f>
        <v>197.7364806866953</v>
      </c>
      <c r="Y151" s="107">
        <f>Table24[[#This Row],[Total_GWP]]*Table24[[#This Row],[DENSITY]]/1000</f>
        <v>88.79000000000002</v>
      </c>
      <c r="Z151" s="129">
        <f>-677/Table24[[#This Row],[DENSITY]]*1000</f>
        <v>-1452.7896995708154</v>
      </c>
      <c r="AA151" s="72">
        <f>(1.79+764)/Table24[[#This Row],[DENSITY]]*1000</f>
        <v>1643.3261802575107</v>
      </c>
      <c r="AB151" s="77">
        <f>SUM(Table24[[#This Row],[A1toA3_GWP-biogenic]:[C1toC4_GWP-biogenic]])</f>
        <v>4.4407725321887028</v>
      </c>
      <c r="AC151" s="77">
        <f>Table24[[#This Row],[GWP-biogenic]]*Table24[[#This Row],[DENSITY]]/1000</f>
        <v>2.0693999999999355</v>
      </c>
      <c r="AD151" s="73">
        <f>(-759)/Table24[[#This Row],[DENSITY]]*1000</f>
        <v>-1628.755364806867</v>
      </c>
      <c r="AE151" s="75">
        <f>(6.94*10^-2+761)/Table24[[#This Row],[DENSITY]]*1000</f>
        <v>1633.1961373390557</v>
      </c>
      <c r="AF151" s="107"/>
      <c r="AG151" s="129"/>
      <c r="AH151" s="129"/>
      <c r="AI151" s="75"/>
      <c r="AJ151" s="385">
        <f ca="1">IF(OR($E151="Ecoinvent",$E151="Betonsortenrechner",$E151="KBOB",$V151&lt;=0,Table24[[#This Row],[VALID_TO]]&lt;=TODAY()),0,1)</f>
        <v>1</v>
      </c>
      <c r="AK151" s="199">
        <v>1</v>
      </c>
      <c r="AL151" s="199">
        <f ca="1">IF(AND(Table24[[#This Row],[ValidEPD]]&lt;&gt;0,Table24[[#This Row],[Man_Ausschluss]]&lt;&gt;0),1,0)</f>
        <v>1</v>
      </c>
      <c r="AM151" s="17" cm="1">
        <f t="array" aca="1" ref="AM151" ca="1">IF(Table24[[#This Row],[gültig]]&lt;&gt;0,
IF(
OR(
V151=MIN(_xlfn._xlws.FILTER($V$2:$V$298,($P$2:$P$298=P151)*($N$2:$N$298=N151)*($AL$2:$AL$298&lt;&gt;0))),
V151=MAX(_xlfn._xlws.FILTER($V$2:$V$298,($P$2:$P$298=P151)*($N$2:$N$298=N151)*($AL$2:$AL$298&lt;&gt;0))),
ROWS(_xlfn._xlws.FILTER($V$2:$V$298,($P$2:$P$298=P151)*($N$2:$N$298=N151)*($AL$2:$AL$298&lt;&gt;0)))&lt;=2
),1,0),0)</f>
        <v>1</v>
      </c>
      <c r="AN151" s="138"/>
      <c r="AO151" s="1" t="s">
        <v>419</v>
      </c>
      <c r="AP151" s="1"/>
    </row>
    <row r="152" spans="1:42" x14ac:dyDescent="0.2">
      <c r="A152" s="161" t="s">
        <v>223</v>
      </c>
      <c r="B152" s="9" t="s">
        <v>520</v>
      </c>
      <c r="C152" s="96">
        <v>151</v>
      </c>
      <c r="D152" s="1" t="s">
        <v>99</v>
      </c>
      <c r="E152" s="162" t="s">
        <v>100</v>
      </c>
      <c r="F152" s="162"/>
      <c r="G152" s="163">
        <v>45387</v>
      </c>
      <c r="H152" s="163">
        <v>47212</v>
      </c>
      <c r="I152" s="84" t="s">
        <v>240</v>
      </c>
      <c r="J152" s="164" t="s">
        <v>240</v>
      </c>
      <c r="K152" s="165" t="s">
        <v>98</v>
      </c>
      <c r="L152" s="228" t="s">
        <v>326</v>
      </c>
      <c r="M152" s="1" t="s">
        <v>313</v>
      </c>
      <c r="N152" s="167" t="s">
        <v>319</v>
      </c>
      <c r="O152" s="1" t="s">
        <v>415</v>
      </c>
      <c r="P152" s="84" t="s">
        <v>585</v>
      </c>
      <c r="Q152" s="84">
        <v>466</v>
      </c>
      <c r="R152" s="162" t="s">
        <v>415</v>
      </c>
      <c r="S152" s="162" t="s">
        <v>415</v>
      </c>
      <c r="T152" s="162" t="s">
        <v>415</v>
      </c>
      <c r="U152" s="168" t="s">
        <v>415</v>
      </c>
      <c r="V152" s="107">
        <f>SUM(Table24[[#This Row],[A1toA3_GWP]:[C1toC4_GWP]])</f>
        <v>190.53648068669531</v>
      </c>
      <c r="W152" s="107">
        <f>VLOOKUP(Table24[[#This Row],[Country PRODUCTION]],[2]Sheet1!$B$11:$F$30,4,FALSE)+Table24[[#This Row],[Total_GWP]]</f>
        <v>260.7364806866953</v>
      </c>
      <c r="X152" s="107">
        <f>VLOOKUP(Table24[[#This Row],[Country PRODUCTION]],[2]Sheet1!$B$11:$F$30,5,FALSE)+Table24[[#This Row],[Total_GWP]]</f>
        <v>197.7364806866953</v>
      </c>
      <c r="Y152" s="107">
        <f>Table24[[#This Row],[Total_GWP]]*Table24[[#This Row],[DENSITY]]/1000</f>
        <v>88.79000000000002</v>
      </c>
      <c r="Z152" s="129">
        <f>-677/Table24[[#This Row],[DENSITY]]*1000</f>
        <v>-1452.7896995708154</v>
      </c>
      <c r="AA152" s="72">
        <f>(1.79+764)/Table24[[#This Row],[DENSITY]]*1000</f>
        <v>1643.3261802575107</v>
      </c>
      <c r="AB152" s="77">
        <f>SUM(Table24[[#This Row],[A1toA3_GWP-biogenic]:[C1toC4_GWP-biogenic]])</f>
        <v>4.4407725321887028</v>
      </c>
      <c r="AC152" s="77">
        <f>Table24[[#This Row],[GWP-biogenic]]*Table24[[#This Row],[DENSITY]]/1000</f>
        <v>2.0693999999999355</v>
      </c>
      <c r="AD152" s="73">
        <f>(-759)/Table24[[#This Row],[DENSITY]]*1000</f>
        <v>-1628.755364806867</v>
      </c>
      <c r="AE152" s="75">
        <f>(6.94*10^-2+761)/Table24[[#This Row],[DENSITY]]*1000</f>
        <v>1633.1961373390557</v>
      </c>
      <c r="AF152" s="107"/>
      <c r="AG152" s="129"/>
      <c r="AH152" s="129"/>
      <c r="AI152" s="75"/>
      <c r="AJ152" s="385">
        <f ca="1">IF(OR($E152="Ecoinvent",$E152="Betonsortenrechner",$E152="KBOB",$V152&lt;=0,Table24[[#This Row],[VALID_TO]]&lt;=TODAY()),0,1)</f>
        <v>1</v>
      </c>
      <c r="AK152" s="199">
        <v>1</v>
      </c>
      <c r="AL152" s="199">
        <f ca="1">IF(AND(Table24[[#This Row],[ValidEPD]]&lt;&gt;0,Table24[[#This Row],[Man_Ausschluss]]&lt;&gt;0),1,0)</f>
        <v>1</v>
      </c>
      <c r="AM152" s="17" cm="1">
        <f t="array" aca="1" ref="AM152" ca="1">IF(Table24[[#This Row],[gültig]]&lt;&gt;0,
IF(
OR(
V152=MIN(_xlfn._xlws.FILTER($V$2:$V$298,($P$2:$P$298=P152)*($N$2:$N$298=N152)*($AL$2:$AL$298&lt;&gt;0))),
V152=MAX(_xlfn._xlws.FILTER($V$2:$V$298,($P$2:$P$298=P152)*($N$2:$N$298=N152)*($AL$2:$AL$298&lt;&gt;0))),
ROWS(_xlfn._xlws.FILTER($V$2:$V$298,($P$2:$P$298=P152)*($N$2:$N$298=N152)*($AL$2:$AL$298&lt;&gt;0)))&lt;=2
),1,0),0)</f>
        <v>1</v>
      </c>
      <c r="AN152" s="138"/>
      <c r="AO152" s="1" t="s">
        <v>419</v>
      </c>
      <c r="AP152" s="1"/>
    </row>
    <row r="153" spans="1:42" x14ac:dyDescent="0.2">
      <c r="A153" s="161" t="s">
        <v>223</v>
      </c>
      <c r="B153" s="9" t="s">
        <v>521</v>
      </c>
      <c r="C153" s="96">
        <v>152</v>
      </c>
      <c r="D153" s="1" t="s">
        <v>99</v>
      </c>
      <c r="E153" s="162" t="s">
        <v>100</v>
      </c>
      <c r="F153" s="162"/>
      <c r="G153" s="163">
        <v>45387</v>
      </c>
      <c r="H153" s="163">
        <v>47212</v>
      </c>
      <c r="I153" s="84" t="s">
        <v>240</v>
      </c>
      <c r="J153" s="164" t="s">
        <v>240</v>
      </c>
      <c r="K153" s="165" t="s">
        <v>98</v>
      </c>
      <c r="L153" s="228" t="s">
        <v>326</v>
      </c>
      <c r="M153" s="1" t="s">
        <v>313</v>
      </c>
      <c r="N153" s="167" t="s">
        <v>319</v>
      </c>
      <c r="O153" s="1" t="s">
        <v>415</v>
      </c>
      <c r="P153" s="84" t="s">
        <v>536</v>
      </c>
      <c r="Q153" s="84">
        <v>466</v>
      </c>
      <c r="R153" s="162" t="s">
        <v>415</v>
      </c>
      <c r="S153" s="162" t="s">
        <v>415</v>
      </c>
      <c r="T153" s="162" t="s">
        <v>415</v>
      </c>
      <c r="U153" s="168" t="s">
        <v>415</v>
      </c>
      <c r="V153" s="107">
        <f>SUM(Table24[[#This Row],[A1toA3_GWP]:[C1toC4_GWP]])</f>
        <v>190.53648068669531</v>
      </c>
      <c r="W153" s="107">
        <f>VLOOKUP(Table24[[#This Row],[Country PRODUCTION]],[2]Sheet1!$B$11:$F$30,4,FALSE)+Table24[[#This Row],[Total_GWP]]</f>
        <v>260.7364806866953</v>
      </c>
      <c r="X153" s="107">
        <f>VLOOKUP(Table24[[#This Row],[Country PRODUCTION]],[2]Sheet1!$B$11:$F$30,5,FALSE)+Table24[[#This Row],[Total_GWP]]</f>
        <v>197.7364806866953</v>
      </c>
      <c r="Y153" s="107">
        <f>Table24[[#This Row],[Total_GWP]]*Table24[[#This Row],[DENSITY]]/1000</f>
        <v>88.79000000000002</v>
      </c>
      <c r="Z153" s="129">
        <f>-677/Table24[[#This Row],[DENSITY]]*1000</f>
        <v>-1452.7896995708154</v>
      </c>
      <c r="AA153" s="72">
        <f>(1.79+764)/Table24[[#This Row],[DENSITY]]*1000</f>
        <v>1643.3261802575107</v>
      </c>
      <c r="AB153" s="77">
        <f>SUM(Table24[[#This Row],[A1toA3_GWP-biogenic]:[C1toC4_GWP-biogenic]])</f>
        <v>4.4407725321887028</v>
      </c>
      <c r="AC153" s="77">
        <f>Table24[[#This Row],[GWP-biogenic]]*Table24[[#This Row],[DENSITY]]/1000</f>
        <v>2.0693999999999355</v>
      </c>
      <c r="AD153" s="73">
        <f>(-759)/Table24[[#This Row],[DENSITY]]*1000</f>
        <v>-1628.755364806867</v>
      </c>
      <c r="AE153" s="75">
        <f>(6.94*10^-2+761)/Table24[[#This Row],[DENSITY]]*1000</f>
        <v>1633.1961373390557</v>
      </c>
      <c r="AF153" s="107"/>
      <c r="AG153" s="129"/>
      <c r="AH153" s="129"/>
      <c r="AI153" s="75"/>
      <c r="AJ153" s="385">
        <f ca="1">IF(OR($E153="Ecoinvent",$E153="Betonsortenrechner",$E153="KBOB",$V153&lt;=0,Table24[[#This Row],[VALID_TO]]&lt;=TODAY()),0,1)</f>
        <v>1</v>
      </c>
      <c r="AK153" s="199">
        <v>1</v>
      </c>
      <c r="AL153" s="199">
        <f ca="1">IF(AND(Table24[[#This Row],[ValidEPD]]&lt;&gt;0,Table24[[#This Row],[Man_Ausschluss]]&lt;&gt;0),1,0)</f>
        <v>1</v>
      </c>
      <c r="AM153" s="17" cm="1">
        <f t="array" aca="1" ref="AM153" ca="1">IF(Table24[[#This Row],[gültig]]&lt;&gt;0,
IF(
OR(
V153=MIN(_xlfn._xlws.FILTER($V$2:$V$298,($P$2:$P$298=P153)*($N$2:$N$298=N153)*($AL$2:$AL$298&lt;&gt;0))),
V153=MAX(_xlfn._xlws.FILTER($V$2:$V$298,($P$2:$P$298=P153)*($N$2:$N$298=N153)*($AL$2:$AL$298&lt;&gt;0))),
ROWS(_xlfn._xlws.FILTER($V$2:$V$298,($P$2:$P$298=P153)*($N$2:$N$298=N153)*($AL$2:$AL$298&lt;&gt;0)))&lt;=2
),1,0),0)</f>
        <v>1</v>
      </c>
      <c r="AN153" s="138"/>
      <c r="AO153" s="1" t="s">
        <v>419</v>
      </c>
      <c r="AP153" s="1"/>
    </row>
    <row r="154" spans="1:42" x14ac:dyDescent="0.2">
      <c r="A154" s="161" t="s">
        <v>260</v>
      </c>
      <c r="B154" s="9" t="s">
        <v>502</v>
      </c>
      <c r="C154" s="100">
        <v>153</v>
      </c>
      <c r="D154" s="1" t="s">
        <v>101</v>
      </c>
      <c r="E154" s="162" t="s">
        <v>102</v>
      </c>
      <c r="F154" s="162"/>
      <c r="G154" s="163">
        <v>44411</v>
      </c>
      <c r="H154" s="163">
        <v>46236</v>
      </c>
      <c r="I154" s="84" t="s">
        <v>240</v>
      </c>
      <c r="J154" s="164" t="s">
        <v>244</v>
      </c>
      <c r="K154" s="165" t="s">
        <v>98</v>
      </c>
      <c r="L154" s="228" t="s">
        <v>326</v>
      </c>
      <c r="M154" s="1" t="s">
        <v>313</v>
      </c>
      <c r="N154" s="167" t="s">
        <v>319</v>
      </c>
      <c r="O154" s="1" t="s">
        <v>415</v>
      </c>
      <c r="P154" s="84" t="s">
        <v>1</v>
      </c>
      <c r="Q154" s="84">
        <v>470</v>
      </c>
      <c r="R154" s="162" t="s">
        <v>415</v>
      </c>
      <c r="S154" s="162" t="s">
        <v>415</v>
      </c>
      <c r="T154" s="162" t="s">
        <v>415</v>
      </c>
      <c r="U154" s="168" t="s">
        <v>415</v>
      </c>
      <c r="V154" s="107">
        <f>SUM(Table24[[#This Row],[A1toA3_GWP]:[C1toC4_GWP]])</f>
        <v>311.53191489361689</v>
      </c>
      <c r="W154" s="107">
        <f>VLOOKUP("DE",[2]Sheet1!$B$11:$F$30,4,FALSE)+Table24[[#This Row],[Total_GWP]]</f>
        <v>387.5819148936169</v>
      </c>
      <c r="X154" s="107">
        <f>VLOOKUP("DE",[2]Sheet1!$B$11:$F$30,5,FALSE)+Table24[[#This Row],[Total_GWP]]</f>
        <v>319.3319148936169</v>
      </c>
      <c r="Y154" s="107">
        <f>Table24[[#This Row],[Total_GWP]]*Table24[[#This Row],[DENSITY]]/1000</f>
        <v>146.41999999999993</v>
      </c>
      <c r="Z154" s="129">
        <f>-608/Table24[[#This Row],[DENSITY]]*1000</f>
        <v>-1293.6170212765958</v>
      </c>
      <c r="AA154" s="72">
        <f>(1.42+753)/Table24[[#This Row],[DENSITY]]*1000</f>
        <v>1605.1489361702127</v>
      </c>
      <c r="AB154" s="77">
        <f>SUM(Table24[[#This Row],[A1toA3_GWP-biogenic]:[C1toC4_GWP-biogenic]])</f>
        <v>-6.3865319148935669</v>
      </c>
      <c r="AC154" s="77">
        <f>Table24[[#This Row],[GWP-biogenic]]*Table24[[#This Row],[DENSITY]]/1000</f>
        <v>-3.0016699999999763</v>
      </c>
      <c r="AD154" s="73">
        <f>(-753)/Table24[[#This Row],[DENSITY]]*1000</f>
        <v>-1602.127659574468</v>
      </c>
      <c r="AE154" s="75">
        <f>(-1.67*10^-3+750)/Table24[[#This Row],[DENSITY]]*1000</f>
        <v>1595.7411276595744</v>
      </c>
      <c r="AF154" s="107"/>
      <c r="AG154" s="129"/>
      <c r="AH154" s="129"/>
      <c r="AI154" s="75"/>
      <c r="AJ154" s="385">
        <f ca="1">IF(OR($E154="Ecoinvent",$E154="Betonsortenrechner",$E154="KBOB",$V154&lt;=0,Table24[[#This Row],[VALID_TO]]&lt;=TODAY()),0,1)</f>
        <v>0</v>
      </c>
      <c r="AK154" s="199">
        <v>1</v>
      </c>
      <c r="AL154" s="199">
        <f ca="1">IF(AND(Table24[[#This Row],[ValidEPD]]&lt;&gt;0,Table24[[#This Row],[Man_Ausschluss]]&lt;&gt;0),1,0)</f>
        <v>0</v>
      </c>
      <c r="AM154" s="17" cm="1">
        <f t="array" aca="1" ref="AM154" ca="1">IF(Table24[[#This Row],[gültig]]&lt;&gt;0,
IF(
OR(
V154=MIN(_xlfn._xlws.FILTER($V$2:$V$298,($P$2:$P$298=P154)*($N$2:$N$298=N154)*($AL$2:$AL$298&lt;&gt;0))),
V154=MAX(_xlfn._xlws.FILTER($V$2:$V$298,($P$2:$P$298=P154)*($N$2:$N$298=N154)*($AL$2:$AL$298&lt;&gt;0))),
ROWS(_xlfn._xlws.FILTER($V$2:$V$298,($P$2:$P$298=P154)*($N$2:$N$298=N154)*($AL$2:$AL$298&lt;&gt;0)))&lt;=2
),1,0),0)</f>
        <v>0</v>
      </c>
      <c r="AN154" s="138"/>
      <c r="AO154" s="1" t="s">
        <v>418</v>
      </c>
      <c r="AP154" s="1"/>
    </row>
    <row r="155" spans="1:42" x14ac:dyDescent="0.2">
      <c r="A155" s="161" t="s">
        <v>260</v>
      </c>
      <c r="B155" s="9" t="s">
        <v>518</v>
      </c>
      <c r="C155" s="96">
        <v>154</v>
      </c>
      <c r="D155" s="1" t="s">
        <v>101</v>
      </c>
      <c r="E155" s="162" t="s">
        <v>102</v>
      </c>
      <c r="F155" s="162"/>
      <c r="G155" s="163">
        <v>44411</v>
      </c>
      <c r="H155" s="163">
        <v>46236</v>
      </c>
      <c r="I155" s="84" t="s">
        <v>240</v>
      </c>
      <c r="J155" s="164" t="s">
        <v>244</v>
      </c>
      <c r="K155" s="165" t="s">
        <v>98</v>
      </c>
      <c r="L155" s="228" t="s">
        <v>326</v>
      </c>
      <c r="M155" s="1" t="s">
        <v>313</v>
      </c>
      <c r="N155" s="167" t="s">
        <v>319</v>
      </c>
      <c r="O155" s="1" t="s">
        <v>415</v>
      </c>
      <c r="P155" s="84" t="s">
        <v>824</v>
      </c>
      <c r="Q155" s="84">
        <v>470</v>
      </c>
      <c r="R155" s="162" t="s">
        <v>415</v>
      </c>
      <c r="S155" s="162" t="s">
        <v>415</v>
      </c>
      <c r="T155" s="162" t="s">
        <v>415</v>
      </c>
      <c r="U155" s="168" t="s">
        <v>415</v>
      </c>
      <c r="V155" s="107">
        <f>SUM(Table24[[#This Row],[A1toA3_GWP]:[C1toC4_GWP]])</f>
        <v>311.53191489361689</v>
      </c>
      <c r="W155" s="107">
        <f>VLOOKUP("AT",[2]Sheet1!$B$11:$F$30,4,FALSE)+Table24[[#This Row],[Total_GWP]]</f>
        <v>381.73191489361687</v>
      </c>
      <c r="X155" s="107">
        <f>VLOOKUP("AT",[2]Sheet1!$B$11:$F$30,5,FALSE)+Table24[[#This Row],[Total_GWP]]</f>
        <v>318.73191489361687</v>
      </c>
      <c r="Y155" s="107">
        <f>Table24[[#This Row],[Total_GWP]]*Table24[[#This Row],[DENSITY]]/1000</f>
        <v>146.41999999999993</v>
      </c>
      <c r="Z155" s="129">
        <f>-608/Table24[[#This Row],[DENSITY]]*1000</f>
        <v>-1293.6170212765958</v>
      </c>
      <c r="AA155" s="72">
        <f>(1.42+753)/Table24[[#This Row],[DENSITY]]*1000</f>
        <v>1605.1489361702127</v>
      </c>
      <c r="AB155" s="77">
        <f>SUM(Table24[[#This Row],[A1toA3_GWP-biogenic]:[C1toC4_GWP-biogenic]])</f>
        <v>-6.3865319148935669</v>
      </c>
      <c r="AC155" s="77">
        <f>Table24[[#This Row],[GWP-biogenic]]*Table24[[#This Row],[DENSITY]]/1000</f>
        <v>-3.0016699999999763</v>
      </c>
      <c r="AD155" s="73">
        <f>(-753)/Table24[[#This Row],[DENSITY]]*1000</f>
        <v>-1602.127659574468</v>
      </c>
      <c r="AE155" s="75">
        <f>(-1.67*10^-3+750)/Table24[[#This Row],[DENSITY]]*1000</f>
        <v>1595.7411276595744</v>
      </c>
      <c r="AF155" s="107"/>
      <c r="AG155" s="129"/>
      <c r="AH155" s="129"/>
      <c r="AI155" s="75"/>
      <c r="AJ155" s="385">
        <f ca="1">IF(OR($E155="Ecoinvent",$E155="Betonsortenrechner",$E155="KBOB",$V155&lt;=0,Table24[[#This Row],[VALID_TO]]&lt;=TODAY()),0,1)</f>
        <v>0</v>
      </c>
      <c r="AK155" s="199">
        <v>1</v>
      </c>
      <c r="AL155" s="199">
        <f ca="1">IF(AND(Table24[[#This Row],[ValidEPD]]&lt;&gt;0,Table24[[#This Row],[Man_Ausschluss]]&lt;&gt;0),1,0)</f>
        <v>0</v>
      </c>
      <c r="AM155" s="17" cm="1">
        <f t="array" aca="1" ref="AM155" ca="1">IF(Table24[[#This Row],[gültig]]&lt;&gt;0,
IF(
OR(
V155=MIN(_xlfn._xlws.FILTER($V$2:$V$298,($P$2:$P$298=P155)*($N$2:$N$298=N155)*($AL$2:$AL$298&lt;&gt;0))),
V155=MAX(_xlfn._xlws.FILTER($V$2:$V$298,($P$2:$P$298=P155)*($N$2:$N$298=N155)*($AL$2:$AL$298&lt;&gt;0))),
ROWS(_xlfn._xlws.FILTER($V$2:$V$298,($P$2:$P$298=P155)*($N$2:$N$298=N155)*($AL$2:$AL$298&lt;&gt;0)))&lt;=2
),1,0),0)</f>
        <v>0</v>
      </c>
      <c r="AN155" s="138"/>
      <c r="AO155" s="1" t="s">
        <v>418</v>
      </c>
      <c r="AP155" s="1"/>
    </row>
    <row r="156" spans="1:42" x14ac:dyDescent="0.2">
      <c r="A156" s="161" t="s">
        <v>260</v>
      </c>
      <c r="B156" s="9" t="s">
        <v>519</v>
      </c>
      <c r="C156" s="96">
        <v>155</v>
      </c>
      <c r="D156" s="1" t="s">
        <v>101</v>
      </c>
      <c r="E156" s="162" t="s">
        <v>102</v>
      </c>
      <c r="F156" s="162"/>
      <c r="G156" s="163">
        <v>44411</v>
      </c>
      <c r="H156" s="163">
        <v>46236</v>
      </c>
      <c r="I156" s="84" t="s">
        <v>240</v>
      </c>
      <c r="J156" s="164" t="s">
        <v>244</v>
      </c>
      <c r="K156" s="165" t="s">
        <v>98</v>
      </c>
      <c r="L156" s="228" t="s">
        <v>326</v>
      </c>
      <c r="M156" s="1" t="s">
        <v>313</v>
      </c>
      <c r="N156" s="167" t="s">
        <v>319</v>
      </c>
      <c r="O156" s="1" t="s">
        <v>415</v>
      </c>
      <c r="P156" s="84" t="s">
        <v>522</v>
      </c>
      <c r="Q156" s="84">
        <v>470</v>
      </c>
      <c r="R156" s="162" t="s">
        <v>415</v>
      </c>
      <c r="S156" s="162" t="s">
        <v>415</v>
      </c>
      <c r="T156" s="162" t="s">
        <v>415</v>
      </c>
      <c r="U156" s="168" t="s">
        <v>415</v>
      </c>
      <c r="V156" s="107">
        <f>SUM(Table24[[#This Row],[A1toA3_GWP]:[C1toC4_GWP]])</f>
        <v>311.53191489361689</v>
      </c>
      <c r="W156" s="107">
        <f>VLOOKUP("AT",[2]Sheet1!$B$11:$F$30,4,FALSE)+Table24[[#This Row],[Total_GWP]]</f>
        <v>381.73191489361687</v>
      </c>
      <c r="X156" s="107">
        <f>VLOOKUP("AT",[2]Sheet1!$B$11:$F$30,5,FALSE)+Table24[[#This Row],[Total_GWP]]</f>
        <v>318.73191489361687</v>
      </c>
      <c r="Y156" s="107">
        <f>Table24[[#This Row],[Total_GWP]]*Table24[[#This Row],[DENSITY]]/1000</f>
        <v>146.41999999999993</v>
      </c>
      <c r="Z156" s="129">
        <f>-608/Table24[[#This Row],[DENSITY]]*1000</f>
        <v>-1293.6170212765958</v>
      </c>
      <c r="AA156" s="72">
        <f>(1.42+753)/Table24[[#This Row],[DENSITY]]*1000</f>
        <v>1605.1489361702127</v>
      </c>
      <c r="AB156" s="77">
        <f>SUM(Table24[[#This Row],[A1toA3_GWP-biogenic]:[C1toC4_GWP-biogenic]])</f>
        <v>-6.3865319148935669</v>
      </c>
      <c r="AC156" s="77">
        <f>Table24[[#This Row],[GWP-biogenic]]*Table24[[#This Row],[DENSITY]]/1000</f>
        <v>-3.0016699999999763</v>
      </c>
      <c r="AD156" s="73">
        <f>(-753)/Table24[[#This Row],[DENSITY]]*1000</f>
        <v>-1602.127659574468</v>
      </c>
      <c r="AE156" s="75">
        <f>(-1.67*10^-3+750)/Table24[[#This Row],[DENSITY]]*1000</f>
        <v>1595.7411276595744</v>
      </c>
      <c r="AF156" s="107"/>
      <c r="AG156" s="129"/>
      <c r="AH156" s="129"/>
      <c r="AI156" s="75"/>
      <c r="AJ156" s="385">
        <f ca="1">IF(OR($E156="Ecoinvent",$E156="Betonsortenrechner",$E156="KBOB",$V156&lt;=0,Table24[[#This Row],[VALID_TO]]&lt;=TODAY()),0,1)</f>
        <v>0</v>
      </c>
      <c r="AK156" s="199">
        <v>1</v>
      </c>
      <c r="AL156" s="199">
        <f ca="1">IF(AND(Table24[[#This Row],[ValidEPD]]&lt;&gt;0,Table24[[#This Row],[Man_Ausschluss]]&lt;&gt;0),1,0)</f>
        <v>0</v>
      </c>
      <c r="AM156" s="17" cm="1">
        <f t="array" aca="1" ref="AM156" ca="1">IF(Table24[[#This Row],[gültig]]&lt;&gt;0,
IF(
OR(
V156=MIN(_xlfn._xlws.FILTER($V$2:$V$298,($P$2:$P$298=P156)*($N$2:$N$298=N156)*($AL$2:$AL$298&lt;&gt;0))),
V156=MAX(_xlfn._xlws.FILTER($V$2:$V$298,($P$2:$P$298=P156)*($N$2:$N$298=N156)*($AL$2:$AL$298&lt;&gt;0))),
ROWS(_xlfn._xlws.FILTER($V$2:$V$298,($P$2:$P$298=P156)*($N$2:$N$298=N156)*($AL$2:$AL$298&lt;&gt;0)))&lt;=2
),1,0),0)</f>
        <v>0</v>
      </c>
      <c r="AN156" s="138"/>
      <c r="AO156" s="1" t="s">
        <v>418</v>
      </c>
      <c r="AP156" s="1"/>
    </row>
    <row r="157" spans="1:42" x14ac:dyDescent="0.2">
      <c r="A157" s="161" t="s">
        <v>260</v>
      </c>
      <c r="B157" s="9" t="s">
        <v>520</v>
      </c>
      <c r="C157" s="100">
        <v>156</v>
      </c>
      <c r="D157" s="1" t="s">
        <v>101</v>
      </c>
      <c r="E157" s="162" t="s">
        <v>102</v>
      </c>
      <c r="F157" s="162"/>
      <c r="G157" s="163">
        <v>44411</v>
      </c>
      <c r="H157" s="163">
        <v>46236</v>
      </c>
      <c r="I157" s="84" t="s">
        <v>240</v>
      </c>
      <c r="J157" s="164" t="s">
        <v>244</v>
      </c>
      <c r="K157" s="165" t="s">
        <v>98</v>
      </c>
      <c r="L157" s="228" t="s">
        <v>326</v>
      </c>
      <c r="M157" s="1" t="s">
        <v>313</v>
      </c>
      <c r="N157" s="167" t="s">
        <v>319</v>
      </c>
      <c r="O157" s="1" t="s">
        <v>415</v>
      </c>
      <c r="P157" s="84" t="s">
        <v>826</v>
      </c>
      <c r="Q157" s="84">
        <v>470</v>
      </c>
      <c r="R157" s="162" t="s">
        <v>415</v>
      </c>
      <c r="S157" s="162" t="s">
        <v>415</v>
      </c>
      <c r="T157" s="162" t="s">
        <v>415</v>
      </c>
      <c r="U157" s="168" t="s">
        <v>415</v>
      </c>
      <c r="V157" s="107">
        <f>SUM(Table24[[#This Row],[A1toA3_GWP]:[C1toC4_GWP]])</f>
        <v>311.53191489361689</v>
      </c>
      <c r="W157" s="107">
        <f>VLOOKUP("AT",[2]Sheet1!$B$11:$F$30,4,FALSE)+Table24[[#This Row],[Total_GWP]]</f>
        <v>381.73191489361687</v>
      </c>
      <c r="X157" s="107">
        <f>VLOOKUP("AT",[2]Sheet1!$B$11:$F$30,5,FALSE)+Table24[[#This Row],[Total_GWP]]</f>
        <v>318.73191489361687</v>
      </c>
      <c r="Y157" s="107">
        <f>Table24[[#This Row],[Total_GWP]]*Table24[[#This Row],[DENSITY]]/1000</f>
        <v>146.41999999999993</v>
      </c>
      <c r="Z157" s="129">
        <f>-608/Table24[[#This Row],[DENSITY]]*1000</f>
        <v>-1293.6170212765958</v>
      </c>
      <c r="AA157" s="72">
        <f>(1.42+753)/Table24[[#This Row],[DENSITY]]*1000</f>
        <v>1605.1489361702127</v>
      </c>
      <c r="AB157" s="77">
        <f>SUM(Table24[[#This Row],[A1toA3_GWP-biogenic]:[C1toC4_GWP-biogenic]])</f>
        <v>-6.3865319148935669</v>
      </c>
      <c r="AC157" s="77">
        <f>Table24[[#This Row],[GWP-biogenic]]*Table24[[#This Row],[DENSITY]]/1000</f>
        <v>-3.0016699999999763</v>
      </c>
      <c r="AD157" s="73">
        <f>(-753)/Table24[[#This Row],[DENSITY]]*1000</f>
        <v>-1602.127659574468</v>
      </c>
      <c r="AE157" s="75">
        <f>(-1.67*10^-3+750)/Table24[[#This Row],[DENSITY]]*1000</f>
        <v>1595.7411276595744</v>
      </c>
      <c r="AF157" s="107"/>
      <c r="AG157" s="129"/>
      <c r="AH157" s="129"/>
      <c r="AI157" s="75"/>
      <c r="AJ157" s="385">
        <f ca="1">IF(OR($E157="Ecoinvent",$E157="Betonsortenrechner",$E157="KBOB",$V157&lt;=0,Table24[[#This Row],[VALID_TO]]&lt;=TODAY()),0,1)</f>
        <v>0</v>
      </c>
      <c r="AK157" s="199">
        <v>1</v>
      </c>
      <c r="AL157" s="199">
        <f ca="1">IF(AND(Table24[[#This Row],[ValidEPD]]&lt;&gt;0,Table24[[#This Row],[Man_Ausschluss]]&lt;&gt;0),1,0)</f>
        <v>0</v>
      </c>
      <c r="AM157" s="17" cm="1">
        <f t="array" aca="1" ref="AM157" ca="1">IF(Table24[[#This Row],[gültig]]&lt;&gt;0,
IF(
OR(
V157=MIN(_xlfn._xlws.FILTER($V$2:$V$298,($P$2:$P$298=P157)*($N$2:$N$298=N157)*($AL$2:$AL$298&lt;&gt;0))),
V157=MAX(_xlfn._xlws.FILTER($V$2:$V$298,($P$2:$P$298=P157)*($N$2:$N$298=N157)*($AL$2:$AL$298&lt;&gt;0))),
ROWS(_xlfn._xlws.FILTER($V$2:$V$298,($P$2:$P$298=P157)*($N$2:$N$298=N157)*($AL$2:$AL$298&lt;&gt;0)))&lt;=2
),1,0),0)</f>
        <v>0</v>
      </c>
      <c r="AN157" s="138"/>
      <c r="AO157" s="1" t="s">
        <v>418</v>
      </c>
      <c r="AP157" s="1"/>
    </row>
    <row r="158" spans="1:42" x14ac:dyDescent="0.2">
      <c r="A158" s="161" t="s">
        <v>260</v>
      </c>
      <c r="B158" s="9" t="s">
        <v>521</v>
      </c>
      <c r="C158" s="100">
        <v>157</v>
      </c>
      <c r="D158" s="1" t="s">
        <v>101</v>
      </c>
      <c r="E158" s="162" t="s">
        <v>102</v>
      </c>
      <c r="F158" s="162"/>
      <c r="G158" s="163">
        <v>44411</v>
      </c>
      <c r="H158" s="163">
        <v>46236</v>
      </c>
      <c r="I158" s="84" t="s">
        <v>240</v>
      </c>
      <c r="J158" s="164" t="s">
        <v>244</v>
      </c>
      <c r="K158" s="165" t="s">
        <v>98</v>
      </c>
      <c r="L158" s="228" t="s">
        <v>326</v>
      </c>
      <c r="M158" s="1" t="s">
        <v>313</v>
      </c>
      <c r="N158" s="167" t="s">
        <v>319</v>
      </c>
      <c r="O158" s="1" t="s">
        <v>415</v>
      </c>
      <c r="P158" s="84" t="s">
        <v>825</v>
      </c>
      <c r="Q158" s="84">
        <v>470</v>
      </c>
      <c r="R158" s="162" t="s">
        <v>415</v>
      </c>
      <c r="S158" s="162" t="s">
        <v>415</v>
      </c>
      <c r="T158" s="162" t="s">
        <v>415</v>
      </c>
      <c r="U158" s="168" t="s">
        <v>415</v>
      </c>
      <c r="V158" s="107">
        <f>SUM(Table24[[#This Row],[A1toA3_GWP]:[C1toC4_GWP]])</f>
        <v>311.53191489361689</v>
      </c>
      <c r="W158" s="107">
        <f>VLOOKUP("AT",[2]Sheet1!$B$11:$F$30,4,FALSE)+Table24[[#This Row],[Total_GWP]]</f>
        <v>381.73191489361687</v>
      </c>
      <c r="X158" s="107">
        <f>VLOOKUP("AT",[2]Sheet1!$B$11:$F$30,5,FALSE)+Table24[[#This Row],[Total_GWP]]</f>
        <v>318.73191489361687</v>
      </c>
      <c r="Y158" s="107">
        <f>Table24[[#This Row],[Total_GWP]]*Table24[[#This Row],[DENSITY]]/1000</f>
        <v>146.41999999999993</v>
      </c>
      <c r="Z158" s="129">
        <f>-608/Table24[[#This Row],[DENSITY]]*1000</f>
        <v>-1293.6170212765958</v>
      </c>
      <c r="AA158" s="72">
        <f>(1.42+753)/Table24[[#This Row],[DENSITY]]*1000</f>
        <v>1605.1489361702127</v>
      </c>
      <c r="AB158" s="77">
        <f>SUM(Table24[[#This Row],[A1toA3_GWP-biogenic]:[C1toC4_GWP-biogenic]])</f>
        <v>-6.3865319148935669</v>
      </c>
      <c r="AC158" s="77">
        <f>Table24[[#This Row],[GWP-biogenic]]*Table24[[#This Row],[DENSITY]]/1000</f>
        <v>-3.0016699999999763</v>
      </c>
      <c r="AD158" s="73">
        <f>(-753)/Table24[[#This Row],[DENSITY]]*1000</f>
        <v>-1602.127659574468</v>
      </c>
      <c r="AE158" s="75">
        <f>(-1.67*10^-3+750)/Table24[[#This Row],[DENSITY]]*1000</f>
        <v>1595.7411276595744</v>
      </c>
      <c r="AF158" s="107"/>
      <c r="AG158" s="129"/>
      <c r="AH158" s="129"/>
      <c r="AI158" s="75"/>
      <c r="AJ158" s="385">
        <f ca="1">IF(OR($E158="Ecoinvent",$E158="Betonsortenrechner",$E158="KBOB",$V158&lt;=0,Table24[[#This Row],[VALID_TO]]&lt;=TODAY()),0,1)</f>
        <v>0</v>
      </c>
      <c r="AK158" s="199">
        <v>1</v>
      </c>
      <c r="AL158" s="199">
        <f ca="1">IF(AND(Table24[[#This Row],[ValidEPD]]&lt;&gt;0,Table24[[#This Row],[Man_Ausschluss]]&lt;&gt;0),1,0)</f>
        <v>0</v>
      </c>
      <c r="AM158" s="17" cm="1">
        <f t="array" aca="1" ref="AM158" ca="1">IF(Table24[[#This Row],[gültig]]&lt;&gt;0,
IF(
OR(
V158=MIN(_xlfn._xlws.FILTER($V$2:$V$298,($P$2:$P$298=P158)*($N$2:$N$298=N158)*($AL$2:$AL$298&lt;&gt;0))),
V158=MAX(_xlfn._xlws.FILTER($V$2:$V$298,($P$2:$P$298=P158)*($N$2:$N$298=N158)*($AL$2:$AL$298&lt;&gt;0))),
ROWS(_xlfn._xlws.FILTER($V$2:$V$298,($P$2:$P$298=P158)*($N$2:$N$298=N158)*($AL$2:$AL$298&lt;&gt;0)))&lt;=2
),1,0),0)</f>
        <v>0</v>
      </c>
      <c r="AN158" s="138"/>
      <c r="AO158" s="1" t="s">
        <v>418</v>
      </c>
      <c r="AP158" s="1"/>
    </row>
    <row r="159" spans="1:42" x14ac:dyDescent="0.2">
      <c r="A159" s="161" t="s">
        <v>224</v>
      </c>
      <c r="B159" s="9"/>
      <c r="C159" s="96">
        <v>158</v>
      </c>
      <c r="D159" s="1" t="s">
        <v>103</v>
      </c>
      <c r="E159" s="162" t="s">
        <v>104</v>
      </c>
      <c r="F159" s="162"/>
      <c r="G159" s="163">
        <v>45104</v>
      </c>
      <c r="H159" s="163">
        <v>46930</v>
      </c>
      <c r="I159" s="84" t="s">
        <v>292</v>
      </c>
      <c r="J159" s="164" t="s">
        <v>607</v>
      </c>
      <c r="K159" s="165" t="s">
        <v>98</v>
      </c>
      <c r="L159" s="228" t="s">
        <v>326</v>
      </c>
      <c r="M159" s="1" t="s">
        <v>313</v>
      </c>
      <c r="N159" s="167" t="s">
        <v>319</v>
      </c>
      <c r="O159" s="1" t="s">
        <v>415</v>
      </c>
      <c r="P159" s="84" t="s">
        <v>1</v>
      </c>
      <c r="Q159" s="84">
        <v>464</v>
      </c>
      <c r="R159" s="162" t="s">
        <v>415</v>
      </c>
      <c r="S159" s="162" t="s">
        <v>415</v>
      </c>
      <c r="T159" s="162" t="s">
        <v>415</v>
      </c>
      <c r="U159" s="168" t="s">
        <v>415</v>
      </c>
      <c r="V159" s="107">
        <f>SUM(Table24[[#This Row],[A1toA3_GWP]:[C1toC4_GWP]])</f>
        <v>184.20258620689651</v>
      </c>
      <c r="W159" s="107">
        <f>VLOOKUP("AT",[2]Sheet1!$B$11:$F$30,4,FALSE)+Table24[[#This Row],[Total_GWP]]</f>
        <v>254.4025862068965</v>
      </c>
      <c r="X159" s="107">
        <f>VLOOKUP("AT",[2]Sheet1!$B$11:$F$30,5,FALSE)+Table24[[#This Row],[Total_GWP]]</f>
        <v>191.4025862068965</v>
      </c>
      <c r="Y159" s="107">
        <f>Table24[[#This Row],[Total_GWP]]*Table24[[#This Row],[DENSITY]]/1000</f>
        <v>85.469999999999985</v>
      </c>
      <c r="Z159" s="129">
        <f>-687/Table24[[#This Row],[DENSITY]]*1000</f>
        <v>-1480.6034482758621</v>
      </c>
      <c r="AA159" s="72">
        <f>(1.47+771)/Table24[[#This Row],[DENSITY]]*1000</f>
        <v>1664.8060344827586</v>
      </c>
      <c r="AB159" s="77">
        <f>SUM(Table24[[#This Row],[A1toA3_GWP-biogenic]:[C1toC4_GWP-biogenic]])</f>
        <v>8.4894396551724185</v>
      </c>
      <c r="AC159" s="77">
        <f>Table24[[#This Row],[GWP-biogenic]]*Table24[[#This Row],[DENSITY]]/1000</f>
        <v>3.939100000000002</v>
      </c>
      <c r="AD159" s="73">
        <f>(-763)/Table24[[#This Row],[DENSITY]]*1000</f>
        <v>-1644.3965517241379</v>
      </c>
      <c r="AE159" s="75">
        <f>(-6.09*10^-2+767)/Table24[[#This Row],[DENSITY]]*1000</f>
        <v>1652.8859913793103</v>
      </c>
      <c r="AF159" s="107"/>
      <c r="AG159" s="129"/>
      <c r="AH159" s="129"/>
      <c r="AI159" s="75"/>
      <c r="AJ159" s="385">
        <f ca="1">IF(OR($E159="Ecoinvent",$E159="Betonsortenrechner",$E159="KBOB",$V159&lt;=0,Table24[[#This Row],[VALID_TO]]&lt;=TODAY()),0,1)</f>
        <v>1</v>
      </c>
      <c r="AK159" s="199">
        <v>1</v>
      </c>
      <c r="AL159" s="199">
        <f ca="1">IF(AND(Table24[[#This Row],[ValidEPD]]&lt;&gt;0,Table24[[#This Row],[Man_Ausschluss]]&lt;&gt;0),1,0)</f>
        <v>1</v>
      </c>
      <c r="AM159" s="17" cm="1">
        <f t="array" aca="1" ref="AM159" ca="1">IF(Table24[[#This Row],[gültig]]&lt;&gt;0,
IF(
OR(
V159=MIN(_xlfn._xlws.FILTER($V$2:$V$298,($P$2:$P$298=P159)*($N$2:$N$298=N159)*($AL$2:$AL$298&lt;&gt;0))),
V159=MAX(_xlfn._xlws.FILTER($V$2:$V$298,($P$2:$P$298=P159)*($N$2:$N$298=N159)*($AL$2:$AL$298&lt;&gt;0))),
ROWS(_xlfn._xlws.FILTER($V$2:$V$298,($P$2:$P$298=P159)*($N$2:$N$298=N159)*($AL$2:$AL$298&lt;&gt;0)))&lt;=2
),1,0),0)</f>
        <v>0</v>
      </c>
      <c r="AN159" s="138"/>
      <c r="AO159" s="1" t="s">
        <v>419</v>
      </c>
      <c r="AP159" s="1"/>
    </row>
    <row r="160" spans="1:42" x14ac:dyDescent="0.2">
      <c r="A160" s="161" t="s">
        <v>259</v>
      </c>
      <c r="B160" s="9" t="s">
        <v>502</v>
      </c>
      <c r="C160" s="100">
        <v>159</v>
      </c>
      <c r="D160" s="1" t="s">
        <v>106</v>
      </c>
      <c r="E160" s="162" t="s">
        <v>105</v>
      </c>
      <c r="F160" s="162"/>
      <c r="G160" s="163">
        <v>43798</v>
      </c>
      <c r="H160" s="163">
        <v>45624</v>
      </c>
      <c r="I160" s="84" t="s">
        <v>240</v>
      </c>
      <c r="J160" s="164" t="s">
        <v>240</v>
      </c>
      <c r="K160" s="165" t="s">
        <v>98</v>
      </c>
      <c r="L160" s="228" t="s">
        <v>326</v>
      </c>
      <c r="M160" s="1" t="s">
        <v>313</v>
      </c>
      <c r="N160" s="167" t="s">
        <v>319</v>
      </c>
      <c r="O160" s="1" t="s">
        <v>415</v>
      </c>
      <c r="P160" s="84" t="s">
        <v>525</v>
      </c>
      <c r="Q160" s="248">
        <v>459.2</v>
      </c>
      <c r="R160" s="162" t="s">
        <v>415</v>
      </c>
      <c r="S160" s="162" t="s">
        <v>415</v>
      </c>
      <c r="T160" s="162" t="s">
        <v>415</v>
      </c>
      <c r="U160" s="168" t="s">
        <v>415</v>
      </c>
      <c r="V160" s="107">
        <f>SUM(Table24[[#This Row],[A1toA3_GWP]:[C1toC4_GWP]])</f>
        <v>239.97386759581855</v>
      </c>
      <c r="W160" s="107">
        <f>VLOOKUP(Table24[[#This Row],[Country PRODUCTION]],[2]Sheet1!$B$11:$F$30,4,FALSE)+Table24[[#This Row],[Total_GWP]]</f>
        <v>310.17386759581854</v>
      </c>
      <c r="X160" s="107">
        <f>VLOOKUP(Table24[[#This Row],[Country PRODUCTION]],[2]Sheet1!$B$11:$F$30,5,FALSE)+Table24[[#This Row],[Total_GWP]]</f>
        <v>247.17386759581854</v>
      </c>
      <c r="Y160" s="107">
        <f>Table24[[#This Row],[Total_GWP]]*Table24[[#This Row],[DENSITY]]/1000</f>
        <v>110.19599999999987</v>
      </c>
      <c r="Z160" s="129">
        <f>(-660+6.26+14.4)/Table24[[#This Row],[DENSITY]]*1000</f>
        <v>-1392.2909407665506</v>
      </c>
      <c r="AA160" s="72">
        <f>(0.536+749)/Table24[[#This Row],[DENSITY]]*1000</f>
        <v>1632.2648083623692</v>
      </c>
      <c r="AB160" s="77">
        <f>SUM(Table24[[#This Row],[A1toA3_GWP-biogenic]:[C1toC4_GWP-biogenic]])</f>
        <v>0</v>
      </c>
      <c r="AC160" s="77">
        <f>Table24[[#This Row],[GWP-biogenic]]*Table24[[#This Row],[DENSITY]]/1000</f>
        <v>0</v>
      </c>
      <c r="AD160" s="73" t="s">
        <v>415</v>
      </c>
      <c r="AE160" s="75" t="s">
        <v>415</v>
      </c>
      <c r="AF160" s="107"/>
      <c r="AG160" s="129"/>
      <c r="AH160" s="129"/>
      <c r="AI160" s="75"/>
      <c r="AJ160" s="385">
        <f ca="1">IF(OR($E160="Ecoinvent",$E160="Betonsortenrechner",$E160="KBOB",$V160&lt;=0,Table24[[#This Row],[VALID_TO]]&lt;=TODAY()),0,1)</f>
        <v>0</v>
      </c>
      <c r="AK160" s="199">
        <v>1</v>
      </c>
      <c r="AL160" s="199">
        <f ca="1">IF(AND(Table24[[#This Row],[ValidEPD]]&lt;&gt;0,Table24[[#This Row],[Man_Ausschluss]]&lt;&gt;0),1,0)</f>
        <v>0</v>
      </c>
      <c r="AM160" s="17" cm="1">
        <f t="array" aca="1" ref="AM160" ca="1">IF(Table24[[#This Row],[gültig]]&lt;&gt;0,
IF(
OR(
V160=MIN(_xlfn._xlws.FILTER($V$2:$V$298,($P$2:$P$298=P160)*($N$2:$N$298=N160)*($AL$2:$AL$298&lt;&gt;0))),
V160=MAX(_xlfn._xlws.FILTER($V$2:$V$298,($P$2:$P$298=P160)*($N$2:$N$298=N160)*($AL$2:$AL$298&lt;&gt;0))),
ROWS(_xlfn._xlws.FILTER($V$2:$V$298,($P$2:$P$298=P160)*($N$2:$N$298=N160)*($AL$2:$AL$298&lt;&gt;0)))&lt;=2
),1,0),0)</f>
        <v>0</v>
      </c>
      <c r="AN160" s="138"/>
      <c r="AO160" s="1"/>
      <c r="AP160" s="1"/>
    </row>
    <row r="161" spans="1:42" x14ac:dyDescent="0.2">
      <c r="A161" s="161" t="s">
        <v>259</v>
      </c>
      <c r="B161" s="9" t="s">
        <v>518</v>
      </c>
      <c r="C161" s="96">
        <v>160</v>
      </c>
      <c r="D161" s="1" t="s">
        <v>106</v>
      </c>
      <c r="E161" s="162" t="s">
        <v>105</v>
      </c>
      <c r="F161" s="162"/>
      <c r="G161" s="163">
        <v>43798</v>
      </c>
      <c r="H161" s="163">
        <v>45624</v>
      </c>
      <c r="I161" s="84" t="s">
        <v>240</v>
      </c>
      <c r="J161" s="164" t="s">
        <v>240</v>
      </c>
      <c r="K161" s="165" t="s">
        <v>98</v>
      </c>
      <c r="L161" s="228" t="s">
        <v>326</v>
      </c>
      <c r="M161" s="1" t="s">
        <v>313</v>
      </c>
      <c r="N161" s="167" t="s">
        <v>319</v>
      </c>
      <c r="O161" s="1" t="s">
        <v>415</v>
      </c>
      <c r="P161" s="84" t="s">
        <v>524</v>
      </c>
      <c r="Q161" s="248">
        <v>459.2</v>
      </c>
      <c r="R161" s="162" t="s">
        <v>415</v>
      </c>
      <c r="S161" s="162" t="s">
        <v>415</v>
      </c>
      <c r="T161" s="162" t="s">
        <v>415</v>
      </c>
      <c r="U161" s="168" t="s">
        <v>415</v>
      </c>
      <c r="V161" s="107">
        <f>SUM(Table24[[#This Row],[A1toA3_GWP]:[C1toC4_GWP]])</f>
        <v>239.97386759581855</v>
      </c>
      <c r="W161" s="107">
        <f>VLOOKUP(Table24[[#This Row],[Country PRODUCTION]],[2]Sheet1!$B$11:$F$30,4,FALSE)+Table24[[#This Row],[Total_GWP]]</f>
        <v>310.17386759581854</v>
      </c>
      <c r="X161" s="107">
        <f>VLOOKUP(Table24[[#This Row],[Country PRODUCTION]],[2]Sheet1!$B$11:$F$30,5,FALSE)+Table24[[#This Row],[Total_GWP]]</f>
        <v>247.17386759581854</v>
      </c>
      <c r="Y161" s="107">
        <f>Table24[[#This Row],[Total_GWP]]*Table24[[#This Row],[DENSITY]]/1000</f>
        <v>110.19599999999987</v>
      </c>
      <c r="Z161" s="129">
        <f>(-660+6.26+14.4)/Table24[[#This Row],[DENSITY]]*1000</f>
        <v>-1392.2909407665506</v>
      </c>
      <c r="AA161" s="72">
        <f>(0.536+749)/Table24[[#This Row],[DENSITY]]*1000</f>
        <v>1632.2648083623692</v>
      </c>
      <c r="AB161" s="77">
        <f>SUM(Table24[[#This Row],[A1toA3_GWP-biogenic]:[C1toC4_GWP-biogenic]])</f>
        <v>0</v>
      </c>
      <c r="AC161" s="77">
        <f>Table24[[#This Row],[GWP-biogenic]]*Table24[[#This Row],[DENSITY]]/1000</f>
        <v>0</v>
      </c>
      <c r="AD161" s="73" t="s">
        <v>415</v>
      </c>
      <c r="AE161" s="75" t="s">
        <v>415</v>
      </c>
      <c r="AF161" s="107"/>
      <c r="AG161" s="129"/>
      <c r="AH161" s="129"/>
      <c r="AI161" s="75"/>
      <c r="AJ161" s="385">
        <f ca="1">IF(OR($E161="Ecoinvent",$E161="Betonsortenrechner",$E161="KBOB",$V161&lt;=0,Table24[[#This Row],[VALID_TO]]&lt;=TODAY()),0,1)</f>
        <v>0</v>
      </c>
      <c r="AK161" s="199">
        <v>1</v>
      </c>
      <c r="AL161" s="199">
        <f ca="1">IF(AND(Table24[[#This Row],[ValidEPD]]&lt;&gt;0,Table24[[#This Row],[Man_Ausschluss]]&lt;&gt;0),1,0)</f>
        <v>0</v>
      </c>
      <c r="AM161" s="17" cm="1">
        <f t="array" aca="1" ref="AM161" ca="1">IF(Table24[[#This Row],[gültig]]&lt;&gt;0,
IF(
OR(
V161=MIN(_xlfn._xlws.FILTER($V$2:$V$298,($P$2:$P$298=P161)*($N$2:$N$298=N161)*($AL$2:$AL$298&lt;&gt;0))),
V161=MAX(_xlfn._xlws.FILTER($V$2:$V$298,($P$2:$P$298=P161)*($N$2:$N$298=N161)*($AL$2:$AL$298&lt;&gt;0))),
ROWS(_xlfn._xlws.FILTER($V$2:$V$298,($P$2:$P$298=P161)*($N$2:$N$298=N161)*($AL$2:$AL$298&lt;&gt;0)))&lt;=2
),1,0),0)</f>
        <v>0</v>
      </c>
      <c r="AN161" s="138"/>
      <c r="AO161" s="1"/>
      <c r="AP161" s="1"/>
    </row>
    <row r="162" spans="1:42" x14ac:dyDescent="0.2">
      <c r="A162" s="161" t="s">
        <v>259</v>
      </c>
      <c r="B162" s="9" t="s">
        <v>519</v>
      </c>
      <c r="C162" s="100">
        <v>161</v>
      </c>
      <c r="D162" s="1" t="s">
        <v>106</v>
      </c>
      <c r="E162" s="162" t="s">
        <v>105</v>
      </c>
      <c r="F162" s="162"/>
      <c r="G162" s="163">
        <v>43798</v>
      </c>
      <c r="H162" s="163">
        <v>45624</v>
      </c>
      <c r="I162" s="84" t="s">
        <v>240</v>
      </c>
      <c r="J162" s="164" t="s">
        <v>240</v>
      </c>
      <c r="K162" s="165" t="s">
        <v>98</v>
      </c>
      <c r="L162" s="228" t="s">
        <v>326</v>
      </c>
      <c r="M162" s="1" t="s">
        <v>313</v>
      </c>
      <c r="N162" s="167" t="s">
        <v>319</v>
      </c>
      <c r="O162" s="1" t="s">
        <v>415</v>
      </c>
      <c r="P162" s="84" t="s">
        <v>526</v>
      </c>
      <c r="Q162" s="248">
        <v>459.2</v>
      </c>
      <c r="R162" s="162" t="s">
        <v>415</v>
      </c>
      <c r="S162" s="162" t="s">
        <v>415</v>
      </c>
      <c r="T162" s="162" t="s">
        <v>415</v>
      </c>
      <c r="U162" s="168" t="s">
        <v>415</v>
      </c>
      <c r="V162" s="107">
        <f>SUM(Table24[[#This Row],[A1toA3_GWP]:[C1toC4_GWP]])</f>
        <v>239.97386759581855</v>
      </c>
      <c r="W162" s="107">
        <f>VLOOKUP(Table24[[#This Row],[Country PRODUCTION]],[2]Sheet1!$B$11:$F$30,4,FALSE)+Table24[[#This Row],[Total_GWP]]</f>
        <v>310.17386759581854</v>
      </c>
      <c r="X162" s="107">
        <f>VLOOKUP(Table24[[#This Row],[Country PRODUCTION]],[2]Sheet1!$B$11:$F$30,5,FALSE)+Table24[[#This Row],[Total_GWP]]</f>
        <v>247.17386759581854</v>
      </c>
      <c r="Y162" s="107">
        <f>Table24[[#This Row],[Total_GWP]]*Table24[[#This Row],[DENSITY]]/1000</f>
        <v>110.19599999999987</v>
      </c>
      <c r="Z162" s="129">
        <f>(-660+6.26+14.4)/Table24[[#This Row],[DENSITY]]*1000</f>
        <v>-1392.2909407665506</v>
      </c>
      <c r="AA162" s="72">
        <f>(0.536+749)/Table24[[#This Row],[DENSITY]]*1000</f>
        <v>1632.2648083623692</v>
      </c>
      <c r="AB162" s="77">
        <f>SUM(Table24[[#This Row],[A1toA3_GWP-biogenic]:[C1toC4_GWP-biogenic]])</f>
        <v>0</v>
      </c>
      <c r="AC162" s="77">
        <f>Table24[[#This Row],[GWP-biogenic]]*Table24[[#This Row],[DENSITY]]/1000</f>
        <v>0</v>
      </c>
      <c r="AD162" s="73" t="s">
        <v>415</v>
      </c>
      <c r="AE162" s="75" t="s">
        <v>415</v>
      </c>
      <c r="AF162" s="107"/>
      <c r="AG162" s="129"/>
      <c r="AH162" s="129"/>
      <c r="AI162" s="75"/>
      <c r="AJ162" s="385">
        <f ca="1">IF(OR($E162="Ecoinvent",$E162="Betonsortenrechner",$E162="KBOB",$V162&lt;=0,Table24[[#This Row],[VALID_TO]]&lt;=TODAY()),0,1)</f>
        <v>0</v>
      </c>
      <c r="AK162" s="199">
        <v>1</v>
      </c>
      <c r="AL162" s="199">
        <f ca="1">IF(AND(Table24[[#This Row],[ValidEPD]]&lt;&gt;0,Table24[[#This Row],[Man_Ausschluss]]&lt;&gt;0),1,0)</f>
        <v>0</v>
      </c>
      <c r="AM162" s="17" cm="1">
        <f t="array" aca="1" ref="AM162" ca="1">IF(Table24[[#This Row],[gültig]]&lt;&gt;0,
IF(
OR(
V162=MIN(_xlfn._xlws.FILTER($V$2:$V$298,($P$2:$P$298=P162)*($N$2:$N$298=N162)*($AL$2:$AL$298&lt;&gt;0))),
V162=MAX(_xlfn._xlws.FILTER($V$2:$V$298,($P$2:$P$298=P162)*($N$2:$N$298=N162)*($AL$2:$AL$298&lt;&gt;0))),
ROWS(_xlfn._xlws.FILTER($V$2:$V$298,($P$2:$P$298=P162)*($N$2:$N$298=N162)*($AL$2:$AL$298&lt;&gt;0)))&lt;=2
),1,0),0)</f>
        <v>0</v>
      </c>
      <c r="AN162" s="138"/>
      <c r="AO162" s="1"/>
      <c r="AP162" s="1"/>
    </row>
    <row r="163" spans="1:42" x14ac:dyDescent="0.2">
      <c r="A163" s="161" t="s">
        <v>259</v>
      </c>
      <c r="B163" s="9" t="s">
        <v>520</v>
      </c>
      <c r="C163" s="96">
        <v>162</v>
      </c>
      <c r="D163" s="1" t="s">
        <v>106</v>
      </c>
      <c r="E163" s="162" t="s">
        <v>105</v>
      </c>
      <c r="F163" s="162"/>
      <c r="G163" s="163">
        <v>43798</v>
      </c>
      <c r="H163" s="163">
        <v>45624</v>
      </c>
      <c r="I163" s="84" t="s">
        <v>240</v>
      </c>
      <c r="J163" s="164" t="s">
        <v>240</v>
      </c>
      <c r="K163" s="165" t="s">
        <v>98</v>
      </c>
      <c r="L163" s="228" t="s">
        <v>326</v>
      </c>
      <c r="M163" s="1" t="s">
        <v>313</v>
      </c>
      <c r="N163" s="167" t="s">
        <v>319</v>
      </c>
      <c r="O163" s="1" t="s">
        <v>415</v>
      </c>
      <c r="P163" s="84" t="s">
        <v>527</v>
      </c>
      <c r="Q163" s="248">
        <v>459.2</v>
      </c>
      <c r="R163" s="162" t="s">
        <v>415</v>
      </c>
      <c r="S163" s="162" t="s">
        <v>415</v>
      </c>
      <c r="T163" s="162" t="s">
        <v>415</v>
      </c>
      <c r="U163" s="168" t="s">
        <v>415</v>
      </c>
      <c r="V163" s="107">
        <f>SUM(Table24[[#This Row],[A1toA3_GWP]:[C1toC4_GWP]])</f>
        <v>239.97386759581855</v>
      </c>
      <c r="W163" s="107">
        <f>VLOOKUP(Table24[[#This Row],[Country PRODUCTION]],[2]Sheet1!$B$11:$F$30,4,FALSE)+Table24[[#This Row],[Total_GWP]]</f>
        <v>310.17386759581854</v>
      </c>
      <c r="X163" s="107">
        <f>VLOOKUP(Table24[[#This Row],[Country PRODUCTION]],[2]Sheet1!$B$11:$F$30,5,FALSE)+Table24[[#This Row],[Total_GWP]]</f>
        <v>247.17386759581854</v>
      </c>
      <c r="Y163" s="107">
        <f>Table24[[#This Row],[Total_GWP]]*Table24[[#This Row],[DENSITY]]/1000</f>
        <v>110.19599999999987</v>
      </c>
      <c r="Z163" s="129">
        <f>(-660+6.26+14.4)/Table24[[#This Row],[DENSITY]]*1000</f>
        <v>-1392.2909407665506</v>
      </c>
      <c r="AA163" s="72">
        <f>(0.536+749)/Table24[[#This Row],[DENSITY]]*1000</f>
        <v>1632.2648083623692</v>
      </c>
      <c r="AB163" s="77">
        <f>SUM(Table24[[#This Row],[A1toA3_GWP-biogenic]:[C1toC4_GWP-biogenic]])</f>
        <v>0</v>
      </c>
      <c r="AC163" s="77">
        <f>Table24[[#This Row],[GWP-biogenic]]*Table24[[#This Row],[DENSITY]]/1000</f>
        <v>0</v>
      </c>
      <c r="AD163" s="73" t="s">
        <v>415</v>
      </c>
      <c r="AE163" s="75" t="s">
        <v>415</v>
      </c>
      <c r="AF163" s="107"/>
      <c r="AG163" s="129"/>
      <c r="AH163" s="129"/>
      <c r="AI163" s="75"/>
      <c r="AJ163" s="385">
        <f ca="1">IF(OR($E163="Ecoinvent",$E163="Betonsortenrechner",$E163="KBOB",$V163&lt;=0,Table24[[#This Row],[VALID_TO]]&lt;=TODAY()),0,1)</f>
        <v>0</v>
      </c>
      <c r="AK163" s="199">
        <v>1</v>
      </c>
      <c r="AL163" s="199">
        <f ca="1">IF(AND(Table24[[#This Row],[ValidEPD]]&lt;&gt;0,Table24[[#This Row],[Man_Ausschluss]]&lt;&gt;0),1,0)</f>
        <v>0</v>
      </c>
      <c r="AM163" s="17" cm="1">
        <f t="array" aca="1" ref="AM163" ca="1">IF(Table24[[#This Row],[gültig]]&lt;&gt;0,
IF(
OR(
V163=MIN(_xlfn._xlws.FILTER($V$2:$V$298,($P$2:$P$298=P163)*($N$2:$N$298=N163)*($AL$2:$AL$298&lt;&gt;0))),
V163=MAX(_xlfn._xlws.FILTER($V$2:$V$298,($P$2:$P$298=P163)*($N$2:$N$298=N163)*($AL$2:$AL$298&lt;&gt;0))),
ROWS(_xlfn._xlws.FILTER($V$2:$V$298,($P$2:$P$298=P163)*($N$2:$N$298=N163)*($AL$2:$AL$298&lt;&gt;0)))&lt;=2
),1,0),0)</f>
        <v>0</v>
      </c>
      <c r="AN163" s="138"/>
      <c r="AO163" s="1"/>
      <c r="AP163" s="1"/>
    </row>
    <row r="164" spans="1:42" ht="14.25" customHeight="1" x14ac:dyDescent="0.2">
      <c r="A164" s="161" t="s">
        <v>358</v>
      </c>
      <c r="B164" s="9"/>
      <c r="C164" s="100">
        <v>163</v>
      </c>
      <c r="D164" s="1" t="s">
        <v>107</v>
      </c>
      <c r="E164" s="162" t="s">
        <v>102</v>
      </c>
      <c r="F164" s="162"/>
      <c r="G164" s="163">
        <v>44411</v>
      </c>
      <c r="H164" s="163">
        <v>46236</v>
      </c>
      <c r="I164" s="84" t="s">
        <v>240</v>
      </c>
      <c r="J164" s="164" t="s">
        <v>240</v>
      </c>
      <c r="K164" s="165" t="s">
        <v>108</v>
      </c>
      <c r="L164" s="236" t="s">
        <v>327</v>
      </c>
      <c r="M164" s="69" t="s">
        <v>313</v>
      </c>
      <c r="N164" s="237" t="s">
        <v>320</v>
      </c>
      <c r="O164" s="1" t="s">
        <v>415</v>
      </c>
      <c r="P164" s="84" t="s">
        <v>113</v>
      </c>
      <c r="Q164" s="84">
        <v>470</v>
      </c>
      <c r="R164" s="162" t="s">
        <v>415</v>
      </c>
      <c r="S164" s="162" t="s">
        <v>415</v>
      </c>
      <c r="T164" s="162" t="s">
        <v>415</v>
      </c>
      <c r="U164" s="168" t="s">
        <v>415</v>
      </c>
      <c r="V164" s="107">
        <f>SUM(Table24[[#This Row],[A1toA3_GWP]:[C1toC4_GWP]])</f>
        <v>137.063829787234</v>
      </c>
      <c r="W164" s="107">
        <f>VLOOKUP(Table24[[#This Row],[Country PRODUCTION]],[2]Sheet1!$B$11:$F$30,4,FALSE)+Table24[[#This Row],[Total_GWP]]</f>
        <v>207.26382978723399</v>
      </c>
      <c r="X164" s="107">
        <f>VLOOKUP(Table24[[#This Row],[Country PRODUCTION]],[2]Sheet1!$B$11:$F$30,5,FALSE)+Table24[[#This Row],[Total_GWP]]</f>
        <v>144.26382978723399</v>
      </c>
      <c r="Y164" s="129">
        <f>Table24[[#This Row],[Total_GWP]]*Table24[[#This Row],[DENSITY]]/1000</f>
        <v>64.419999999999973</v>
      </c>
      <c r="Z164" s="129">
        <f>(-696)/Table24[[#This Row],[DENSITY]]*1000</f>
        <v>-1480.8510638297871</v>
      </c>
      <c r="AA164" s="72">
        <f>(1.42+759)/Table24[[#This Row],[DENSITY]]*1000</f>
        <v>1617.9148936170211</v>
      </c>
      <c r="AB164" s="77">
        <f>SUM(Table24[[#This Row],[A1toA3_GWP-biogenic]:[C1toC4_GWP-biogenic]])</f>
        <v>12.762404255319098</v>
      </c>
      <c r="AC164" s="77">
        <f>Table24[[#This Row],[GWP-biogenic]]*Table24[[#This Row],[DENSITY]]/1000</f>
        <v>5.9983299999999762</v>
      </c>
      <c r="AD164" s="73">
        <f>(-753)/Table24[[#This Row],[DENSITY]]*1000</f>
        <v>-1602.127659574468</v>
      </c>
      <c r="AE164" s="75">
        <f>(-1.67*10^-3+759)/Table24[[#This Row],[DENSITY]]*1000</f>
        <v>1614.8900638297871</v>
      </c>
      <c r="AF164" s="107"/>
      <c r="AG164" s="129"/>
      <c r="AH164" s="129"/>
      <c r="AI164" s="75"/>
      <c r="AJ164" s="385">
        <f ca="1">IF(OR($E164="Ecoinvent",$E164="Betonsortenrechner",$E164="KBOB",$V164&lt;=0,Table24[[#This Row],[VALID_TO]]&lt;=TODAY()),0,1)</f>
        <v>0</v>
      </c>
      <c r="AK164" s="199">
        <v>1</v>
      </c>
      <c r="AL164" s="199">
        <f ca="1">IF(AND(Table24[[#This Row],[ValidEPD]]&lt;&gt;0,Table24[[#This Row],[Man_Ausschluss]]&lt;&gt;0),1,0)</f>
        <v>0</v>
      </c>
      <c r="AM164" s="17" cm="1">
        <f t="array" aca="1" ref="AM164" ca="1">IF(Table24[[#This Row],[gültig]]&lt;&gt;0,
IF(
OR(
V164=MIN(_xlfn._xlws.FILTER($V$2:$V$298,($P$2:$P$298=P164)*($N$2:$N$298=N164)*($AL$2:$AL$298&lt;&gt;0))),
V164=MAX(_xlfn._xlws.FILTER($V$2:$V$298,($P$2:$P$298=P164)*($N$2:$N$298=N164)*($AL$2:$AL$298&lt;&gt;0))),
ROWS(_xlfn._xlws.FILTER($V$2:$V$298,($P$2:$P$298=P164)*($N$2:$N$298=N164)*($AL$2:$AL$298&lt;&gt;0)))&lt;=2
),1,0),0)</f>
        <v>0</v>
      </c>
      <c r="AN164" s="138"/>
      <c r="AO164" s="22" t="s">
        <v>404</v>
      </c>
      <c r="AP164" s="22" t="s">
        <v>407</v>
      </c>
    </row>
    <row r="165" spans="1:42" x14ac:dyDescent="0.2">
      <c r="A165" s="161" t="s">
        <v>225</v>
      </c>
      <c r="B165" s="9"/>
      <c r="C165" s="96">
        <v>164</v>
      </c>
      <c r="D165" s="1" t="s">
        <v>110</v>
      </c>
      <c r="E165" s="162" t="s">
        <v>109</v>
      </c>
      <c r="F165" s="162"/>
      <c r="G165" s="163">
        <v>45386</v>
      </c>
      <c r="H165" s="163">
        <v>47211</v>
      </c>
      <c r="I165" s="84" t="s">
        <v>264</v>
      </c>
      <c r="J165" s="164" t="s">
        <v>264</v>
      </c>
      <c r="K165" s="165" t="s">
        <v>98</v>
      </c>
      <c r="L165" s="228" t="s">
        <v>326</v>
      </c>
      <c r="M165" s="1" t="s">
        <v>313</v>
      </c>
      <c r="N165" s="167" t="s">
        <v>319</v>
      </c>
      <c r="O165" s="1" t="s">
        <v>415</v>
      </c>
      <c r="P165" s="84" t="s">
        <v>1</v>
      </c>
      <c r="Q165" s="84">
        <v>430</v>
      </c>
      <c r="R165" s="162" t="s">
        <v>415</v>
      </c>
      <c r="S165" s="162" t="s">
        <v>415</v>
      </c>
      <c r="T165" s="162" t="s">
        <v>415</v>
      </c>
      <c r="U165" s="168" t="s">
        <v>415</v>
      </c>
      <c r="V165" s="107">
        <f>SUM(Table24[[#This Row],[A1toA3_GWP]:[C1toC4_GWP]])</f>
        <v>442.09302325581416</v>
      </c>
      <c r="W165" s="107">
        <f>VLOOKUP(Table24[[#This Row],[Country PRODUCTION]],[2]Sheet1!$B$11:$F$30,4,FALSE)+Table24[[#This Row],[Total_GWP]]</f>
        <v>518.14302325581411</v>
      </c>
      <c r="X165" s="107">
        <f>VLOOKUP(Table24[[#This Row],[Country PRODUCTION]],[2]Sheet1!$B$11:$F$30,5,FALSE)+Table24[[#This Row],[Total_GWP]]</f>
        <v>449.89302325581417</v>
      </c>
      <c r="Y165" s="107">
        <f>Table24[[#This Row],[Total_GWP]]*Table24[[#This Row],[DENSITY]]/1000</f>
        <v>190.10000000000008</v>
      </c>
      <c r="Z165" s="129">
        <f>(-554)/Table24[[#This Row],[DENSITY]]*1000</f>
        <v>-1288.3720930232557</v>
      </c>
      <c r="AA165" s="72">
        <f>(19.1+725)/Table24[[#This Row],[DENSITY]]*1000</f>
        <v>1730.4651162790699</v>
      </c>
      <c r="AB165" s="77">
        <f>SUM(Table24[[#This Row],[A1toA3_GWP-biogenic]:[C1toC4_GWP-biogenic]])</f>
        <v>0</v>
      </c>
      <c r="AC165" s="77">
        <f>Table24[[#This Row],[GWP-biogenic]]*Table24[[#This Row],[DENSITY]]/1000</f>
        <v>0</v>
      </c>
      <c r="AD165" s="73">
        <f>(-713)/Table24[[#This Row],[DENSITY]]*1000</f>
        <v>-1658.1395348837209</v>
      </c>
      <c r="AE165" s="75">
        <f>(713)/Table24[[#This Row],[DENSITY]]*1000</f>
        <v>1658.1395348837209</v>
      </c>
      <c r="AF165" s="107"/>
      <c r="AG165" s="129"/>
      <c r="AH165" s="129"/>
      <c r="AI165" s="75"/>
      <c r="AJ165" s="385">
        <f ca="1">IF(OR($E165="Ecoinvent",$E165="Betonsortenrechner",$E165="KBOB",$V165&lt;=0,Table24[[#This Row],[VALID_TO]]&lt;=TODAY()),0,1)</f>
        <v>1</v>
      </c>
      <c r="AK165" s="199">
        <v>1</v>
      </c>
      <c r="AL165" s="199">
        <f ca="1">IF(AND(Table24[[#This Row],[ValidEPD]]&lt;&gt;0,Table24[[#This Row],[Man_Ausschluss]]&lt;&gt;0),1,0)</f>
        <v>1</v>
      </c>
      <c r="AM165" s="17" cm="1">
        <f t="array" aca="1" ref="AM165" ca="1">IF(Table24[[#This Row],[gültig]]&lt;&gt;0,
IF(
OR(
V165=MIN(_xlfn._xlws.FILTER($V$2:$V$298,($P$2:$P$298=P165)*($N$2:$N$298=N165)*($AL$2:$AL$298&lt;&gt;0))),
V165=MAX(_xlfn._xlws.FILTER($V$2:$V$298,($P$2:$P$298=P165)*($N$2:$N$298=N165)*($AL$2:$AL$298&lt;&gt;0))),
ROWS(_xlfn._xlws.FILTER($V$2:$V$298,($P$2:$P$298=P165)*($N$2:$N$298=N165)*($AL$2:$AL$298&lt;&gt;0)))&lt;=2
),1,0),0)</f>
        <v>1</v>
      </c>
      <c r="AN165" s="138"/>
      <c r="AO165" s="1" t="s">
        <v>421</v>
      </c>
      <c r="AP165" s="1"/>
    </row>
    <row r="166" spans="1:42" x14ac:dyDescent="0.2">
      <c r="A166" s="161" t="s">
        <v>226</v>
      </c>
      <c r="B166" s="9"/>
      <c r="C166" s="100">
        <v>165</v>
      </c>
      <c r="D166" s="1" t="s">
        <v>111</v>
      </c>
      <c r="E166" s="162" t="s">
        <v>109</v>
      </c>
      <c r="F166" s="162"/>
      <c r="G166" s="163">
        <v>45386</v>
      </c>
      <c r="H166" s="163">
        <v>47211</v>
      </c>
      <c r="I166" s="84" t="s">
        <v>264</v>
      </c>
      <c r="J166" s="164" t="s">
        <v>264</v>
      </c>
      <c r="K166" s="165" t="s">
        <v>112</v>
      </c>
      <c r="L166" s="228" t="s">
        <v>490</v>
      </c>
      <c r="M166" s="1" t="s">
        <v>313</v>
      </c>
      <c r="N166" s="167" t="s">
        <v>494</v>
      </c>
      <c r="O166" s="1" t="s">
        <v>415</v>
      </c>
      <c r="P166" s="84" t="s">
        <v>113</v>
      </c>
      <c r="Q166" s="84">
        <v>430</v>
      </c>
      <c r="R166" s="162" t="s">
        <v>415</v>
      </c>
      <c r="S166" s="162" t="s">
        <v>415</v>
      </c>
      <c r="T166" s="162" t="s">
        <v>415</v>
      </c>
      <c r="U166" s="168" t="s">
        <v>415</v>
      </c>
      <c r="V166" s="107">
        <f>SUM(Table24[[#This Row],[A1toA3_GWP]:[C1toC4_GWP]])</f>
        <v>556.04651162790697</v>
      </c>
      <c r="W166" s="107">
        <f>VLOOKUP(Table24[[#This Row],[Country PRODUCTION]],[2]Sheet1!$B$11:$F$30,4,FALSE)+Table24[[#This Row],[Total_GWP]]</f>
        <v>632.09651162790692</v>
      </c>
      <c r="X166" s="107">
        <f>VLOOKUP(Table24[[#This Row],[Country PRODUCTION]],[2]Sheet1!$B$11:$F$30,5,FALSE)+Table24[[#This Row],[Total_GWP]]</f>
        <v>563.84651162790692</v>
      </c>
      <c r="Y166" s="107">
        <f>Table24[[#This Row],[Total_GWP]]*Table24[[#This Row],[DENSITY]]/1000</f>
        <v>239.1</v>
      </c>
      <c r="Z166" s="129">
        <f>(-505)/Table24[[#This Row],[DENSITY]]*1000</f>
        <v>-1174.4186046511629</v>
      </c>
      <c r="AA166" s="72">
        <f>(19.1+725)/Table24[[#This Row],[DENSITY]]*1000</f>
        <v>1730.4651162790699</v>
      </c>
      <c r="AB166" s="77">
        <f>SUM(Table24[[#This Row],[A1toA3_GWP-biogenic]:[C1toC4_GWP-biogenic]])</f>
        <v>0</v>
      </c>
      <c r="AC166" s="77">
        <f>Table24[[#This Row],[GWP-biogenic]]*Table24[[#This Row],[DENSITY]]/1000</f>
        <v>0</v>
      </c>
      <c r="AD166" s="77">
        <f>(-713)/Table24[[#This Row],[DENSITY]]*1000</f>
        <v>-1658.1395348837209</v>
      </c>
      <c r="AE166" s="76">
        <f>(713)/Table24[[#This Row],[DENSITY]]*1000</f>
        <v>1658.1395348837209</v>
      </c>
      <c r="AF166" s="81"/>
      <c r="AG166" s="87"/>
      <c r="AH166" s="87"/>
      <c r="AI166" s="76"/>
      <c r="AJ166" s="385">
        <f ca="1">IF(OR($E166="Ecoinvent",$E166="Betonsortenrechner",$E166="KBOB",$V166&lt;=0,Table24[[#This Row],[VALID_TO]]&lt;=TODAY()),0,1)</f>
        <v>1</v>
      </c>
      <c r="AK166" s="199">
        <v>1</v>
      </c>
      <c r="AL166" s="199">
        <f ca="1">IF(AND(Table24[[#This Row],[ValidEPD]]&lt;&gt;0,Table24[[#This Row],[Man_Ausschluss]]&lt;&gt;0),1,0)</f>
        <v>1</v>
      </c>
      <c r="AM166" s="17" cm="1">
        <f t="array" aca="1" ref="AM166" ca="1">IF(Table24[[#This Row],[gültig]]&lt;&gt;0,
IF(
OR(
V166=MIN(_xlfn._xlws.FILTER($V$2:$V$298,($P$2:$P$298=P166)*($N$2:$N$298=N166)*($AL$2:$AL$298&lt;&gt;0))),
V166=MAX(_xlfn._xlws.FILTER($V$2:$V$298,($P$2:$P$298=P166)*($N$2:$N$298=N166)*($AL$2:$AL$298&lt;&gt;0))),
ROWS(_xlfn._xlws.FILTER($V$2:$V$298,($P$2:$P$298=P166)*($N$2:$N$298=N166)*($AL$2:$AL$298&lt;&gt;0)))&lt;=2
),1,0),0)</f>
        <v>1</v>
      </c>
      <c r="AN166" s="138"/>
      <c r="AO166" s="1" t="s">
        <v>421</v>
      </c>
      <c r="AP166" s="1"/>
    </row>
    <row r="167" spans="1:42" x14ac:dyDescent="0.2">
      <c r="A167" s="161" t="s">
        <v>359</v>
      </c>
      <c r="B167" s="9"/>
      <c r="C167" s="96">
        <v>166</v>
      </c>
      <c r="D167" s="69" t="s">
        <v>116</v>
      </c>
      <c r="E167" s="89" t="s">
        <v>282</v>
      </c>
      <c r="F167" s="89"/>
      <c r="G167" s="233" t="s">
        <v>116</v>
      </c>
      <c r="H167" s="230" t="s">
        <v>116</v>
      </c>
      <c r="I167" s="84" t="s">
        <v>264</v>
      </c>
      <c r="J167" s="164" t="s">
        <v>415</v>
      </c>
      <c r="K167" s="165" t="s">
        <v>115</v>
      </c>
      <c r="L167" s="228" t="s">
        <v>328</v>
      </c>
      <c r="M167" s="1" t="s">
        <v>313</v>
      </c>
      <c r="N167" s="167" t="s">
        <v>321</v>
      </c>
      <c r="O167" s="1" t="s">
        <v>415</v>
      </c>
      <c r="P167" s="84" t="s">
        <v>113</v>
      </c>
      <c r="Q167" s="84">
        <v>435</v>
      </c>
      <c r="R167" s="162" t="s">
        <v>415</v>
      </c>
      <c r="S167" s="162" t="s">
        <v>415</v>
      </c>
      <c r="T167" s="162" t="s">
        <v>415</v>
      </c>
      <c r="U167" s="168" t="s">
        <v>415</v>
      </c>
      <c r="V167" s="81">
        <f>SUM(Table24[[#This Row],[A1toA3_GWP]:[C1toC4_GWP]])</f>
        <v>3056.7816091954023</v>
      </c>
      <c r="W167" s="81"/>
      <c r="X167" s="81"/>
      <c r="Y167" s="81">
        <f>Table24[[#This Row],[Total_GWP]]*Table24[[#This Row],[DENSITY]]/1000</f>
        <v>1329.7</v>
      </c>
      <c r="Z167" s="87">
        <f>(-1220-1400+3250)/Table24[[#This Row],[DENSITY]]*1000</f>
        <v>1448.2758620689656</v>
      </c>
      <c r="AA167" s="88">
        <f>(0.7+699)/Table24[[#This Row],[DENSITY]]*1000</f>
        <v>1608.5057471264367</v>
      </c>
      <c r="AB167" s="77">
        <f>SUM(Table24[[#This Row],[A1toA3_GWP-biogenic]:[C1toC4_GWP-biogenic]])</f>
        <v>0</v>
      </c>
      <c r="AC167" s="77">
        <f>Table24[[#This Row],[GWP-biogenic]]*Table24[[#This Row],[DENSITY]]/1000</f>
        <v>0</v>
      </c>
      <c r="AD167" s="73">
        <f>(-699)/Table24[[#This Row],[DENSITY]]*1000</f>
        <v>-1606.8965517241381</v>
      </c>
      <c r="AE167" s="75">
        <f>(699)/Table24[[#This Row],[DENSITY]]*1000</f>
        <v>1606.8965517241381</v>
      </c>
      <c r="AF167" s="107"/>
      <c r="AG167" s="129"/>
      <c r="AH167" s="129"/>
      <c r="AI167" s="75"/>
      <c r="AJ167" s="385">
        <f ca="1">IF(OR($E167="Ecoinvent",$E167="Betonsortenrechner",$E167="KBOB",$V167&lt;=0,Table24[[#This Row],[VALID_TO]]&lt;=TODAY()),0,1)</f>
        <v>1</v>
      </c>
      <c r="AK167" s="199">
        <v>0</v>
      </c>
      <c r="AL167" s="199">
        <f ca="1">IF(AND(Table24[[#This Row],[ValidEPD]]&lt;&gt;0,Table24[[#This Row],[Man_Ausschluss]]&lt;&gt;0),1,0)</f>
        <v>0</v>
      </c>
      <c r="AM167" s="17" cm="1">
        <f t="array" aca="1" ref="AM167" ca="1">IF(Table24[[#This Row],[gültig]]&lt;&gt;0,
IF(
OR(
V167=MIN(_xlfn._xlws.FILTER($V$2:$V$298,($P$2:$P$298=P167)*($N$2:$N$298=N167)*($AL$2:$AL$298&lt;&gt;0))),
V167=MAX(_xlfn._xlws.FILTER($V$2:$V$298,($P$2:$P$298=P167)*($N$2:$N$298=N167)*($AL$2:$AL$298&lt;&gt;0))),
ROWS(_xlfn._xlws.FILTER($V$2:$V$298,($P$2:$P$298=P167)*($N$2:$N$298=N167)*($AL$2:$AL$298&lt;&gt;0)))&lt;=2
),1,0),0)</f>
        <v>0</v>
      </c>
      <c r="AN167" s="138"/>
      <c r="AO167" s="1"/>
      <c r="AP167" s="1"/>
    </row>
    <row r="168" spans="1:42" x14ac:dyDescent="0.2">
      <c r="A168" s="161" t="s">
        <v>227</v>
      </c>
      <c r="B168" s="9"/>
      <c r="C168" s="100">
        <v>167</v>
      </c>
      <c r="D168" s="1" t="s">
        <v>117</v>
      </c>
      <c r="E168" s="162" t="s">
        <v>118</v>
      </c>
      <c r="F168" s="162"/>
      <c r="G168" s="163">
        <v>45106</v>
      </c>
      <c r="H168" s="163">
        <v>46933</v>
      </c>
      <c r="I168" s="84" t="s">
        <v>240</v>
      </c>
      <c r="J168" s="164" t="s">
        <v>240</v>
      </c>
      <c r="K168" s="165" t="s">
        <v>112</v>
      </c>
      <c r="L168" s="228" t="s">
        <v>490</v>
      </c>
      <c r="M168" s="1" t="s">
        <v>313</v>
      </c>
      <c r="N168" s="167" t="s">
        <v>494</v>
      </c>
      <c r="O168" s="1" t="s">
        <v>415</v>
      </c>
      <c r="P168" s="84" t="s">
        <v>113</v>
      </c>
      <c r="Q168" s="84">
        <v>470</v>
      </c>
      <c r="R168" s="162" t="s">
        <v>415</v>
      </c>
      <c r="S168" s="162" t="s">
        <v>415</v>
      </c>
      <c r="T168" s="162" t="s">
        <v>415</v>
      </c>
      <c r="U168" s="168" t="s">
        <v>415</v>
      </c>
      <c r="V168" s="107">
        <f>SUM(Table24[[#This Row],[A1toA3_GWP]:[C1toC4_GWP]])</f>
        <v>243.38297872340422</v>
      </c>
      <c r="W168" s="107">
        <f>VLOOKUP(Table24[[#This Row],[Country PRODUCTION]],[2]Sheet1!$B$11:$F$30,4,FALSE)+Table24[[#This Row],[Total_GWP]]</f>
        <v>313.58297872340421</v>
      </c>
      <c r="X168" s="107">
        <f>VLOOKUP(Table24[[#This Row],[Country PRODUCTION]],[2]Sheet1!$B$11:$F$30,5,FALSE)+Table24[[#This Row],[Total_GWP]]</f>
        <v>250.58297872340421</v>
      </c>
      <c r="Y168" s="107">
        <f>Table24[[#This Row],[Total_GWP]]*Table24[[#This Row],[DENSITY]]/1000</f>
        <v>114.38999999999999</v>
      </c>
      <c r="Z168" s="129">
        <f>(-675)/Table24[[#This Row],[DENSITY]]*1000</f>
        <v>-1436.1702127659576</v>
      </c>
      <c r="AA168" s="72">
        <f>(9.42+3.97+776)/Table24[[#This Row],[DENSITY]]*1000</f>
        <v>1679.5531914893618</v>
      </c>
      <c r="AB168" s="77">
        <f>SUM(Table24[[#This Row],[A1toA3_GWP-biogenic]:[C1toC4_GWP-biogenic]])</f>
        <v>0</v>
      </c>
      <c r="AC168" s="77">
        <f>Table24[[#This Row],[GWP-biogenic]]*Table24[[#This Row],[DENSITY]]/1000</f>
        <v>0</v>
      </c>
      <c r="AD168" s="77">
        <f>(-762)/Table24[[#This Row],[DENSITY]]*1000</f>
        <v>-1621.2765957446809</v>
      </c>
      <c r="AE168" s="76">
        <f>(762)/Table24[[#This Row],[DENSITY]]*1000</f>
        <v>1621.2765957446809</v>
      </c>
      <c r="AF168" s="81"/>
      <c r="AG168" s="87"/>
      <c r="AH168" s="87"/>
      <c r="AI168" s="76"/>
      <c r="AJ168" s="385">
        <f ca="1">IF(OR($E168="Ecoinvent",$E168="Betonsortenrechner",$E168="KBOB",$V168&lt;=0,Table24[[#This Row],[VALID_TO]]&lt;=TODAY()),0,1)</f>
        <v>1</v>
      </c>
      <c r="AK168" s="199">
        <v>1</v>
      </c>
      <c r="AL168" s="199">
        <f ca="1">IF(AND(Table24[[#This Row],[ValidEPD]]&lt;&gt;0,Table24[[#This Row],[Man_Ausschluss]]&lt;&gt;0),1,0)</f>
        <v>1</v>
      </c>
      <c r="AM168" s="17" cm="1">
        <f t="array" aca="1" ref="AM168" ca="1">IF(Table24[[#This Row],[gültig]]&lt;&gt;0,
IF(
OR(
V168=MIN(_xlfn._xlws.FILTER($V$2:$V$298,($P$2:$P$298=P168)*($N$2:$N$298=N168)*($AL$2:$AL$298&lt;&gt;0))),
V168=MAX(_xlfn._xlws.FILTER($V$2:$V$298,($P$2:$P$298=P168)*($N$2:$N$298=N168)*($AL$2:$AL$298&lt;&gt;0))),
ROWS(_xlfn._xlws.FILTER($V$2:$V$298,($P$2:$P$298=P168)*($N$2:$N$298=N168)*($AL$2:$AL$298&lt;&gt;0)))&lt;=2
),1,0),0)</f>
        <v>0</v>
      </c>
      <c r="AN168" s="138"/>
      <c r="AO168" s="1"/>
      <c r="AP168" s="1"/>
    </row>
    <row r="169" spans="1:42" x14ac:dyDescent="0.2">
      <c r="A169" s="161" t="s">
        <v>231</v>
      </c>
      <c r="B169" s="9"/>
      <c r="C169" s="96">
        <v>168</v>
      </c>
      <c r="D169" s="1" t="s">
        <v>230</v>
      </c>
      <c r="E169" s="162" t="s">
        <v>232</v>
      </c>
      <c r="F169" s="162"/>
      <c r="G169" s="163">
        <v>44179</v>
      </c>
      <c r="H169" s="163">
        <v>46003</v>
      </c>
      <c r="I169" s="84" t="s">
        <v>238</v>
      </c>
      <c r="J169" s="164" t="s">
        <v>238</v>
      </c>
      <c r="K169" s="165" t="s">
        <v>112</v>
      </c>
      <c r="L169" s="228" t="s">
        <v>490</v>
      </c>
      <c r="M169" s="1" t="s">
        <v>313</v>
      </c>
      <c r="N169" s="167" t="s">
        <v>494</v>
      </c>
      <c r="O169" s="1" t="s">
        <v>415</v>
      </c>
      <c r="P169" s="84" t="s">
        <v>113</v>
      </c>
      <c r="Q169" s="84">
        <v>430</v>
      </c>
      <c r="R169" s="162" t="s">
        <v>415</v>
      </c>
      <c r="S169" s="162" t="s">
        <v>415</v>
      </c>
      <c r="T169" s="162" t="s">
        <v>415</v>
      </c>
      <c r="U169" s="168" t="s">
        <v>415</v>
      </c>
      <c r="V169" s="107">
        <f>SUM(Table24[[#This Row],[A1toA3_GWP]:[C1toC4_GWP]])</f>
        <v>92.325581395348763</v>
      </c>
      <c r="W169" s="107">
        <f>VLOOKUP(Table24[[#This Row],[Country PRODUCTION]],[2]Sheet1!$B$11:$F$30,4,FALSE)+Table24[[#This Row],[Total_GWP]]</f>
        <v>361.42558139534879</v>
      </c>
      <c r="X169" s="107">
        <f>VLOOKUP(Table24[[#This Row],[Country PRODUCTION]],[2]Sheet1!$B$11:$F$30,5,FALSE)+Table24[[#This Row],[Total_GWP]]</f>
        <v>119.92558139534876</v>
      </c>
      <c r="Y169" s="107">
        <f>Table24[[#This Row],[Total_GWP]]*Table24[[#This Row],[DENSITY]]/1000</f>
        <v>39.699999999999974</v>
      </c>
      <c r="Z169" s="129">
        <f>-670/Table24[[#This Row],[DENSITY]]*1000</f>
        <v>-1558.1395348837211</v>
      </c>
      <c r="AA169" s="72">
        <f>(0.8+4.9+704)/Table24[[#This Row],[DENSITY]]*1000</f>
        <v>1650.4651162790699</v>
      </c>
      <c r="AB169" s="77">
        <f>SUM(Table24[[#This Row],[A1toA3_GWP-biogenic]:[C1toC4_GWP-biogenic]])</f>
        <v>0</v>
      </c>
      <c r="AC169" s="77">
        <f>Table24[[#This Row],[GWP-biogenic]]*Table24[[#This Row],[DENSITY]]/1000</f>
        <v>0</v>
      </c>
      <c r="AD169" s="77">
        <f>(-704)/Table24[[#This Row],[DENSITY]]*1000</f>
        <v>-1637.2093023255813</v>
      </c>
      <c r="AE169" s="76">
        <f>(704)/Table24[[#This Row],[DENSITY]]*1000</f>
        <v>1637.2093023255813</v>
      </c>
      <c r="AF169" s="81"/>
      <c r="AG169" s="87"/>
      <c r="AH169" s="87"/>
      <c r="AI169" s="76"/>
      <c r="AJ169" s="385">
        <f ca="1">IF(OR($E169="Ecoinvent",$E169="Betonsortenrechner",$E169="KBOB",$V169&lt;=0,Table24[[#This Row],[VALID_TO]]&lt;=TODAY()),0,1)</f>
        <v>0</v>
      </c>
      <c r="AK169" s="199">
        <v>1</v>
      </c>
      <c r="AL169" s="199">
        <f ca="1">IF(AND(Table24[[#This Row],[ValidEPD]]&lt;&gt;0,Table24[[#This Row],[Man_Ausschluss]]&lt;&gt;0),1,0)</f>
        <v>0</v>
      </c>
      <c r="AM169" s="17" cm="1">
        <f t="array" aca="1" ref="AM169" ca="1">IF(Table24[[#This Row],[gültig]]&lt;&gt;0,
IF(
OR(
V169=MIN(_xlfn._xlws.FILTER($V$2:$V$298,($P$2:$P$298=P169)*($N$2:$N$298=N169)*($AL$2:$AL$298&lt;&gt;0))),
V169=MAX(_xlfn._xlws.FILTER($V$2:$V$298,($P$2:$P$298=P169)*($N$2:$N$298=N169)*($AL$2:$AL$298&lt;&gt;0))),
ROWS(_xlfn._xlws.FILTER($V$2:$V$298,($P$2:$P$298=P169)*($N$2:$N$298=N169)*($AL$2:$AL$298&lt;&gt;0)))&lt;=2
),1,0),0)</f>
        <v>0</v>
      </c>
      <c r="AN169" s="138"/>
      <c r="AO169" s="1" t="s">
        <v>426</v>
      </c>
      <c r="AP169" s="1"/>
    </row>
    <row r="170" spans="1:42" x14ac:dyDescent="0.2">
      <c r="A170" s="161" t="s">
        <v>235</v>
      </c>
      <c r="B170" s="9"/>
      <c r="C170" s="100">
        <v>169</v>
      </c>
      <c r="D170" s="1" t="s">
        <v>233</v>
      </c>
      <c r="E170" s="162" t="s">
        <v>234</v>
      </c>
      <c r="F170" s="162"/>
      <c r="G170" s="163">
        <v>44593</v>
      </c>
      <c r="H170" s="163">
        <v>46419</v>
      </c>
      <c r="I170" s="84" t="s">
        <v>238</v>
      </c>
      <c r="J170" s="164" t="s">
        <v>238</v>
      </c>
      <c r="K170" s="165" t="s">
        <v>112</v>
      </c>
      <c r="L170" s="228" t="s">
        <v>490</v>
      </c>
      <c r="M170" s="1" t="s">
        <v>313</v>
      </c>
      <c r="N170" s="167" t="s">
        <v>494</v>
      </c>
      <c r="O170" s="1" t="s">
        <v>415</v>
      </c>
      <c r="P170" s="84" t="s">
        <v>113</v>
      </c>
      <c r="Q170" s="84">
        <v>430</v>
      </c>
      <c r="R170" s="162" t="s">
        <v>415</v>
      </c>
      <c r="S170" s="162" t="s">
        <v>415</v>
      </c>
      <c r="T170" s="162" t="s">
        <v>415</v>
      </c>
      <c r="U170" s="168" t="s">
        <v>415</v>
      </c>
      <c r="V170" s="81">
        <f>SUM(Table24[[#This Row],[A1toA3_GWP]:[C1toC4_GWP]])</f>
        <v>-66.186046511627865</v>
      </c>
      <c r="W170" s="81">
        <f>VLOOKUP(Table24[[#This Row],[Country PRODUCTION]],[2]Sheet1!$B$11:$F$30,4,FALSE)+Table24[[#This Row],[Total_GWP]]</f>
        <v>202.91395348837216</v>
      </c>
      <c r="X170" s="81">
        <f>VLOOKUP(Table24[[#This Row],[Country PRODUCTION]],[2]Sheet1!$B$11:$F$30,5,FALSE)+Table24[[#This Row],[Total_GWP]]</f>
        <v>-38.586046511627863</v>
      </c>
      <c r="Y170" s="81">
        <f>Table24[[#This Row],[Total_GWP]]*Table24[[#This Row],[DENSITY]]/1000</f>
        <v>-28.459999999999983</v>
      </c>
      <c r="Z170" s="87">
        <f>-780/Table24[[#This Row],[DENSITY]]*1000</f>
        <v>-1813.9534883720928</v>
      </c>
      <c r="AA170" s="88">
        <f>(0.24+1.3+750)/Table24[[#This Row],[DENSITY]]*1000</f>
        <v>1747.7674418604649</v>
      </c>
      <c r="AB170" s="77">
        <f>SUM(Table24[[#This Row],[A1toA3_GWP-biogenic]:[C1toC4_GWP-biogenic]])</f>
        <v>-232.56209302325578</v>
      </c>
      <c r="AC170" s="77">
        <f>Table24[[#This Row],[GWP-biogenic]]*Table24[[#This Row],[DENSITY]]/1000</f>
        <v>-100.00169999999999</v>
      </c>
      <c r="AD170" s="77">
        <f>(-840)/Table24[[#This Row],[DENSITY]]*1000</f>
        <v>-1953.4883720930231</v>
      </c>
      <c r="AE170" s="76">
        <f>(-1.7*10^-3+740)/Table24[[#This Row],[DENSITY]]*1000</f>
        <v>1720.9262790697674</v>
      </c>
      <c r="AF170" s="81"/>
      <c r="AG170" s="87"/>
      <c r="AH170" s="87"/>
      <c r="AI170" s="76"/>
      <c r="AJ170" s="385">
        <f ca="1">IF(OR($E170="Ecoinvent",$E170="Betonsortenrechner",$E170="KBOB",$V170&lt;=0,Table24[[#This Row],[VALID_TO]]&lt;=TODAY()),0,1)</f>
        <v>0</v>
      </c>
      <c r="AK170" s="199">
        <v>1</v>
      </c>
      <c r="AL170" s="199">
        <f ca="1">IF(AND(Table24[[#This Row],[ValidEPD]]&lt;&gt;0,Table24[[#This Row],[Man_Ausschluss]]&lt;&gt;0),1,0)</f>
        <v>0</v>
      </c>
      <c r="AM170" s="17" cm="1">
        <f t="array" aca="1" ref="AM170" ca="1">IF(Table24[[#This Row],[gültig]]&lt;&gt;0,
IF(
OR(
V170=MIN(_xlfn._xlws.FILTER($V$2:$V$298,($P$2:$P$298=P170)*($N$2:$N$298=N170)*($AL$2:$AL$298&lt;&gt;0))),
V170=MAX(_xlfn._xlws.FILTER($V$2:$V$298,($P$2:$P$298=P170)*($N$2:$N$298=N170)*($AL$2:$AL$298&lt;&gt;0))),
ROWS(_xlfn._xlws.FILTER($V$2:$V$298,($P$2:$P$298=P170)*($N$2:$N$298=N170)*($AL$2:$AL$298&lt;&gt;0)))&lt;=2
),1,0),0)</f>
        <v>0</v>
      </c>
      <c r="AN170" s="138"/>
      <c r="AO170" s="1" t="s">
        <v>427</v>
      </c>
      <c r="AP170" s="1"/>
    </row>
    <row r="171" spans="1:42" x14ac:dyDescent="0.2">
      <c r="A171" s="161" t="s">
        <v>241</v>
      </c>
      <c r="B171" s="9"/>
      <c r="C171" s="96">
        <v>170</v>
      </c>
      <c r="D171" s="1" t="s">
        <v>237</v>
      </c>
      <c r="E171" s="162" t="s">
        <v>236</v>
      </c>
      <c r="F171" s="162"/>
      <c r="G171" s="163">
        <v>45205</v>
      </c>
      <c r="H171" s="163">
        <v>47032</v>
      </c>
      <c r="I171" s="84" t="s">
        <v>311</v>
      </c>
      <c r="J171" s="164" t="s">
        <v>239</v>
      </c>
      <c r="K171" s="165" t="s">
        <v>112</v>
      </c>
      <c r="L171" s="228" t="s">
        <v>490</v>
      </c>
      <c r="M171" s="1" t="s">
        <v>313</v>
      </c>
      <c r="N171" s="167" t="s">
        <v>494</v>
      </c>
      <c r="O171" s="1" t="s">
        <v>415</v>
      </c>
      <c r="P171" s="84" t="s">
        <v>113</v>
      </c>
      <c r="Q171" s="84">
        <v>470</v>
      </c>
      <c r="R171" s="162" t="s">
        <v>415</v>
      </c>
      <c r="S171" s="162" t="s">
        <v>415</v>
      </c>
      <c r="T171" s="162" t="s">
        <v>415</v>
      </c>
      <c r="U171" s="168" t="s">
        <v>415</v>
      </c>
      <c r="V171" s="107">
        <f>SUM(Table24[[#This Row],[A1toA3_GWP]:[C1toC4_GWP]])</f>
        <v>170.34042553191466</v>
      </c>
      <c r="W171" s="107">
        <f>VLOOKUP("AT",[2]Sheet1!$B$11:$F$30,4,FALSE)+Table24[[#This Row],[Total_GWP]]</f>
        <v>240.54042553191465</v>
      </c>
      <c r="X171" s="107">
        <f>VLOOKUP("AT",[2]Sheet1!$B$11:$F$30,5,FALSE)+Table24[[#This Row],[Total_GWP]]</f>
        <v>177.54042553191465</v>
      </c>
      <c r="Y171" s="107">
        <f>Table24[[#This Row],[Total_GWP]]*Table24[[#This Row],[DENSITY]]/1000</f>
        <v>80.059999999999889</v>
      </c>
      <c r="Z171" s="129">
        <f>-708/Table24[[#This Row],[DENSITY]]*1000</f>
        <v>-1506.3829787234042</v>
      </c>
      <c r="AA171" s="72">
        <f>(4.01+2.05+782)/Table24[[#This Row],[DENSITY]]*1000</f>
        <v>1676.7234042553189</v>
      </c>
      <c r="AB171" s="77">
        <f>SUM(Table24[[#This Row],[A1toA3_GWP-biogenic]:[C1toC4_GWP-biogenic]])</f>
        <v>2.4255319158328348E-4</v>
      </c>
      <c r="AC171" s="77">
        <f>Table24[[#This Row],[GWP-biogenic]]*Table24[[#This Row],[DENSITY]]/1000</f>
        <v>1.1400000004414323E-4</v>
      </c>
      <c r="AD171" s="77">
        <f>(-762)/Table24[[#This Row],[DENSITY]]*1000</f>
        <v>-1621.2765957446809</v>
      </c>
      <c r="AE171" s="76">
        <f>(-6.98*10^-4+8.12*10^-4+762)/Table24[[#This Row],[DENSITY]]*1000</f>
        <v>1621.2768382978725</v>
      </c>
      <c r="AF171" s="81"/>
      <c r="AG171" s="87"/>
      <c r="AH171" s="87"/>
      <c r="AI171" s="76"/>
      <c r="AJ171" s="385">
        <f ca="1">IF(OR($E171="Ecoinvent",$E171="Betonsortenrechner",$E171="KBOB",$V171&lt;=0,Table24[[#This Row],[VALID_TO]]&lt;=TODAY()),0,1)</f>
        <v>1</v>
      </c>
      <c r="AK171" s="199">
        <v>1</v>
      </c>
      <c r="AL171" s="199">
        <f ca="1">IF(AND(Table24[[#This Row],[ValidEPD]]&lt;&gt;0,Table24[[#This Row],[Man_Ausschluss]]&lt;&gt;0),1,0)</f>
        <v>1</v>
      </c>
      <c r="AM171" s="17" cm="1">
        <f t="array" aca="1" ref="AM171" ca="1">IF(Table24[[#This Row],[gültig]]&lt;&gt;0,
IF(
OR(
V171=MIN(_xlfn._xlws.FILTER($V$2:$V$298,($P$2:$P$298=P171)*($N$2:$N$298=N171)*($AL$2:$AL$298&lt;&gt;0))),
V171=MAX(_xlfn._xlws.FILTER($V$2:$V$298,($P$2:$P$298=P171)*($N$2:$N$298=N171)*($AL$2:$AL$298&lt;&gt;0))),
ROWS(_xlfn._xlws.FILTER($V$2:$V$298,($P$2:$P$298=P171)*($N$2:$N$298=N171)*($AL$2:$AL$298&lt;&gt;0)))&lt;=2
),1,0),0)</f>
        <v>1</v>
      </c>
      <c r="AN171" s="138"/>
      <c r="AO171" s="1" t="s">
        <v>428</v>
      </c>
      <c r="AP171" s="1" t="s">
        <v>411</v>
      </c>
    </row>
    <row r="172" spans="1:42" x14ac:dyDescent="0.2">
      <c r="A172" s="161" t="s">
        <v>242</v>
      </c>
      <c r="B172" s="9"/>
      <c r="C172" s="100">
        <v>171</v>
      </c>
      <c r="D172" s="1" t="s">
        <v>243</v>
      </c>
      <c r="E172" s="162" t="s">
        <v>105</v>
      </c>
      <c r="F172" s="162"/>
      <c r="G172" s="163">
        <v>43544</v>
      </c>
      <c r="H172" s="163">
        <v>45370</v>
      </c>
      <c r="I172" s="84" t="s">
        <v>240</v>
      </c>
      <c r="J172" s="164" t="s">
        <v>244</v>
      </c>
      <c r="K172" s="165" t="s">
        <v>245</v>
      </c>
      <c r="L172" s="228" t="s">
        <v>490</v>
      </c>
      <c r="M172" s="1" t="s">
        <v>313</v>
      </c>
      <c r="N172" s="167" t="s">
        <v>494</v>
      </c>
      <c r="O172" s="1" t="s">
        <v>415</v>
      </c>
      <c r="P172" s="84" t="s">
        <v>113</v>
      </c>
      <c r="Q172" s="84">
        <v>470</v>
      </c>
      <c r="R172" s="162" t="s">
        <v>415</v>
      </c>
      <c r="S172" s="162" t="s">
        <v>415</v>
      </c>
      <c r="T172" s="162" t="s">
        <v>415</v>
      </c>
      <c r="U172" s="168" t="s">
        <v>415</v>
      </c>
      <c r="V172" s="107">
        <f>SUM(Table24[[#This Row],[A1toA3_GWP]:[C1toC4_GWP]])</f>
        <v>232.9957446808512</v>
      </c>
      <c r="W172" s="107">
        <f>VLOOKUP("AT",[2]Sheet1!$B$11:$F$30,4,FALSE)+Table24[[#This Row],[Total_GWP]]</f>
        <v>303.19574468085119</v>
      </c>
      <c r="X172" s="107">
        <f>VLOOKUP("AT",[2]Sheet1!$B$11:$F$30,5,FALSE)+Table24[[#This Row],[Total_GWP]]</f>
        <v>240.19574468085119</v>
      </c>
      <c r="Y172" s="107">
        <f>Table24[[#This Row],[Total_GWP]]*Table24[[#This Row],[DENSITY]]/1000</f>
        <v>109.50800000000005</v>
      </c>
      <c r="Z172" s="129">
        <f>(-683+7.56+18.4)/Table24[[#This Row],[DENSITY]]*1000</f>
        <v>-1397.9574468085107</v>
      </c>
      <c r="AA172" s="72">
        <f>(0.548+766)/Table24[[#This Row],[DENSITY]]*1000</f>
        <v>1630.9531914893619</v>
      </c>
      <c r="AB172" s="77">
        <f>SUM(Table24[[#This Row],[A1toA3_GWP-biogenic]:[C1toC4_GWP-biogenic]])</f>
        <v>0</v>
      </c>
      <c r="AC172" s="77">
        <f>Table24[[#This Row],[GWP-biogenic]]*Table24[[#This Row],[DENSITY]]/1000</f>
        <v>0</v>
      </c>
      <c r="AD172" s="73" t="s">
        <v>415</v>
      </c>
      <c r="AE172" s="75" t="s">
        <v>415</v>
      </c>
      <c r="AF172" s="107"/>
      <c r="AG172" s="129"/>
      <c r="AH172" s="129"/>
      <c r="AI172" s="75"/>
      <c r="AJ172" s="385">
        <f ca="1">IF(OR($E172="Ecoinvent",$E172="Betonsortenrechner",$E172="KBOB",$V172&lt;=0,Table24[[#This Row],[VALID_TO]]&lt;=TODAY()),0,1)</f>
        <v>0</v>
      </c>
      <c r="AK172" s="199">
        <v>1</v>
      </c>
      <c r="AL172" s="199">
        <f ca="1">IF(AND(Table24[[#This Row],[ValidEPD]]&lt;&gt;0,Table24[[#This Row],[Man_Ausschluss]]&lt;&gt;0),1,0)</f>
        <v>0</v>
      </c>
      <c r="AM172" s="17" cm="1">
        <f t="array" aca="1" ref="AM172" ca="1">IF(Table24[[#This Row],[gültig]]&lt;&gt;0,
IF(
OR(
V172=MIN(_xlfn._xlws.FILTER($V$2:$V$298,($P$2:$P$298=P172)*($N$2:$N$298=N172)*($AL$2:$AL$298&lt;&gt;0))),
V172=MAX(_xlfn._xlws.FILTER($V$2:$V$298,($P$2:$P$298=P172)*($N$2:$N$298=N172)*($AL$2:$AL$298&lt;&gt;0))),
ROWS(_xlfn._xlws.FILTER($V$2:$V$298,($P$2:$P$298=P172)*($N$2:$N$298=N172)*($AL$2:$AL$298&lt;&gt;0)))&lt;=2
),1,0),0)</f>
        <v>0</v>
      </c>
      <c r="AN172" s="138"/>
      <c r="AO172" s="1"/>
      <c r="AP172" s="1"/>
    </row>
    <row r="173" spans="1:42" x14ac:dyDescent="0.2">
      <c r="A173" s="161" t="s">
        <v>247</v>
      </c>
      <c r="B173" s="9" t="s">
        <v>502</v>
      </c>
      <c r="C173" s="96">
        <v>172</v>
      </c>
      <c r="D173" s="1" t="s">
        <v>246</v>
      </c>
      <c r="E173" s="162" t="s">
        <v>102</v>
      </c>
      <c r="F173" s="162"/>
      <c r="G173" s="163">
        <v>44449</v>
      </c>
      <c r="H173" s="163">
        <v>46236</v>
      </c>
      <c r="I173" s="84" t="s">
        <v>240</v>
      </c>
      <c r="J173" s="164" t="s">
        <v>240</v>
      </c>
      <c r="K173" s="165" t="s">
        <v>112</v>
      </c>
      <c r="L173" s="228" t="s">
        <v>490</v>
      </c>
      <c r="M173" s="1" t="s">
        <v>313</v>
      </c>
      <c r="N173" s="167" t="s">
        <v>494</v>
      </c>
      <c r="O173" s="1" t="s">
        <v>415</v>
      </c>
      <c r="P173" s="84" t="s">
        <v>113</v>
      </c>
      <c r="Q173" s="84">
        <v>470</v>
      </c>
      <c r="R173" s="162" t="s">
        <v>415</v>
      </c>
      <c r="S173" s="162" t="s">
        <v>415</v>
      </c>
      <c r="T173" s="162" t="s">
        <v>415</v>
      </c>
      <c r="U173" s="168" t="s">
        <v>415</v>
      </c>
      <c r="V173" s="107">
        <f>SUM(Table24[[#This Row],[A1toA3_GWP]:[C1toC4_GWP]])</f>
        <v>200.89361702127644</v>
      </c>
      <c r="W173" s="107">
        <f>VLOOKUP(Table24[[#This Row],[Country PRODUCTION]],[2]Sheet1!$B$11:$F$30,4,FALSE)+Table24[[#This Row],[Total_GWP]]</f>
        <v>271.09361702127643</v>
      </c>
      <c r="X173" s="107">
        <f>VLOOKUP(Table24[[#This Row],[Country PRODUCTION]],[2]Sheet1!$B$11:$F$30,5,FALSE)+Table24[[#This Row],[Total_GWP]]</f>
        <v>208.09361702127643</v>
      </c>
      <c r="Y173" s="107">
        <f>Table24[[#This Row],[Total_GWP]]*Table24[[#This Row],[DENSITY]]/1000</f>
        <v>94.419999999999931</v>
      </c>
      <c r="Z173" s="129">
        <f>-660/Table24[[#This Row],[DENSITY]]*1000</f>
        <v>-1404.2553191489362</v>
      </c>
      <c r="AA173" s="72">
        <f>(1.42+753)/Table24[[#This Row],[DENSITY]]*1000</f>
        <v>1605.1489361702127</v>
      </c>
      <c r="AB173" s="77">
        <f>SUM(Table24[[#This Row],[A1toA3_GWP-biogenic]:[C1toC4_GWP-biogenic]])</f>
        <v>-8.5141914893617923</v>
      </c>
      <c r="AC173" s="77">
        <f>Table24[[#This Row],[GWP-biogenic]]*Table24[[#This Row],[DENSITY]]/1000</f>
        <v>-4.0016700000000425</v>
      </c>
      <c r="AD173" s="77">
        <f>(-754)/Table24[[#This Row],[DENSITY]]*1000</f>
        <v>-1604.2553191489362</v>
      </c>
      <c r="AE173" s="76">
        <f>(-1.67*10^-3+7.5*10^2)/Table24[[#This Row],[DENSITY]]*1000</f>
        <v>1595.7411276595744</v>
      </c>
      <c r="AF173" s="81"/>
      <c r="AG173" s="87"/>
      <c r="AH173" s="87"/>
      <c r="AI173" s="76"/>
      <c r="AJ173" s="385">
        <f ca="1">IF(OR($E173="Ecoinvent",$E173="Betonsortenrechner",$E173="KBOB",$V173&lt;=0,Table24[[#This Row],[VALID_TO]]&lt;=TODAY()),0,1)</f>
        <v>0</v>
      </c>
      <c r="AK173" s="199">
        <v>1</v>
      </c>
      <c r="AL173" s="199">
        <f ca="1">IF(AND(Table24[[#This Row],[ValidEPD]]&lt;&gt;0,Table24[[#This Row],[Man_Ausschluss]]&lt;&gt;0),1,0)</f>
        <v>0</v>
      </c>
      <c r="AM173" s="17" cm="1">
        <f t="array" aca="1" ref="AM173" ca="1">IF(Table24[[#This Row],[gültig]]&lt;&gt;0,
IF(
OR(
V173=MIN(_xlfn._xlws.FILTER($V$2:$V$298,($P$2:$P$298=P173)*($N$2:$N$298=N173)*($AL$2:$AL$298&lt;&gt;0))),
V173=MAX(_xlfn._xlws.FILTER($V$2:$V$298,($P$2:$P$298=P173)*($N$2:$N$298=N173)*($AL$2:$AL$298&lt;&gt;0))),
ROWS(_xlfn._xlws.FILTER($V$2:$V$298,($P$2:$P$298=P173)*($N$2:$N$298=N173)*($AL$2:$AL$298&lt;&gt;0)))&lt;=2
),1,0),0)</f>
        <v>0</v>
      </c>
      <c r="AN173" s="138"/>
      <c r="AO173" s="1"/>
      <c r="AP173" s="1"/>
    </row>
    <row r="174" spans="1:42" x14ac:dyDescent="0.2">
      <c r="A174" s="161" t="s">
        <v>247</v>
      </c>
      <c r="B174" s="9" t="s">
        <v>518</v>
      </c>
      <c r="C174" s="100">
        <v>173</v>
      </c>
      <c r="D174" s="1" t="s">
        <v>246</v>
      </c>
      <c r="E174" s="162" t="s">
        <v>102</v>
      </c>
      <c r="F174" s="162"/>
      <c r="G174" s="163">
        <v>44449</v>
      </c>
      <c r="H174" s="163">
        <v>46236</v>
      </c>
      <c r="I174" s="84" t="s">
        <v>240</v>
      </c>
      <c r="J174" s="164" t="s">
        <v>240</v>
      </c>
      <c r="K174" s="165" t="s">
        <v>112</v>
      </c>
      <c r="L174" s="228" t="s">
        <v>490</v>
      </c>
      <c r="M174" s="1" t="s">
        <v>313</v>
      </c>
      <c r="N174" s="167" t="s">
        <v>494</v>
      </c>
      <c r="O174" s="1" t="s">
        <v>415</v>
      </c>
      <c r="P174" s="84" t="s">
        <v>528</v>
      </c>
      <c r="Q174" s="84">
        <v>470</v>
      </c>
      <c r="R174" s="162" t="s">
        <v>415</v>
      </c>
      <c r="S174" s="162" t="s">
        <v>415</v>
      </c>
      <c r="T174" s="162" t="s">
        <v>415</v>
      </c>
      <c r="U174" s="168" t="s">
        <v>415</v>
      </c>
      <c r="V174" s="107">
        <f>SUM(Table24[[#This Row],[A1toA3_GWP]:[C1toC4_GWP]])</f>
        <v>200.89361702127644</v>
      </c>
      <c r="W174" s="107">
        <f>VLOOKUP(Table24[[#This Row],[Country PRODUCTION]],[2]Sheet1!$B$11:$F$30,4,FALSE)+Table24[[#This Row],[Total_GWP]]</f>
        <v>271.09361702127643</v>
      </c>
      <c r="X174" s="107">
        <f>VLOOKUP(Table24[[#This Row],[Country PRODUCTION]],[2]Sheet1!$B$11:$F$30,5,FALSE)+Table24[[#This Row],[Total_GWP]]</f>
        <v>208.09361702127643</v>
      </c>
      <c r="Y174" s="107">
        <f>Table24[[#This Row],[Total_GWP]]*Table24[[#This Row],[DENSITY]]/1000</f>
        <v>94.419999999999931</v>
      </c>
      <c r="Z174" s="129">
        <f>-660/Table24[[#This Row],[DENSITY]]*1000</f>
        <v>-1404.2553191489362</v>
      </c>
      <c r="AA174" s="72">
        <f>(1.42+753)/Table24[[#This Row],[DENSITY]]*1000</f>
        <v>1605.1489361702127</v>
      </c>
      <c r="AB174" s="77">
        <f>SUM(Table24[[#This Row],[A1toA3_GWP-biogenic]:[C1toC4_GWP-biogenic]])</f>
        <v>-8.5141914893617923</v>
      </c>
      <c r="AC174" s="77">
        <f>Table24[[#This Row],[GWP-biogenic]]*Table24[[#This Row],[DENSITY]]/1000</f>
        <v>-4.0016700000000425</v>
      </c>
      <c r="AD174" s="77">
        <f>(-754)/Table24[[#This Row],[DENSITY]]*1000</f>
        <v>-1604.2553191489362</v>
      </c>
      <c r="AE174" s="76">
        <f>(-1.67*10^-3+7.5*10^2)/Table24[[#This Row],[DENSITY]]*1000</f>
        <v>1595.7411276595744</v>
      </c>
      <c r="AF174" s="81"/>
      <c r="AG174" s="87"/>
      <c r="AH174" s="87"/>
      <c r="AI174" s="76"/>
      <c r="AJ174" s="80">
        <f ca="1">IF(OR($E174="Ecoinvent",$E174="Betonsortenrechner",$E174="KBOB",$V174&lt;=0,Table24[[#This Row],[VALID_TO]]&lt;=TODAY()),0,1)</f>
        <v>0</v>
      </c>
      <c r="AK174" s="87">
        <v>1</v>
      </c>
      <c r="AL174" s="87">
        <f ca="1">IF(AND(Table24[[#This Row],[ValidEPD]]&lt;&gt;0,Table24[[#This Row],[Man_Ausschluss]]&lt;&gt;0),1,0)</f>
        <v>0</v>
      </c>
      <c r="AM174" s="17" cm="1">
        <f t="array" aca="1" ref="AM174" ca="1">IF(Table24[[#This Row],[gültig]]&lt;&gt;0,
IF(
OR(
V174=MIN(_xlfn._xlws.FILTER($V$2:$V$298,($P$2:$P$298=P174)*($N$2:$N$298=N174)*($AL$2:$AL$298&lt;&gt;0))),
V174=MAX(_xlfn._xlws.FILTER($V$2:$V$298,($P$2:$P$298=P174)*($N$2:$N$298=N174)*($AL$2:$AL$298&lt;&gt;0))),
ROWS(_xlfn._xlws.FILTER($V$2:$V$298,($P$2:$P$298=P174)*($N$2:$N$298=N174)*($AL$2:$AL$298&lt;&gt;0)))&lt;=2
),1,0),0)</f>
        <v>0</v>
      </c>
      <c r="AN174" s="56"/>
      <c r="AO174" s="1"/>
      <c r="AP174" s="1"/>
    </row>
    <row r="175" spans="1:42" x14ac:dyDescent="0.2">
      <c r="A175" s="161" t="s">
        <v>247</v>
      </c>
      <c r="B175" s="9" t="s">
        <v>519</v>
      </c>
      <c r="C175" s="96">
        <v>174</v>
      </c>
      <c r="D175" s="1" t="s">
        <v>246</v>
      </c>
      <c r="E175" s="162" t="s">
        <v>102</v>
      </c>
      <c r="F175" s="162"/>
      <c r="G175" s="163">
        <v>44449</v>
      </c>
      <c r="H175" s="163">
        <v>46236</v>
      </c>
      <c r="I175" s="84" t="s">
        <v>240</v>
      </c>
      <c r="J175" s="164" t="s">
        <v>240</v>
      </c>
      <c r="K175" s="165" t="s">
        <v>112</v>
      </c>
      <c r="L175" s="228" t="s">
        <v>490</v>
      </c>
      <c r="M175" s="1" t="s">
        <v>313</v>
      </c>
      <c r="N175" s="167" t="s">
        <v>494</v>
      </c>
      <c r="O175" s="1" t="s">
        <v>415</v>
      </c>
      <c r="P175" s="84" t="s">
        <v>529</v>
      </c>
      <c r="Q175" s="84">
        <v>470</v>
      </c>
      <c r="R175" s="162" t="s">
        <v>415</v>
      </c>
      <c r="S175" s="162" t="s">
        <v>415</v>
      </c>
      <c r="T175" s="162" t="s">
        <v>415</v>
      </c>
      <c r="U175" s="168" t="s">
        <v>415</v>
      </c>
      <c r="V175" s="107">
        <f>SUM(Table24[[#This Row],[A1toA3_GWP]:[C1toC4_GWP]])</f>
        <v>200.89361702127644</v>
      </c>
      <c r="W175" s="107">
        <f>VLOOKUP(Table24[[#This Row],[Country PRODUCTION]],[2]Sheet1!$B$11:$F$30,4,FALSE)+Table24[[#This Row],[Total_GWP]]</f>
        <v>271.09361702127643</v>
      </c>
      <c r="X175" s="107">
        <f>VLOOKUP(Table24[[#This Row],[Country PRODUCTION]],[2]Sheet1!$B$11:$F$30,5,FALSE)+Table24[[#This Row],[Total_GWP]]</f>
        <v>208.09361702127643</v>
      </c>
      <c r="Y175" s="107">
        <f>Table24[[#This Row],[Total_GWP]]*Table24[[#This Row],[DENSITY]]/1000</f>
        <v>94.419999999999931</v>
      </c>
      <c r="Z175" s="129">
        <f>-660/Table24[[#This Row],[DENSITY]]*1000</f>
        <v>-1404.2553191489362</v>
      </c>
      <c r="AA175" s="72">
        <f>(1.42+753)/Table24[[#This Row],[DENSITY]]*1000</f>
        <v>1605.1489361702127</v>
      </c>
      <c r="AB175" s="77">
        <f>SUM(Table24[[#This Row],[A1toA3_GWP-biogenic]:[C1toC4_GWP-biogenic]])</f>
        <v>-8.5141914893617923</v>
      </c>
      <c r="AC175" s="77">
        <f>Table24[[#This Row],[GWP-biogenic]]*Table24[[#This Row],[DENSITY]]/1000</f>
        <v>-4.0016700000000425</v>
      </c>
      <c r="AD175" s="77">
        <f>(-754)/Table24[[#This Row],[DENSITY]]*1000</f>
        <v>-1604.2553191489362</v>
      </c>
      <c r="AE175" s="76">
        <f>(-1.67*10^-3+7.5*10^2)/Table24[[#This Row],[DENSITY]]*1000</f>
        <v>1595.7411276595744</v>
      </c>
      <c r="AF175" s="81"/>
      <c r="AG175" s="87"/>
      <c r="AH175" s="87"/>
      <c r="AI175" s="76"/>
      <c r="AJ175" s="385">
        <f ca="1">IF(OR($E175="Ecoinvent",$E175="Betonsortenrechner",$E175="KBOB",$V175&lt;=0,Table24[[#This Row],[VALID_TO]]&lt;=TODAY()),0,1)</f>
        <v>0</v>
      </c>
      <c r="AK175" s="199">
        <v>1</v>
      </c>
      <c r="AL175" s="199">
        <f ca="1">IF(AND(Table24[[#This Row],[ValidEPD]]&lt;&gt;0,Table24[[#This Row],[Man_Ausschluss]]&lt;&gt;0),1,0)</f>
        <v>0</v>
      </c>
      <c r="AM175" s="17" cm="1">
        <f t="array" aca="1" ref="AM175" ca="1">IF(Table24[[#This Row],[gültig]]&lt;&gt;0,
IF(
OR(
V175=MIN(_xlfn._xlws.FILTER($V$2:$V$298,($P$2:$P$298=P175)*($N$2:$N$298=N175)*($AL$2:$AL$298&lt;&gt;0))),
V175=MAX(_xlfn._xlws.FILTER($V$2:$V$298,($P$2:$P$298=P175)*($N$2:$N$298=N175)*($AL$2:$AL$298&lt;&gt;0))),
ROWS(_xlfn._xlws.FILTER($V$2:$V$298,($P$2:$P$298=P175)*($N$2:$N$298=N175)*($AL$2:$AL$298&lt;&gt;0)))&lt;=2
),1,0),0)</f>
        <v>0</v>
      </c>
      <c r="AN175" s="138"/>
      <c r="AO175" s="1"/>
      <c r="AP175" s="1"/>
    </row>
    <row r="176" spans="1:42" x14ac:dyDescent="0.2">
      <c r="A176" s="161" t="s">
        <v>247</v>
      </c>
      <c r="B176" s="9" t="s">
        <v>520</v>
      </c>
      <c r="C176" s="100">
        <v>175</v>
      </c>
      <c r="D176" s="1" t="s">
        <v>246</v>
      </c>
      <c r="E176" s="162" t="s">
        <v>102</v>
      </c>
      <c r="F176" s="162"/>
      <c r="G176" s="163">
        <v>44449</v>
      </c>
      <c r="H176" s="163">
        <v>46236</v>
      </c>
      <c r="I176" s="84" t="s">
        <v>240</v>
      </c>
      <c r="J176" s="164" t="s">
        <v>240</v>
      </c>
      <c r="K176" s="165" t="s">
        <v>112</v>
      </c>
      <c r="L176" s="228" t="s">
        <v>490</v>
      </c>
      <c r="M176" s="1" t="s">
        <v>313</v>
      </c>
      <c r="N176" s="167" t="s">
        <v>494</v>
      </c>
      <c r="O176" s="1" t="s">
        <v>415</v>
      </c>
      <c r="P176" s="84" t="s">
        <v>530</v>
      </c>
      <c r="Q176" s="84">
        <v>470</v>
      </c>
      <c r="R176" s="162" t="s">
        <v>415</v>
      </c>
      <c r="S176" s="162" t="s">
        <v>415</v>
      </c>
      <c r="T176" s="162" t="s">
        <v>415</v>
      </c>
      <c r="U176" s="168" t="s">
        <v>415</v>
      </c>
      <c r="V176" s="107">
        <f>SUM(Table24[[#This Row],[A1toA3_GWP]:[C1toC4_GWP]])</f>
        <v>200.89361702127644</v>
      </c>
      <c r="W176" s="107">
        <f>VLOOKUP(Table24[[#This Row],[Country PRODUCTION]],[2]Sheet1!$B$11:$F$30,4,FALSE)+Table24[[#This Row],[Total_GWP]]</f>
        <v>271.09361702127643</v>
      </c>
      <c r="X176" s="107">
        <f>VLOOKUP(Table24[[#This Row],[Country PRODUCTION]],[2]Sheet1!$B$11:$F$30,5,FALSE)+Table24[[#This Row],[Total_GWP]]</f>
        <v>208.09361702127643</v>
      </c>
      <c r="Y176" s="107">
        <f>Table24[[#This Row],[Total_GWP]]*Table24[[#This Row],[DENSITY]]/1000</f>
        <v>94.419999999999931</v>
      </c>
      <c r="Z176" s="129">
        <f>-660/Table24[[#This Row],[DENSITY]]*1000</f>
        <v>-1404.2553191489362</v>
      </c>
      <c r="AA176" s="72">
        <f>(1.42+753)/Table24[[#This Row],[DENSITY]]*1000</f>
        <v>1605.1489361702127</v>
      </c>
      <c r="AB176" s="77">
        <f>SUM(Table24[[#This Row],[A1toA3_GWP-biogenic]:[C1toC4_GWP-biogenic]])</f>
        <v>-8.5141914893617923</v>
      </c>
      <c r="AC176" s="77">
        <f>Table24[[#This Row],[GWP-biogenic]]*Table24[[#This Row],[DENSITY]]/1000</f>
        <v>-4.0016700000000425</v>
      </c>
      <c r="AD176" s="77">
        <f>(-754)/Table24[[#This Row],[DENSITY]]*1000</f>
        <v>-1604.2553191489362</v>
      </c>
      <c r="AE176" s="76">
        <f>(-1.67*10^-3+7.5*10^2)/Table24[[#This Row],[DENSITY]]*1000</f>
        <v>1595.7411276595744</v>
      </c>
      <c r="AF176" s="81"/>
      <c r="AG176" s="87"/>
      <c r="AH176" s="87"/>
      <c r="AI176" s="76"/>
      <c r="AJ176" s="80">
        <f ca="1">IF(OR($E176="Ecoinvent",$E176="Betonsortenrechner",$E176="KBOB",$V176&lt;=0,Table24[[#This Row],[VALID_TO]]&lt;=TODAY()),0,1)</f>
        <v>0</v>
      </c>
      <c r="AK176" s="87">
        <v>1</v>
      </c>
      <c r="AL176" s="87">
        <f ca="1">IF(AND(Table24[[#This Row],[ValidEPD]]&lt;&gt;0,Table24[[#This Row],[Man_Ausschluss]]&lt;&gt;0),1,0)</f>
        <v>0</v>
      </c>
      <c r="AM176" s="17" cm="1">
        <f t="array" aca="1" ref="AM176" ca="1">IF(Table24[[#This Row],[gültig]]&lt;&gt;0,
IF(
OR(
V176=MIN(_xlfn._xlws.FILTER($V$2:$V$298,($P$2:$P$298=P176)*($N$2:$N$298=N176)*($AL$2:$AL$298&lt;&gt;0))),
V176=MAX(_xlfn._xlws.FILTER($V$2:$V$298,($P$2:$P$298=P176)*($N$2:$N$298=N176)*($AL$2:$AL$298&lt;&gt;0))),
ROWS(_xlfn._xlws.FILTER($V$2:$V$298,($P$2:$P$298=P176)*($N$2:$N$298=N176)*($AL$2:$AL$298&lt;&gt;0)))&lt;=2
),1,0),0)</f>
        <v>0</v>
      </c>
      <c r="AN176" s="56"/>
      <c r="AO176" s="1"/>
      <c r="AP176" s="1"/>
    </row>
    <row r="177" spans="1:42" x14ac:dyDescent="0.2">
      <c r="A177" s="161" t="s">
        <v>247</v>
      </c>
      <c r="B177" s="9" t="s">
        <v>521</v>
      </c>
      <c r="C177" s="96">
        <v>176</v>
      </c>
      <c r="D177" s="1" t="s">
        <v>246</v>
      </c>
      <c r="E177" s="162" t="s">
        <v>102</v>
      </c>
      <c r="F177" s="162"/>
      <c r="G177" s="163">
        <v>44449</v>
      </c>
      <c r="H177" s="163">
        <v>46236</v>
      </c>
      <c r="I177" s="84" t="s">
        <v>240</v>
      </c>
      <c r="J177" s="164" t="s">
        <v>240</v>
      </c>
      <c r="K177" s="165" t="s">
        <v>112</v>
      </c>
      <c r="L177" s="228" t="s">
        <v>490</v>
      </c>
      <c r="M177" s="1" t="s">
        <v>313</v>
      </c>
      <c r="N177" s="167" t="s">
        <v>494</v>
      </c>
      <c r="O177" s="1" t="s">
        <v>415</v>
      </c>
      <c r="P177" s="84" t="s">
        <v>531</v>
      </c>
      <c r="Q177" s="84">
        <v>470</v>
      </c>
      <c r="R177" s="162" t="s">
        <v>415</v>
      </c>
      <c r="S177" s="162" t="s">
        <v>415</v>
      </c>
      <c r="T177" s="162" t="s">
        <v>415</v>
      </c>
      <c r="U177" s="168" t="s">
        <v>415</v>
      </c>
      <c r="V177" s="107">
        <f>SUM(Table24[[#This Row],[A1toA3_GWP]:[C1toC4_GWP]])</f>
        <v>200.89361702127644</v>
      </c>
      <c r="W177" s="107">
        <f>VLOOKUP(Table24[[#This Row],[Country PRODUCTION]],[2]Sheet1!$B$11:$F$30,4,FALSE)+Table24[[#This Row],[Total_GWP]]</f>
        <v>271.09361702127643</v>
      </c>
      <c r="X177" s="107">
        <f>VLOOKUP(Table24[[#This Row],[Country PRODUCTION]],[2]Sheet1!$B$11:$F$30,5,FALSE)+Table24[[#This Row],[Total_GWP]]</f>
        <v>208.09361702127643</v>
      </c>
      <c r="Y177" s="107">
        <f>Table24[[#This Row],[Total_GWP]]*Table24[[#This Row],[DENSITY]]/1000</f>
        <v>94.419999999999931</v>
      </c>
      <c r="Z177" s="129">
        <f>-660/Table24[[#This Row],[DENSITY]]*1000</f>
        <v>-1404.2553191489362</v>
      </c>
      <c r="AA177" s="72">
        <f>(1.42+753)/Table24[[#This Row],[DENSITY]]*1000</f>
        <v>1605.1489361702127</v>
      </c>
      <c r="AB177" s="77">
        <f>SUM(Table24[[#This Row],[A1toA3_GWP-biogenic]:[C1toC4_GWP-biogenic]])</f>
        <v>-8.5141914893617923</v>
      </c>
      <c r="AC177" s="77">
        <f>Table24[[#This Row],[GWP-biogenic]]*Table24[[#This Row],[DENSITY]]/1000</f>
        <v>-4.0016700000000425</v>
      </c>
      <c r="AD177" s="77">
        <f>(-754)/Table24[[#This Row],[DENSITY]]*1000</f>
        <v>-1604.2553191489362</v>
      </c>
      <c r="AE177" s="76">
        <f>(-1.67*10^-3+7.5*10^2)/Table24[[#This Row],[DENSITY]]*1000</f>
        <v>1595.7411276595744</v>
      </c>
      <c r="AF177" s="81"/>
      <c r="AG177" s="87"/>
      <c r="AH177" s="87"/>
      <c r="AI177" s="76"/>
      <c r="AJ177" s="385">
        <f ca="1">IF(OR($E177="Ecoinvent",$E177="Betonsortenrechner",$E177="KBOB",$V177&lt;=0,Table24[[#This Row],[VALID_TO]]&lt;=TODAY()),0,1)</f>
        <v>0</v>
      </c>
      <c r="AK177" s="199">
        <v>1</v>
      </c>
      <c r="AL177" s="199">
        <f ca="1">IF(AND(Table24[[#This Row],[ValidEPD]]&lt;&gt;0,Table24[[#This Row],[Man_Ausschluss]]&lt;&gt;0),1,0)</f>
        <v>0</v>
      </c>
      <c r="AM177" s="17" cm="1">
        <f t="array" aca="1" ref="AM177" ca="1">IF(Table24[[#This Row],[gültig]]&lt;&gt;0,
IF(
OR(
V177=MIN(_xlfn._xlws.FILTER($V$2:$V$298,($P$2:$P$298=P177)*($N$2:$N$298=N177)*($AL$2:$AL$298&lt;&gt;0))),
V177=MAX(_xlfn._xlws.FILTER($V$2:$V$298,($P$2:$P$298=P177)*($N$2:$N$298=N177)*($AL$2:$AL$298&lt;&gt;0))),
ROWS(_xlfn._xlws.FILTER($V$2:$V$298,($P$2:$P$298=P177)*($N$2:$N$298=N177)*($AL$2:$AL$298&lt;&gt;0)))&lt;=2
),1,0),0)</f>
        <v>0</v>
      </c>
      <c r="AN177" s="138"/>
      <c r="AO177" s="1"/>
      <c r="AP177" s="1"/>
    </row>
    <row r="178" spans="1:42" x14ac:dyDescent="0.2">
      <c r="A178" s="161" t="s">
        <v>247</v>
      </c>
      <c r="B178" s="9" t="s">
        <v>523</v>
      </c>
      <c r="C178" s="100">
        <v>177</v>
      </c>
      <c r="D178" s="1" t="s">
        <v>246</v>
      </c>
      <c r="E178" s="162" t="s">
        <v>102</v>
      </c>
      <c r="F178" s="162"/>
      <c r="G178" s="163">
        <v>44449</v>
      </c>
      <c r="H178" s="163">
        <v>46236</v>
      </c>
      <c r="I178" s="84" t="s">
        <v>240</v>
      </c>
      <c r="J178" s="164" t="s">
        <v>240</v>
      </c>
      <c r="K178" s="165" t="s">
        <v>112</v>
      </c>
      <c r="L178" s="228" t="s">
        <v>490</v>
      </c>
      <c r="M178" s="1" t="s">
        <v>313</v>
      </c>
      <c r="N178" s="167" t="s">
        <v>494</v>
      </c>
      <c r="O178" s="1" t="s">
        <v>415</v>
      </c>
      <c r="P178" s="84" t="s">
        <v>532</v>
      </c>
      <c r="Q178" s="84">
        <v>470</v>
      </c>
      <c r="R178" s="162" t="s">
        <v>415</v>
      </c>
      <c r="S178" s="162" t="s">
        <v>415</v>
      </c>
      <c r="T178" s="162" t="s">
        <v>415</v>
      </c>
      <c r="U178" s="168" t="s">
        <v>415</v>
      </c>
      <c r="V178" s="107">
        <f>SUM(Table24[[#This Row],[A1toA3_GWP]:[C1toC4_GWP]])</f>
        <v>200.89361702127644</v>
      </c>
      <c r="W178" s="107">
        <f>VLOOKUP(Table24[[#This Row],[Country PRODUCTION]],[2]Sheet1!$B$11:$F$30,4,FALSE)+Table24[[#This Row],[Total_GWP]]</f>
        <v>271.09361702127643</v>
      </c>
      <c r="X178" s="107">
        <f>VLOOKUP(Table24[[#This Row],[Country PRODUCTION]],[2]Sheet1!$B$11:$F$30,5,FALSE)+Table24[[#This Row],[Total_GWP]]</f>
        <v>208.09361702127643</v>
      </c>
      <c r="Y178" s="107">
        <f>Table24[[#This Row],[Total_GWP]]*Table24[[#This Row],[DENSITY]]/1000</f>
        <v>94.419999999999931</v>
      </c>
      <c r="Z178" s="129">
        <f>-660/Table24[[#This Row],[DENSITY]]*1000</f>
        <v>-1404.2553191489362</v>
      </c>
      <c r="AA178" s="72">
        <f>(1.42+753)/Table24[[#This Row],[DENSITY]]*1000</f>
        <v>1605.1489361702127</v>
      </c>
      <c r="AB178" s="77">
        <f>SUM(Table24[[#This Row],[A1toA3_GWP-biogenic]:[C1toC4_GWP-biogenic]])</f>
        <v>-8.5141914893617923</v>
      </c>
      <c r="AC178" s="77">
        <f>Table24[[#This Row],[GWP-biogenic]]*Table24[[#This Row],[DENSITY]]/1000</f>
        <v>-4.0016700000000425</v>
      </c>
      <c r="AD178" s="77">
        <f>(-754)/Table24[[#This Row],[DENSITY]]*1000</f>
        <v>-1604.2553191489362</v>
      </c>
      <c r="AE178" s="76">
        <f>(-1.67*10^-3+7.5*10^2)/Table24[[#This Row],[DENSITY]]*1000</f>
        <v>1595.7411276595744</v>
      </c>
      <c r="AF178" s="81"/>
      <c r="AG178" s="87"/>
      <c r="AH178" s="87"/>
      <c r="AI178" s="76"/>
      <c r="AJ178" s="385">
        <f ca="1">IF(OR($E178="Ecoinvent",$E178="Betonsortenrechner",$E178="KBOB",$V178&lt;=0,Table24[[#This Row],[VALID_TO]]&lt;=TODAY()),0,1)</f>
        <v>0</v>
      </c>
      <c r="AK178" s="199">
        <v>1</v>
      </c>
      <c r="AL178" s="199">
        <f ca="1">IF(AND(Table24[[#This Row],[ValidEPD]]&lt;&gt;0,Table24[[#This Row],[Man_Ausschluss]]&lt;&gt;0),1,0)</f>
        <v>0</v>
      </c>
      <c r="AM178" s="17" cm="1">
        <f t="array" aca="1" ref="AM178" ca="1">IF(Table24[[#This Row],[gültig]]&lt;&gt;0,
IF(
OR(
V178=MIN(_xlfn._xlws.FILTER($V$2:$V$298,($P$2:$P$298=P178)*($N$2:$N$298=N178)*($AL$2:$AL$298&lt;&gt;0))),
V178=MAX(_xlfn._xlws.FILTER($V$2:$V$298,($P$2:$P$298=P178)*($N$2:$N$298=N178)*($AL$2:$AL$298&lt;&gt;0))),
ROWS(_xlfn._xlws.FILTER($V$2:$V$298,($P$2:$P$298=P178)*($N$2:$N$298=N178)*($AL$2:$AL$298&lt;&gt;0)))&lt;=2
),1,0),0)</f>
        <v>0</v>
      </c>
      <c r="AN178" s="138"/>
      <c r="AO178" s="1"/>
      <c r="AP178" s="1"/>
    </row>
    <row r="179" spans="1:42" x14ac:dyDescent="0.2">
      <c r="A179" s="161" t="s">
        <v>250</v>
      </c>
      <c r="B179" s="9"/>
      <c r="C179" s="96">
        <v>178</v>
      </c>
      <c r="D179" s="1" t="s">
        <v>248</v>
      </c>
      <c r="E179" s="162" t="s">
        <v>249</v>
      </c>
      <c r="F179" s="162"/>
      <c r="G179" s="163">
        <v>44844</v>
      </c>
      <c r="H179" s="163">
        <v>46670</v>
      </c>
      <c r="I179" s="84" t="s">
        <v>287</v>
      </c>
      <c r="J179" s="164" t="s">
        <v>287</v>
      </c>
      <c r="K179" s="165" t="s">
        <v>112</v>
      </c>
      <c r="L179" s="228" t="s">
        <v>490</v>
      </c>
      <c r="M179" s="1" t="s">
        <v>313</v>
      </c>
      <c r="N179" s="167" t="s">
        <v>494</v>
      </c>
      <c r="O179" s="1" t="s">
        <v>415</v>
      </c>
      <c r="P179" s="84" t="s">
        <v>113</v>
      </c>
      <c r="Q179" s="84">
        <v>470</v>
      </c>
      <c r="R179" s="162" t="s">
        <v>415</v>
      </c>
      <c r="S179" s="162" t="s">
        <v>415</v>
      </c>
      <c r="T179" s="162" t="s">
        <v>415</v>
      </c>
      <c r="U179" s="168" t="s">
        <v>415</v>
      </c>
      <c r="V179" s="107">
        <f>SUM(Table24[[#This Row],[A1toA3_GWP]:[C1toC4_GWP]])</f>
        <v>418.08510638297867</v>
      </c>
      <c r="W179" s="107">
        <f>VLOOKUP(Table24[[#This Row],[Country PRODUCTION]],[2]Sheet1!$B$11:$F$30,4,FALSE)+Table24[[#This Row],[Total_GWP]]</f>
        <v>634.53510638297871</v>
      </c>
      <c r="X179" s="107">
        <f>VLOOKUP(Table24[[#This Row],[Country PRODUCTION]],[2]Sheet1!$B$11:$F$30,5,FALSE)+Table24[[#This Row],[Total_GWP]]</f>
        <v>440.28510638297865</v>
      </c>
      <c r="Y179" s="107">
        <f>Table24[[#This Row],[Total_GWP]]*Table24[[#This Row],[DENSITY]]/1000</f>
        <v>196.49999999999997</v>
      </c>
      <c r="Z179" s="129">
        <f>(-1000+28+6)/Table24[[#This Row],[DENSITY]]*1000</f>
        <v>-2055.3191489361702</v>
      </c>
      <c r="AA179" s="72">
        <f>(430+86+640+6.5)/Table24[[#This Row],[DENSITY]]*1000</f>
        <v>2473.4042553191489</v>
      </c>
      <c r="AB179" s="77">
        <f>SUM(Table24[[#This Row],[A1toA3_GWP-biogenic]:[C1toC4_GWP-biogenic]])</f>
        <v>-144.35531914893636</v>
      </c>
      <c r="AC179" s="77">
        <f>Table24[[#This Row],[GWP-biogenic]]*Table24[[#This Row],[DENSITY]]/1000</f>
        <v>-67.847000000000094</v>
      </c>
      <c r="AD179" s="77">
        <f>(-1.1*10^3+9*10^-3+2.1+2.1*10^-2)/Table24[[#This Row],[DENSITY]]*1000</f>
        <v>-2335.8936170212769</v>
      </c>
      <c r="AE179" s="76">
        <f>(4*10^2+2.3*10^-2+6.3*10^2)/Table24[[#This Row],[DENSITY]]*1000</f>
        <v>2191.5382978723405</v>
      </c>
      <c r="AF179" s="81"/>
      <c r="AG179" s="87"/>
      <c r="AH179" s="87"/>
      <c r="AI179" s="76"/>
      <c r="AJ179" s="385">
        <f ca="1">IF(OR($E179="Ecoinvent",$E179="Betonsortenrechner",$E179="KBOB",$V179&lt;=0,Table24[[#This Row],[VALID_TO]]&lt;=TODAY()),0,1)</f>
        <v>1</v>
      </c>
      <c r="AK179" s="199">
        <v>1</v>
      </c>
      <c r="AL179" s="199">
        <f ca="1">IF(AND(Table24[[#This Row],[ValidEPD]]&lt;&gt;0,Table24[[#This Row],[Man_Ausschluss]]&lt;&gt;0),1,0)</f>
        <v>1</v>
      </c>
      <c r="AM179" s="17" cm="1">
        <f t="array" aca="1" ref="AM179" ca="1">IF(Table24[[#This Row],[gültig]]&lt;&gt;0,
IF(
OR(
V179=MIN(_xlfn._xlws.FILTER($V$2:$V$298,($P$2:$P$298=P179)*($N$2:$N$298=N179)*($AL$2:$AL$298&lt;&gt;0))),
V179=MAX(_xlfn._xlws.FILTER($V$2:$V$298,($P$2:$P$298=P179)*($N$2:$N$298=N179)*($AL$2:$AL$298&lt;&gt;0))),
ROWS(_xlfn._xlws.FILTER($V$2:$V$298,($P$2:$P$298=P179)*($N$2:$N$298=N179)*($AL$2:$AL$298&lt;&gt;0)))&lt;=2
),1,0),0)</f>
        <v>0</v>
      </c>
      <c r="AN179" s="138"/>
      <c r="AO179" s="1"/>
      <c r="AP179" s="1"/>
    </row>
    <row r="180" spans="1:42" x14ac:dyDescent="0.2">
      <c r="A180" s="161" t="s">
        <v>251</v>
      </c>
      <c r="B180" s="9" t="s">
        <v>502</v>
      </c>
      <c r="C180" s="100">
        <v>179</v>
      </c>
      <c r="D180" s="1" t="s">
        <v>252</v>
      </c>
      <c r="E180" s="162" t="s">
        <v>282</v>
      </c>
      <c r="F180" s="162"/>
      <c r="G180" s="163">
        <v>43388</v>
      </c>
      <c r="H180" s="163">
        <v>45396</v>
      </c>
      <c r="I180" s="84" t="s">
        <v>264</v>
      </c>
      <c r="J180" s="164" t="s">
        <v>609</v>
      </c>
      <c r="K180" s="165" t="s">
        <v>112</v>
      </c>
      <c r="L180" s="228" t="s">
        <v>490</v>
      </c>
      <c r="M180" s="1" t="s">
        <v>313</v>
      </c>
      <c r="N180" s="167" t="s">
        <v>494</v>
      </c>
      <c r="O180" s="1" t="s">
        <v>415</v>
      </c>
      <c r="P180" s="84" t="s">
        <v>533</v>
      </c>
      <c r="Q180" s="84">
        <v>470</v>
      </c>
      <c r="R180" s="162" t="s">
        <v>415</v>
      </c>
      <c r="S180" s="162" t="s">
        <v>415</v>
      </c>
      <c r="T180" s="162" t="s">
        <v>415</v>
      </c>
      <c r="U180" s="168" t="s">
        <v>415</v>
      </c>
      <c r="V180" s="107">
        <f>SUM(Table24[[#This Row],[A1toA3_GWP]:[C1toC4_GWP]])</f>
        <v>349.0042553191488</v>
      </c>
      <c r="W180" s="107">
        <f>VLOOKUP("AT",[2]Sheet1!$B$11:$F$30,4,FALSE)+Table24[[#This Row],[Total_GWP]]</f>
        <v>419.20425531914879</v>
      </c>
      <c r="X180" s="107">
        <f>VLOOKUP("AT",[2]Sheet1!$B$11:$F$30,5,FALSE)+Table24[[#This Row],[Total_GWP]]</f>
        <v>356.20425531914879</v>
      </c>
      <c r="Y180" s="107">
        <f>Table24[[#This Row],[Total_GWP]]*Table24[[#This Row],[DENSITY]]/1000</f>
        <v>164.03199999999995</v>
      </c>
      <c r="Z180" s="129">
        <f>(-699+7.56+97)/Table24[[#This Row],[DENSITY]]*1000</f>
        <v>-1264.7659574468087</v>
      </c>
      <c r="AA180" s="72">
        <f>(0.472+758)/Table24[[#This Row],[DENSITY]]*1000</f>
        <v>1613.7702127659575</v>
      </c>
      <c r="AB180" s="77">
        <f>SUM(Table24[[#This Row],[A1toA3_GWP-biogenic]:[C1toC4_GWP-biogenic]])</f>
        <v>0</v>
      </c>
      <c r="AC180" s="77">
        <f>Table24[[#This Row],[GWP-biogenic]]*Table24[[#This Row],[DENSITY]]/1000</f>
        <v>0</v>
      </c>
      <c r="AD180" s="73" t="s">
        <v>415</v>
      </c>
      <c r="AE180" s="75" t="s">
        <v>415</v>
      </c>
      <c r="AF180" s="107"/>
      <c r="AG180" s="129"/>
      <c r="AH180" s="129"/>
      <c r="AI180" s="75"/>
      <c r="AJ180" s="385">
        <f ca="1">IF(OR($E180="Ecoinvent",$E180="Betonsortenrechner",$E180="KBOB",$V180&lt;=0,Table24[[#This Row],[VALID_TO]]&lt;=TODAY()),0,1)</f>
        <v>0</v>
      </c>
      <c r="AK180" s="199">
        <v>1</v>
      </c>
      <c r="AL180" s="199">
        <f ca="1">IF(AND(Table24[[#This Row],[ValidEPD]]&lt;&gt;0,Table24[[#This Row],[Man_Ausschluss]]&lt;&gt;0),1,0)</f>
        <v>0</v>
      </c>
      <c r="AM180" s="17" cm="1">
        <f t="array" aca="1" ref="AM180" ca="1">IF(Table24[[#This Row],[gültig]]&lt;&gt;0,
IF(
OR(
V180=MIN(_xlfn._xlws.FILTER($V$2:$V$298,($P$2:$P$298=P180)*($N$2:$N$298=N180)*($AL$2:$AL$298&lt;&gt;0))),
V180=MAX(_xlfn._xlws.FILTER($V$2:$V$298,($P$2:$P$298=P180)*($N$2:$N$298=N180)*($AL$2:$AL$298&lt;&gt;0))),
ROWS(_xlfn._xlws.FILTER($V$2:$V$298,($P$2:$P$298=P180)*($N$2:$N$298=N180)*($AL$2:$AL$298&lt;&gt;0)))&lt;=2
),1,0),0)</f>
        <v>0</v>
      </c>
      <c r="AN180" s="138"/>
      <c r="AO180" s="1"/>
      <c r="AP180" s="1"/>
    </row>
    <row r="181" spans="1:42" x14ac:dyDescent="0.2">
      <c r="A181" s="161" t="s">
        <v>251</v>
      </c>
      <c r="B181" s="9" t="s">
        <v>518</v>
      </c>
      <c r="C181" s="96">
        <v>180</v>
      </c>
      <c r="D181" s="1" t="s">
        <v>252</v>
      </c>
      <c r="E181" s="162" t="s">
        <v>282</v>
      </c>
      <c r="F181" s="162"/>
      <c r="G181" s="163">
        <v>43388</v>
      </c>
      <c r="H181" s="163">
        <v>45396</v>
      </c>
      <c r="I181" s="84" t="s">
        <v>264</v>
      </c>
      <c r="J181" s="164" t="s">
        <v>609</v>
      </c>
      <c r="K181" s="165" t="s">
        <v>112</v>
      </c>
      <c r="L181" s="228" t="s">
        <v>490</v>
      </c>
      <c r="M181" s="1" t="s">
        <v>313</v>
      </c>
      <c r="N181" s="167" t="s">
        <v>494</v>
      </c>
      <c r="O181" s="1" t="s">
        <v>415</v>
      </c>
      <c r="P181" s="84" t="s">
        <v>113</v>
      </c>
      <c r="Q181" s="84">
        <v>470</v>
      </c>
      <c r="R181" s="162" t="s">
        <v>415</v>
      </c>
      <c r="S181" s="162" t="s">
        <v>415</v>
      </c>
      <c r="T181" s="162" t="s">
        <v>415</v>
      </c>
      <c r="U181" s="168" t="s">
        <v>415</v>
      </c>
      <c r="V181" s="107">
        <f>SUM(Table24[[#This Row],[A1toA3_GWP]:[C1toC4_GWP]])</f>
        <v>349.0042553191488</v>
      </c>
      <c r="W181" s="107">
        <f>VLOOKUP("AT",[2]Sheet1!$B$11:$F$30,4,FALSE)+Table24[[#This Row],[Total_GWP]]</f>
        <v>419.20425531914879</v>
      </c>
      <c r="X181" s="107">
        <f>VLOOKUP("AT",[2]Sheet1!$B$11:$F$30,5,FALSE)+Table24[[#This Row],[Total_GWP]]</f>
        <v>356.20425531914879</v>
      </c>
      <c r="Y181" s="107">
        <f>Table24[[#This Row],[Total_GWP]]*Table24[[#This Row],[DENSITY]]/1000</f>
        <v>164.03199999999995</v>
      </c>
      <c r="Z181" s="129">
        <f>(-699+7.56+97)/Table24[[#This Row],[DENSITY]]*1000</f>
        <v>-1264.7659574468087</v>
      </c>
      <c r="AA181" s="72">
        <f>(0.472+758)/Table24[[#This Row],[DENSITY]]*1000</f>
        <v>1613.7702127659575</v>
      </c>
      <c r="AB181" s="77">
        <f>SUM(Table24[[#This Row],[A1toA3_GWP-biogenic]:[C1toC4_GWP-biogenic]])</f>
        <v>0</v>
      </c>
      <c r="AC181" s="77">
        <f>Table24[[#This Row],[GWP-biogenic]]*Table24[[#This Row],[DENSITY]]/1000</f>
        <v>0</v>
      </c>
      <c r="AD181" s="73" t="s">
        <v>415</v>
      </c>
      <c r="AE181" s="75" t="s">
        <v>415</v>
      </c>
      <c r="AF181" s="107"/>
      <c r="AG181" s="129"/>
      <c r="AH181" s="129"/>
      <c r="AI181" s="75"/>
      <c r="AJ181" s="385">
        <f ca="1">IF(OR($E181="Ecoinvent",$E181="Betonsortenrechner",$E181="KBOB",$V181&lt;=0,Table24[[#This Row],[VALID_TO]]&lt;=TODAY()),0,1)</f>
        <v>0</v>
      </c>
      <c r="AK181" s="199">
        <v>1</v>
      </c>
      <c r="AL181" s="199">
        <f ca="1">IF(AND(Table24[[#This Row],[ValidEPD]]&lt;&gt;0,Table24[[#This Row],[Man_Ausschluss]]&lt;&gt;0),1,0)</f>
        <v>0</v>
      </c>
      <c r="AM181" s="17" cm="1">
        <f t="array" aca="1" ref="AM181" ca="1">IF(Table24[[#This Row],[gültig]]&lt;&gt;0,
IF(
OR(
V181=MIN(_xlfn._xlws.FILTER($V$2:$V$298,($P$2:$P$298=P181)*($N$2:$N$298=N181)*($AL$2:$AL$298&lt;&gt;0))),
V181=MAX(_xlfn._xlws.FILTER($V$2:$V$298,($P$2:$P$298=P181)*($N$2:$N$298=N181)*($AL$2:$AL$298&lt;&gt;0))),
ROWS(_xlfn._xlws.FILTER($V$2:$V$298,($P$2:$P$298=P181)*($N$2:$N$298=N181)*($AL$2:$AL$298&lt;&gt;0)))&lt;=2
),1,0),0)</f>
        <v>0</v>
      </c>
      <c r="AN181" s="138"/>
      <c r="AO181" s="1"/>
      <c r="AP181" s="1"/>
    </row>
    <row r="182" spans="1:42" x14ac:dyDescent="0.2">
      <c r="A182" s="161" t="s">
        <v>251</v>
      </c>
      <c r="B182" s="9" t="s">
        <v>519</v>
      </c>
      <c r="C182" s="100">
        <v>181</v>
      </c>
      <c r="D182" s="1" t="s">
        <v>252</v>
      </c>
      <c r="E182" s="162" t="s">
        <v>282</v>
      </c>
      <c r="F182" s="162"/>
      <c r="G182" s="163">
        <v>43388</v>
      </c>
      <c r="H182" s="163">
        <v>45396</v>
      </c>
      <c r="I182" s="84" t="s">
        <v>264</v>
      </c>
      <c r="J182" s="164" t="s">
        <v>609</v>
      </c>
      <c r="K182" s="165" t="s">
        <v>112</v>
      </c>
      <c r="L182" s="228" t="s">
        <v>490</v>
      </c>
      <c r="M182" s="1" t="s">
        <v>313</v>
      </c>
      <c r="N182" s="167" t="s">
        <v>494</v>
      </c>
      <c r="O182" s="1" t="s">
        <v>415</v>
      </c>
      <c r="P182" s="84" t="s">
        <v>534</v>
      </c>
      <c r="Q182" s="84">
        <v>470</v>
      </c>
      <c r="R182" s="162" t="s">
        <v>415</v>
      </c>
      <c r="S182" s="162" t="s">
        <v>415</v>
      </c>
      <c r="T182" s="162" t="s">
        <v>415</v>
      </c>
      <c r="U182" s="168" t="s">
        <v>415</v>
      </c>
      <c r="V182" s="107">
        <f>SUM(Table24[[#This Row],[A1toA3_GWP]:[C1toC4_GWP]])</f>
        <v>349.0042553191488</v>
      </c>
      <c r="W182" s="107">
        <f>VLOOKUP("AT",[2]Sheet1!$B$11:$F$30,4,FALSE)+Table24[[#This Row],[Total_GWP]]</f>
        <v>419.20425531914879</v>
      </c>
      <c r="X182" s="107">
        <f>VLOOKUP("AT",[2]Sheet1!$B$11:$F$30,5,FALSE)+Table24[[#This Row],[Total_GWP]]</f>
        <v>356.20425531914879</v>
      </c>
      <c r="Y182" s="107">
        <f>Table24[[#This Row],[Total_GWP]]*Table24[[#This Row],[DENSITY]]/1000</f>
        <v>164.03199999999995</v>
      </c>
      <c r="Z182" s="129">
        <f>(-699+7.56+97)/Table24[[#This Row],[DENSITY]]*1000</f>
        <v>-1264.7659574468087</v>
      </c>
      <c r="AA182" s="72">
        <f>(0.472+758)/Table24[[#This Row],[DENSITY]]*1000</f>
        <v>1613.7702127659575</v>
      </c>
      <c r="AB182" s="77">
        <f>SUM(Table24[[#This Row],[A1toA3_GWP-biogenic]:[C1toC4_GWP-biogenic]])</f>
        <v>0</v>
      </c>
      <c r="AC182" s="77">
        <f>Table24[[#This Row],[GWP-biogenic]]*Table24[[#This Row],[DENSITY]]/1000</f>
        <v>0</v>
      </c>
      <c r="AD182" s="73" t="s">
        <v>415</v>
      </c>
      <c r="AE182" s="75" t="s">
        <v>415</v>
      </c>
      <c r="AF182" s="107"/>
      <c r="AG182" s="129"/>
      <c r="AH182" s="129"/>
      <c r="AI182" s="75"/>
      <c r="AJ182" s="385">
        <f ca="1">IF(OR($E182="Ecoinvent",$E182="Betonsortenrechner",$E182="KBOB",$V182&lt;=0,Table24[[#This Row],[VALID_TO]]&lt;=TODAY()),0,1)</f>
        <v>0</v>
      </c>
      <c r="AK182" s="199">
        <v>1</v>
      </c>
      <c r="AL182" s="199">
        <f ca="1">IF(AND(Table24[[#This Row],[ValidEPD]]&lt;&gt;0,Table24[[#This Row],[Man_Ausschluss]]&lt;&gt;0),1,0)</f>
        <v>0</v>
      </c>
      <c r="AM182" s="17" cm="1">
        <f t="array" aca="1" ref="AM182" ca="1">IF(Table24[[#This Row],[gültig]]&lt;&gt;0,
IF(
OR(
V182=MIN(_xlfn._xlws.FILTER($V$2:$V$298,($P$2:$P$298=P182)*($N$2:$N$298=N182)*($AL$2:$AL$298&lt;&gt;0))),
V182=MAX(_xlfn._xlws.FILTER($V$2:$V$298,($P$2:$P$298=P182)*($N$2:$N$298=N182)*($AL$2:$AL$298&lt;&gt;0))),
ROWS(_xlfn._xlws.FILTER($V$2:$V$298,($P$2:$P$298=P182)*($N$2:$N$298=N182)*($AL$2:$AL$298&lt;&gt;0)))&lt;=2
),1,0),0)</f>
        <v>0</v>
      </c>
      <c r="AN182" s="138"/>
      <c r="AO182" s="1"/>
      <c r="AP182" s="1"/>
    </row>
    <row r="183" spans="1:42" x14ac:dyDescent="0.2">
      <c r="A183" s="161" t="s">
        <v>255</v>
      </c>
      <c r="B183" s="9"/>
      <c r="C183" s="96">
        <v>182</v>
      </c>
      <c r="D183" s="9" t="s">
        <v>253</v>
      </c>
      <c r="E183" s="162" t="s">
        <v>254</v>
      </c>
      <c r="F183" s="162"/>
      <c r="G183" s="163">
        <v>43914</v>
      </c>
      <c r="H183" s="163">
        <v>45740</v>
      </c>
      <c r="I183" s="84" t="s">
        <v>293</v>
      </c>
      <c r="J183" s="164" t="s">
        <v>293</v>
      </c>
      <c r="K183" s="165" t="s">
        <v>112</v>
      </c>
      <c r="L183" s="228" t="s">
        <v>490</v>
      </c>
      <c r="M183" s="1" t="s">
        <v>313</v>
      </c>
      <c r="N183" s="167" t="s">
        <v>494</v>
      </c>
      <c r="O183" s="1" t="s">
        <v>415</v>
      </c>
      <c r="P183" s="84" t="s">
        <v>113</v>
      </c>
      <c r="Q183" s="84">
        <v>424</v>
      </c>
      <c r="R183" s="162" t="s">
        <v>415</v>
      </c>
      <c r="S183" s="162" t="s">
        <v>415</v>
      </c>
      <c r="T183" s="162" t="s">
        <v>415</v>
      </c>
      <c r="U183" s="168" t="s">
        <v>415</v>
      </c>
      <c r="V183" s="107">
        <f>SUM(Table24[[#This Row],[A1toA3_GWP]:[C1toC4_GWP]])</f>
        <v>244.19174528301892</v>
      </c>
      <c r="W183" s="107">
        <f>VLOOKUP(Table24[[#This Row],[Country PRODUCTION]],[2]Sheet1!$B$11:$F$30,4,FALSE)+Table24[[#This Row],[Total_GWP]]</f>
        <v>478.19174528301892</v>
      </c>
      <c r="X183" s="107">
        <f>VLOOKUP(Table24[[#This Row],[Country PRODUCTION]],[2]Sheet1!$B$11:$F$30,5,FALSE)+Table24[[#This Row],[Total_GWP]]</f>
        <v>268.19174528301892</v>
      </c>
      <c r="Y183" s="107">
        <f>Table24[[#This Row],[Total_GWP]]*Table24[[#This Row],[DENSITY]]/1000</f>
        <v>103.53730000000002</v>
      </c>
      <c r="Z183" s="129">
        <f>(-597)/Table24[[#This Row],[DENSITY]]*1000</f>
        <v>-1408.0188679245282</v>
      </c>
      <c r="AA183" s="72">
        <f>(3.52+697+0.0173)/Table24[[#This Row],[DENSITY]]*1000</f>
        <v>1652.2106132075471</v>
      </c>
      <c r="AB183" s="77">
        <f>SUM(Table24[[#This Row],[A1toA3_GWP-biogenic]:[C1toC4_GWP-biogenic]])</f>
        <v>2.3584905660377444</v>
      </c>
      <c r="AC183" s="77">
        <f>Table24[[#This Row],[GWP-biogenic]]*Table24[[#This Row],[DENSITY]]/1000</f>
        <v>1.0000000000000036</v>
      </c>
      <c r="AD183" s="77">
        <f>(-6.87*10^2)/Table24[[#This Row],[DENSITY]]*1000</f>
        <v>-1620.2830188679245</v>
      </c>
      <c r="AE183" s="76">
        <f>(6.88*10^2)/Table24[[#This Row],[DENSITY]]*1000</f>
        <v>1622.6415094339623</v>
      </c>
      <c r="AF183" s="81"/>
      <c r="AG183" s="87"/>
      <c r="AH183" s="87"/>
      <c r="AI183" s="76"/>
      <c r="AJ183" s="385">
        <f ca="1">IF(OR($E183="Ecoinvent",$E183="Betonsortenrechner",$E183="KBOB",$V183&lt;=0,Table24[[#This Row],[VALID_TO]]&lt;=TODAY()),0,1)</f>
        <v>0</v>
      </c>
      <c r="AK183" s="199">
        <v>1</v>
      </c>
      <c r="AL183" s="199">
        <f ca="1">IF(AND(Table24[[#This Row],[ValidEPD]]&lt;&gt;0,Table24[[#This Row],[Man_Ausschluss]]&lt;&gt;0),1,0)</f>
        <v>0</v>
      </c>
      <c r="AM183" s="17" cm="1">
        <f t="array" aca="1" ref="AM183" ca="1">IF(Table24[[#This Row],[gültig]]&lt;&gt;0,
IF(
OR(
V183=MIN(_xlfn._xlws.FILTER($V$2:$V$298,($P$2:$P$298=P183)*($N$2:$N$298=N183)*($AL$2:$AL$298&lt;&gt;0))),
V183=MAX(_xlfn._xlws.FILTER($V$2:$V$298,($P$2:$P$298=P183)*($N$2:$N$298=N183)*($AL$2:$AL$298&lt;&gt;0))),
ROWS(_xlfn._xlws.FILTER($V$2:$V$298,($P$2:$P$298=P183)*($N$2:$N$298=N183)*($AL$2:$AL$298&lt;&gt;0)))&lt;=2
),1,0),0)</f>
        <v>0</v>
      </c>
      <c r="AN183" s="138"/>
      <c r="AO183" s="1"/>
      <c r="AP183" s="1"/>
    </row>
    <row r="184" spans="1:42" x14ac:dyDescent="0.2">
      <c r="A184" s="161" t="s">
        <v>256</v>
      </c>
      <c r="B184" s="9"/>
      <c r="C184" s="100">
        <v>183</v>
      </c>
      <c r="D184" s="9" t="s">
        <v>258</v>
      </c>
      <c r="E184" s="162" t="s">
        <v>257</v>
      </c>
      <c r="F184" s="162"/>
      <c r="G184" s="163">
        <v>43451</v>
      </c>
      <c r="H184" s="163">
        <v>45271</v>
      </c>
      <c r="I184" s="84" t="s">
        <v>292</v>
      </c>
      <c r="J184" s="164" t="s">
        <v>292</v>
      </c>
      <c r="K184" s="165" t="s">
        <v>112</v>
      </c>
      <c r="L184" s="228" t="s">
        <v>490</v>
      </c>
      <c r="M184" s="1" t="s">
        <v>313</v>
      </c>
      <c r="N184" s="167" t="s">
        <v>494</v>
      </c>
      <c r="O184" s="1" t="s">
        <v>415</v>
      </c>
      <c r="P184" s="84" t="s">
        <v>113</v>
      </c>
      <c r="Q184" s="84">
        <v>400</v>
      </c>
      <c r="R184" s="162" t="s">
        <v>415</v>
      </c>
      <c r="S184" s="162" t="s">
        <v>415</v>
      </c>
      <c r="T184" s="162" t="s">
        <v>415</v>
      </c>
      <c r="U184" s="168" t="s">
        <v>415</v>
      </c>
      <c r="V184" s="107">
        <f>SUM(Table24[[#This Row],[A1toA3_GWP]:[C1toC4_GWP]])</f>
        <v>400</v>
      </c>
      <c r="W184" s="107">
        <f>VLOOKUP(Table24[[#This Row],[Country PRODUCTION]],[2]Sheet1!$B$11:$F$30,4,FALSE)+Table24[[#This Row],[Total_GWP]]</f>
        <v>493.6</v>
      </c>
      <c r="X184" s="107">
        <f>VLOOKUP(Table24[[#This Row],[Country PRODUCTION]],[2]Sheet1!$B$11:$F$30,5,FALSE)+Table24[[#This Row],[Total_GWP]]</f>
        <v>409.6</v>
      </c>
      <c r="Y184" s="107">
        <f>Table24[[#This Row],[Total_GWP]]*Table24[[#This Row],[DENSITY]]/1000</f>
        <v>160</v>
      </c>
      <c r="Z184" s="129">
        <f>(160)/Table24[[#This Row],[DENSITY]]*1000</f>
        <v>400</v>
      </c>
      <c r="AA184" s="72" t="s">
        <v>415</v>
      </c>
      <c r="AB184" s="77">
        <f>SUM(Table24[[#This Row],[A1toA3_GWP-biogenic]:[C1toC4_GWP-biogenic]])</f>
        <v>-1300</v>
      </c>
      <c r="AC184" s="77">
        <f>Table24[[#This Row],[GWP-biogenic]]*Table24[[#This Row],[DENSITY]]/1000</f>
        <v>-520</v>
      </c>
      <c r="AD184" s="77">
        <f>(-5.2*10^2)/Table24[[#This Row],[DENSITY]]*1000</f>
        <v>-1300</v>
      </c>
      <c r="AE184" s="75" t="s">
        <v>415</v>
      </c>
      <c r="AF184" s="107"/>
      <c r="AG184" s="129"/>
      <c r="AH184" s="129"/>
      <c r="AI184" s="75"/>
      <c r="AJ184" s="385">
        <f ca="1">IF(OR($E184="Ecoinvent",$E184="Betonsortenrechner",$E184="KBOB",$V184&lt;=0,Table24[[#This Row],[VALID_TO]]&lt;=TODAY()),0,1)</f>
        <v>0</v>
      </c>
      <c r="AK184" s="199">
        <v>1</v>
      </c>
      <c r="AL184" s="199">
        <f ca="1">IF(AND(Table24[[#This Row],[ValidEPD]]&lt;&gt;0,Table24[[#This Row],[Man_Ausschluss]]&lt;&gt;0),1,0)</f>
        <v>0</v>
      </c>
      <c r="AM184" s="17" cm="1">
        <f t="array" aca="1" ref="AM184" ca="1">IF(Table24[[#This Row],[gültig]]&lt;&gt;0,
IF(
OR(
V184=MIN(_xlfn._xlws.FILTER($V$2:$V$298,($P$2:$P$298=P184)*($N$2:$N$298=N184)*($AL$2:$AL$298&lt;&gt;0))),
V184=MAX(_xlfn._xlws.FILTER($V$2:$V$298,($P$2:$P$298=P184)*($N$2:$N$298=N184)*($AL$2:$AL$298&lt;&gt;0))),
ROWS(_xlfn._xlws.FILTER($V$2:$V$298,($P$2:$P$298=P184)*($N$2:$N$298=N184)*($AL$2:$AL$298&lt;&gt;0)))&lt;=2
),1,0),0)</f>
        <v>0</v>
      </c>
      <c r="AN184" s="138"/>
      <c r="AO184" s="1"/>
      <c r="AP184" s="1"/>
    </row>
    <row r="185" spans="1:42" x14ac:dyDescent="0.2">
      <c r="A185" s="161" t="s">
        <v>261</v>
      </c>
      <c r="B185" s="9"/>
      <c r="C185" s="96">
        <v>184</v>
      </c>
      <c r="D185" s="9" t="s">
        <v>263</v>
      </c>
      <c r="E185" s="162" t="s">
        <v>262</v>
      </c>
      <c r="F185" s="162"/>
      <c r="G185" s="163">
        <v>44628</v>
      </c>
      <c r="H185" s="163">
        <v>46454</v>
      </c>
      <c r="I185" s="84" t="s">
        <v>264</v>
      </c>
      <c r="J185" s="164" t="s">
        <v>264</v>
      </c>
      <c r="K185" s="165" t="s">
        <v>112</v>
      </c>
      <c r="L185" s="228" t="s">
        <v>490</v>
      </c>
      <c r="M185" s="1" t="s">
        <v>313</v>
      </c>
      <c r="N185" s="167" t="s">
        <v>494</v>
      </c>
      <c r="O185" s="1" t="s">
        <v>415</v>
      </c>
      <c r="P185" s="84" t="s">
        <v>113</v>
      </c>
      <c r="Q185" s="84">
        <v>470</v>
      </c>
      <c r="R185" s="162" t="s">
        <v>415</v>
      </c>
      <c r="S185" s="162" t="s">
        <v>415</v>
      </c>
      <c r="T185" s="162" t="s">
        <v>415</v>
      </c>
      <c r="U185" s="168" t="s">
        <v>415</v>
      </c>
      <c r="V185" s="107">
        <f>SUM(Table24[[#This Row],[A1toA3_GWP]:[C1toC4_GWP]])</f>
        <v>207.063829787234</v>
      </c>
      <c r="W185" s="107">
        <f>VLOOKUP(Table24[[#This Row],[Country PRODUCTION]],[2]Sheet1!$B$11:$F$30,4,FALSE)+Table24[[#This Row],[Total_GWP]]</f>
        <v>283.11382978723401</v>
      </c>
      <c r="X185" s="107">
        <f>VLOOKUP(Table24[[#This Row],[Country PRODUCTION]],[2]Sheet1!$B$11:$F$30,5,FALSE)+Table24[[#This Row],[Total_GWP]]</f>
        <v>214.86382978723401</v>
      </c>
      <c r="Y185" s="107">
        <f>Table24[[#This Row],[Total_GWP]]*Table24[[#This Row],[DENSITY]]/1000</f>
        <v>97.319999999999979</v>
      </c>
      <c r="Z185" s="129">
        <f>(-690)/Table24[[#This Row],[DENSITY]]*1000</f>
        <v>-1468.0851063829787</v>
      </c>
      <c r="AA185" s="72">
        <f>(1.32+786)/Table24[[#This Row],[DENSITY]]*1000</f>
        <v>1675.1489361702127</v>
      </c>
      <c r="AB185" s="77">
        <f>SUM(Table24[[#This Row],[A1toA3_GWP-biogenic]:[C1toC4_GWP-biogenic]])</f>
        <v>0</v>
      </c>
      <c r="AC185" s="77">
        <f>Table24[[#This Row],[GWP-biogenic]]*Table24[[#This Row],[DENSITY]]/1000</f>
        <v>0</v>
      </c>
      <c r="AD185" s="73" t="s">
        <v>415</v>
      </c>
      <c r="AE185" s="75" t="s">
        <v>415</v>
      </c>
      <c r="AF185" s="107"/>
      <c r="AG185" s="129"/>
      <c r="AH185" s="129"/>
      <c r="AI185" s="75"/>
      <c r="AJ185" s="385">
        <f ca="1">IF(OR($E185="Ecoinvent",$E185="Betonsortenrechner",$E185="KBOB",$V185&lt;=0,Table24[[#This Row],[VALID_TO]]&lt;=TODAY()),0,1)</f>
        <v>1</v>
      </c>
      <c r="AK185" s="199">
        <v>1</v>
      </c>
      <c r="AL185" s="199">
        <f ca="1">IF(AND(Table24[[#This Row],[ValidEPD]]&lt;&gt;0,Table24[[#This Row],[Man_Ausschluss]]&lt;&gt;0),1,0)</f>
        <v>1</v>
      </c>
      <c r="AM185" s="17" cm="1">
        <f t="array" aca="1" ref="AM185" ca="1">IF(Table24[[#This Row],[gültig]]&lt;&gt;0,
IF(
OR(
V185=MIN(_xlfn._xlws.FILTER($V$2:$V$298,($P$2:$P$298=P185)*($N$2:$N$298=N185)*($AL$2:$AL$298&lt;&gt;0))),
V185=MAX(_xlfn._xlws.FILTER($V$2:$V$298,($P$2:$P$298=P185)*($N$2:$N$298=N185)*($AL$2:$AL$298&lt;&gt;0))),
ROWS(_xlfn._xlws.FILTER($V$2:$V$298,($P$2:$P$298=P185)*($N$2:$N$298=N185)*($AL$2:$AL$298&lt;&gt;0)))&lt;=2
),1,0),0)</f>
        <v>0</v>
      </c>
      <c r="AN185" s="138"/>
      <c r="AO185" s="1"/>
      <c r="AP185" s="1"/>
    </row>
    <row r="186" spans="1:42" x14ac:dyDescent="0.2">
      <c r="A186" s="161" t="s">
        <v>266</v>
      </c>
      <c r="B186" s="9"/>
      <c r="C186" s="100">
        <v>185</v>
      </c>
      <c r="D186" s="9" t="s">
        <v>265</v>
      </c>
      <c r="E186" s="162" t="s">
        <v>234</v>
      </c>
      <c r="F186" s="162"/>
      <c r="G186" s="163">
        <v>45454</v>
      </c>
      <c r="H186" s="163">
        <v>47280</v>
      </c>
      <c r="I186" s="84" t="s">
        <v>238</v>
      </c>
      <c r="J186" s="164" t="s">
        <v>238</v>
      </c>
      <c r="K186" s="165" t="s">
        <v>98</v>
      </c>
      <c r="L186" s="228" t="s">
        <v>326</v>
      </c>
      <c r="M186" s="1" t="s">
        <v>313</v>
      </c>
      <c r="N186" s="167" t="s">
        <v>319</v>
      </c>
      <c r="O186" s="1" t="s">
        <v>415</v>
      </c>
      <c r="P186" s="84" t="s">
        <v>1</v>
      </c>
      <c r="Q186" s="84">
        <v>463</v>
      </c>
      <c r="R186" s="162" t="s">
        <v>415</v>
      </c>
      <c r="S186" s="162" t="s">
        <v>415</v>
      </c>
      <c r="T186" s="162" t="s">
        <v>415</v>
      </c>
      <c r="U186" s="168" t="s">
        <v>415</v>
      </c>
      <c r="V186" s="107">
        <f>SUM(Table24[[#This Row],[A1toA3_GWP]:[C1toC4_GWP]])</f>
        <v>116.63714902807783</v>
      </c>
      <c r="W186" s="107">
        <f>VLOOKUP(Table24[[#This Row],[Country PRODUCTION]],[2]Sheet1!$B$11:$F$30,4,FALSE)+Table24[[#This Row],[Total_GWP]]</f>
        <v>385.73714902807785</v>
      </c>
      <c r="X186" s="107">
        <f>VLOOKUP(Table24[[#This Row],[Country PRODUCTION]],[2]Sheet1!$B$11:$F$30,5,FALSE)+Table24[[#This Row],[Total_GWP]]</f>
        <v>144.23714902807782</v>
      </c>
      <c r="Y186" s="107">
        <f>Table24[[#This Row],[Total_GWP]]*Table24[[#This Row],[DENSITY]]/1000</f>
        <v>54.003000000000036</v>
      </c>
      <c r="Z186" s="129">
        <f>(-700)/Table24[[#This Row],[DENSITY]]*1000</f>
        <v>-1511.8790496760259</v>
      </c>
      <c r="AA186" s="72">
        <f>(0.153+1.85+752)/Table24[[#This Row],[DENSITY]]*1000</f>
        <v>1628.5161987041038</v>
      </c>
      <c r="AB186" s="77">
        <f>SUM(Table24[[#This Row],[A1toA3_GWP-biogenic]:[C1toC4_GWP-biogenic]])</f>
        <v>5.332613390919505E-2</v>
      </c>
      <c r="AC186" s="77">
        <f>Table24[[#This Row],[GWP-biogenic]]*Table24[[#This Row],[DENSITY]]/1000</f>
        <v>2.4689999999957309E-2</v>
      </c>
      <c r="AD186" s="73">
        <f>(-751)/Table24[[#This Row],[DENSITY]]*1000</f>
        <v>-1622.0302375809936</v>
      </c>
      <c r="AE186" s="75">
        <f>(1.89*10^-3+2.28*10^-2+751)/Table24[[#This Row],[DENSITY]]*1000</f>
        <v>1622.0835637149028</v>
      </c>
      <c r="AF186" s="107"/>
      <c r="AG186" s="129"/>
      <c r="AH186" s="129"/>
      <c r="AI186" s="75"/>
      <c r="AJ186" s="385">
        <f ca="1">IF(OR($E186="Ecoinvent",$E186="Betonsortenrechner",$E186="KBOB",$V186&lt;=0,Table24[[#This Row],[VALID_TO]]&lt;=TODAY()),0,1)</f>
        <v>1</v>
      </c>
      <c r="AK186" s="199">
        <v>1</v>
      </c>
      <c r="AL186" s="199">
        <f ca="1">IF(AND(Table24[[#This Row],[ValidEPD]]&lt;&gt;0,Table24[[#This Row],[Man_Ausschluss]]&lt;&gt;0),1,0)</f>
        <v>1</v>
      </c>
      <c r="AM186" s="17" cm="1">
        <f t="array" aca="1" ref="AM186" ca="1">IF(Table24[[#This Row],[gültig]]&lt;&gt;0,
IF(
OR(
V186=MIN(_xlfn._xlws.FILTER($V$2:$V$298,($P$2:$P$298=P186)*($N$2:$N$298=N186)*($AL$2:$AL$298&lt;&gt;0))),
V186=MAX(_xlfn._xlws.FILTER($V$2:$V$298,($P$2:$P$298=P186)*($N$2:$N$298=N186)*($AL$2:$AL$298&lt;&gt;0))),
ROWS(_xlfn._xlws.FILTER($V$2:$V$298,($P$2:$P$298=P186)*($N$2:$N$298=N186)*($AL$2:$AL$298&lt;&gt;0)))&lt;=2
),1,0),0)</f>
        <v>1</v>
      </c>
      <c r="AN186" s="138"/>
      <c r="AO186" s="1" t="s">
        <v>422</v>
      </c>
      <c r="AP186" s="1"/>
    </row>
    <row r="187" spans="1:42" x14ac:dyDescent="0.2">
      <c r="A187" s="161" t="s">
        <v>268</v>
      </c>
      <c r="B187" s="9"/>
      <c r="C187" s="96">
        <v>186</v>
      </c>
      <c r="D187" s="9" t="s">
        <v>267</v>
      </c>
      <c r="E187" s="162" t="s">
        <v>234</v>
      </c>
      <c r="F187" s="162"/>
      <c r="G187" s="163">
        <v>43399</v>
      </c>
      <c r="H187" s="163">
        <v>45225</v>
      </c>
      <c r="I187" s="84" t="s">
        <v>238</v>
      </c>
      <c r="J187" s="164" t="s">
        <v>238</v>
      </c>
      <c r="K187" s="165" t="s">
        <v>98</v>
      </c>
      <c r="L187" s="228" t="s">
        <v>326</v>
      </c>
      <c r="M187" s="1" t="s">
        <v>313</v>
      </c>
      <c r="N187" s="167" t="s">
        <v>319</v>
      </c>
      <c r="O187" s="1" t="s">
        <v>415</v>
      </c>
      <c r="P187" s="84" t="s">
        <v>1</v>
      </c>
      <c r="Q187" s="84">
        <v>430</v>
      </c>
      <c r="R187" s="162" t="s">
        <v>415</v>
      </c>
      <c r="S187" s="162" t="s">
        <v>415</v>
      </c>
      <c r="T187" s="162" t="s">
        <v>415</v>
      </c>
      <c r="U187" s="168" t="s">
        <v>415</v>
      </c>
      <c r="V187" s="107">
        <f>SUM(Table24[[#This Row],[A1toA3_GWP]:[C1toC4_GWP]])</f>
        <v>-1534.8837209302326</v>
      </c>
      <c r="W187" s="107"/>
      <c r="X187" s="107"/>
      <c r="Y187" s="107">
        <f>Table24[[#This Row],[Total_GWP]]*Table24[[#This Row],[DENSITY]]/1000</f>
        <v>-660</v>
      </c>
      <c r="Z187" s="129">
        <f>(-660)/Table24[[#This Row],[DENSITY]]*1000</f>
        <v>-1534.8837209302326</v>
      </c>
      <c r="AA187" s="72" t="s">
        <v>415</v>
      </c>
      <c r="AB187" s="77">
        <f>SUM(Table24[[#This Row],[A1toA3_GWP-biogenic]:[C1toC4_GWP-biogenic]])</f>
        <v>0</v>
      </c>
      <c r="AC187" s="77">
        <f>Table24[[#This Row],[GWP-biogenic]]*Table24[[#This Row],[DENSITY]]/1000</f>
        <v>0</v>
      </c>
      <c r="AD187" s="73" t="s">
        <v>415</v>
      </c>
      <c r="AE187" s="75" t="s">
        <v>415</v>
      </c>
      <c r="AF187" s="107"/>
      <c r="AG187" s="129"/>
      <c r="AH187" s="129"/>
      <c r="AI187" s="75"/>
      <c r="AJ187" s="385">
        <f ca="1">IF(OR($E187="Ecoinvent",$E187="Betonsortenrechner",$E187="KBOB",$V187&lt;=0,Table24[[#This Row],[VALID_TO]]&lt;=TODAY()),0,1)</f>
        <v>0</v>
      </c>
      <c r="AK187" s="199">
        <v>1</v>
      </c>
      <c r="AL187" s="199">
        <f ca="1">IF(AND(Table24[[#This Row],[ValidEPD]]&lt;&gt;0,Table24[[#This Row],[Man_Ausschluss]]&lt;&gt;0),1,0)</f>
        <v>0</v>
      </c>
      <c r="AM187" s="17" cm="1">
        <f t="array" aca="1" ref="AM187" ca="1">IF(Table24[[#This Row],[gültig]]&lt;&gt;0,
IF(
OR(
V187=MIN(_xlfn._xlws.FILTER($V$2:$V$298,($P$2:$P$298=P187)*($N$2:$N$298=N187)*($AL$2:$AL$298&lt;&gt;0))),
V187=MAX(_xlfn._xlws.FILTER($V$2:$V$298,($P$2:$P$298=P187)*($N$2:$N$298=N187)*($AL$2:$AL$298&lt;&gt;0))),
ROWS(_xlfn._xlws.FILTER($V$2:$V$298,($P$2:$P$298=P187)*($N$2:$N$298=N187)*($AL$2:$AL$298&lt;&gt;0)))&lt;=2
),1,0),0)</f>
        <v>0</v>
      </c>
      <c r="AN187" s="138"/>
      <c r="AO187" s="1" t="s">
        <v>420</v>
      </c>
      <c r="AP187" s="1"/>
    </row>
    <row r="188" spans="1:42" x14ac:dyDescent="0.2">
      <c r="A188" s="161" t="s">
        <v>269</v>
      </c>
      <c r="B188" s="9" t="s">
        <v>502</v>
      </c>
      <c r="C188" s="100">
        <v>187</v>
      </c>
      <c r="D188" s="9" t="s">
        <v>270</v>
      </c>
      <c r="E188" s="162" t="s">
        <v>271</v>
      </c>
      <c r="F188" s="162"/>
      <c r="G188" s="163">
        <v>44830</v>
      </c>
      <c r="H188" s="163">
        <v>46655</v>
      </c>
      <c r="I188" s="84" t="s">
        <v>264</v>
      </c>
      <c r="J188" s="164" t="s">
        <v>264</v>
      </c>
      <c r="K188" s="165" t="s">
        <v>98</v>
      </c>
      <c r="L188" s="228" t="s">
        <v>326</v>
      </c>
      <c r="M188" s="1" t="s">
        <v>313</v>
      </c>
      <c r="N188" s="167" t="s">
        <v>319</v>
      </c>
      <c r="O188" s="1" t="s">
        <v>415</v>
      </c>
      <c r="P188" s="84" t="s">
        <v>525</v>
      </c>
      <c r="Q188" s="84">
        <v>480</v>
      </c>
      <c r="R188" s="162" t="s">
        <v>415</v>
      </c>
      <c r="S188" s="162" t="s">
        <v>415</v>
      </c>
      <c r="T188" s="162" t="s">
        <v>415</v>
      </c>
      <c r="U188" s="168" t="s">
        <v>415</v>
      </c>
      <c r="V188" s="107">
        <f>SUM(Table24[[#This Row],[A1toA3_GWP]:[C1toC4_GWP]])</f>
        <v>291.03750000000014</v>
      </c>
      <c r="W188" s="107">
        <f>VLOOKUP(Table24[[#This Row],[Country PRODUCTION]],[2]Sheet1!$B$11:$F$30,4,FALSE)+Table24[[#This Row],[Total_GWP]]</f>
        <v>367.08750000000015</v>
      </c>
      <c r="X188" s="107">
        <f>VLOOKUP(Table24[[#This Row],[Country PRODUCTION]],[2]Sheet1!$B$11:$F$30,5,FALSE)+Table24[[#This Row],[Total_GWP]]</f>
        <v>298.83750000000015</v>
      </c>
      <c r="Y188" s="107">
        <f>Table24[[#This Row],[Total_GWP]]*Table24[[#This Row],[DENSITY]]/1000</f>
        <v>139.69800000000006</v>
      </c>
      <c r="Z188" s="129">
        <f>(-680+6.04+37.1)/Table24[[#This Row],[DENSITY]]*1000</f>
        <v>-1326.7916666666665</v>
      </c>
      <c r="AA188" s="72">
        <f>(0.558+776)/Table24[[#This Row],[DENSITY]]*1000</f>
        <v>1617.8291666666667</v>
      </c>
      <c r="AB188" s="77">
        <f>SUM(Table24[[#This Row],[A1toA3_GWP-biogenic]:[C1toC4_GWP-biogenic]])</f>
        <v>0</v>
      </c>
      <c r="AC188" s="77">
        <f>Table24[[#This Row],[GWP-biogenic]]*Table24[[#This Row],[DENSITY]]/1000</f>
        <v>0</v>
      </c>
      <c r="AD188" s="73" t="s">
        <v>415</v>
      </c>
      <c r="AE188" s="75" t="s">
        <v>415</v>
      </c>
      <c r="AF188" s="107"/>
      <c r="AG188" s="129"/>
      <c r="AH188" s="129"/>
      <c r="AI188" s="75"/>
      <c r="AJ188" s="385">
        <f ca="1">IF(OR($E188="Ecoinvent",$E188="Betonsortenrechner",$E188="KBOB",$V188&lt;=0,Table24[[#This Row],[VALID_TO]]&lt;=TODAY()),0,1)</f>
        <v>1</v>
      </c>
      <c r="AK188" s="199">
        <v>1</v>
      </c>
      <c r="AL188" s="199">
        <f ca="1">IF(AND(Table24[[#This Row],[ValidEPD]]&lt;&gt;0,Table24[[#This Row],[Man_Ausschluss]]&lt;&gt;0),1,0)</f>
        <v>1</v>
      </c>
      <c r="AM188" s="17" cm="1">
        <f t="array" aca="1" ref="AM188" ca="1">IF(Table24[[#This Row],[gültig]]&lt;&gt;0,
IF(
OR(
V188=MIN(_xlfn._xlws.FILTER($V$2:$V$298,($P$2:$P$298=P188)*($N$2:$N$298=N188)*($AL$2:$AL$298&lt;&gt;0))),
V188=MAX(_xlfn._xlws.FILTER($V$2:$V$298,($P$2:$P$298=P188)*($N$2:$N$298=N188)*($AL$2:$AL$298&lt;&gt;0))),
ROWS(_xlfn._xlws.FILTER($V$2:$V$298,($P$2:$P$298=P188)*($N$2:$N$298=N188)*($AL$2:$AL$298&lt;&gt;0)))&lt;=2
),1,0),0)</f>
        <v>1</v>
      </c>
      <c r="AN188" s="138"/>
      <c r="AO188" s="1" t="s">
        <v>423</v>
      </c>
      <c r="AP188" s="1"/>
    </row>
    <row r="189" spans="1:42" x14ac:dyDescent="0.2">
      <c r="A189" s="161" t="s">
        <v>269</v>
      </c>
      <c r="B189" s="9" t="s">
        <v>518</v>
      </c>
      <c r="C189" s="96">
        <v>188</v>
      </c>
      <c r="D189" s="9" t="s">
        <v>270</v>
      </c>
      <c r="E189" s="162" t="s">
        <v>271</v>
      </c>
      <c r="F189" s="162"/>
      <c r="G189" s="163">
        <v>44830</v>
      </c>
      <c r="H189" s="163">
        <v>46655</v>
      </c>
      <c r="I189" s="84" t="s">
        <v>264</v>
      </c>
      <c r="J189" s="164" t="s">
        <v>264</v>
      </c>
      <c r="K189" s="165" t="s">
        <v>98</v>
      </c>
      <c r="L189" s="228" t="s">
        <v>326</v>
      </c>
      <c r="M189" s="1" t="s">
        <v>313</v>
      </c>
      <c r="N189" s="167" t="s">
        <v>319</v>
      </c>
      <c r="O189" s="1" t="s">
        <v>415</v>
      </c>
      <c r="P189" s="84" t="s">
        <v>524</v>
      </c>
      <c r="Q189" s="84">
        <v>480</v>
      </c>
      <c r="R189" s="162" t="s">
        <v>415</v>
      </c>
      <c r="S189" s="162" t="s">
        <v>415</v>
      </c>
      <c r="T189" s="162" t="s">
        <v>415</v>
      </c>
      <c r="U189" s="168" t="s">
        <v>415</v>
      </c>
      <c r="V189" s="107">
        <f>SUM(Table24[[#This Row],[A1toA3_GWP]:[C1toC4_GWP]])</f>
        <v>291.03750000000014</v>
      </c>
      <c r="W189" s="107">
        <f>VLOOKUP(Table24[[#This Row],[Country PRODUCTION]],[2]Sheet1!$B$11:$F$30,4,FALSE)+Table24[[#This Row],[Total_GWP]]</f>
        <v>367.08750000000015</v>
      </c>
      <c r="X189" s="107">
        <f>VLOOKUP(Table24[[#This Row],[Country PRODUCTION]],[2]Sheet1!$B$11:$F$30,5,FALSE)+Table24[[#This Row],[Total_GWP]]</f>
        <v>298.83750000000015</v>
      </c>
      <c r="Y189" s="107">
        <f>Table24[[#This Row],[Total_GWP]]*Table24[[#This Row],[DENSITY]]/1000</f>
        <v>139.69800000000006</v>
      </c>
      <c r="Z189" s="129">
        <f>(-680+6.04+37.1)/Table24[[#This Row],[DENSITY]]*1000</f>
        <v>-1326.7916666666665</v>
      </c>
      <c r="AA189" s="72">
        <f>(0.558+776)/Table24[[#This Row],[DENSITY]]*1000</f>
        <v>1617.8291666666667</v>
      </c>
      <c r="AB189" s="77">
        <f>SUM(Table24[[#This Row],[A1toA3_GWP-biogenic]:[C1toC4_GWP-biogenic]])</f>
        <v>0</v>
      </c>
      <c r="AC189" s="77">
        <f>Table24[[#This Row],[GWP-biogenic]]*Table24[[#This Row],[DENSITY]]/1000</f>
        <v>0</v>
      </c>
      <c r="AD189" s="73" t="s">
        <v>415</v>
      </c>
      <c r="AE189" s="75" t="s">
        <v>415</v>
      </c>
      <c r="AF189" s="107"/>
      <c r="AG189" s="129"/>
      <c r="AH189" s="129"/>
      <c r="AI189" s="75"/>
      <c r="AJ189" s="385">
        <f ca="1">IF(OR($E189="Ecoinvent",$E189="Betonsortenrechner",$E189="KBOB",$V189&lt;=0,Table24[[#This Row],[VALID_TO]]&lt;=TODAY()),0,1)</f>
        <v>1</v>
      </c>
      <c r="AK189" s="199">
        <v>1</v>
      </c>
      <c r="AL189" s="199">
        <f ca="1">IF(AND(Table24[[#This Row],[ValidEPD]]&lt;&gt;0,Table24[[#This Row],[Man_Ausschluss]]&lt;&gt;0),1,0)</f>
        <v>1</v>
      </c>
      <c r="AM189" s="17" cm="1">
        <f t="array" aca="1" ref="AM189" ca="1">IF(Table24[[#This Row],[gültig]]&lt;&gt;0,
IF(
OR(
V189=MIN(_xlfn._xlws.FILTER($V$2:$V$298,($P$2:$P$298=P189)*($N$2:$N$298=N189)*($AL$2:$AL$298&lt;&gt;0))),
V189=MAX(_xlfn._xlws.FILTER($V$2:$V$298,($P$2:$P$298=P189)*($N$2:$N$298=N189)*($AL$2:$AL$298&lt;&gt;0))),
ROWS(_xlfn._xlws.FILTER($V$2:$V$298,($P$2:$P$298=P189)*($N$2:$N$298=N189)*($AL$2:$AL$298&lt;&gt;0)))&lt;=2
),1,0),0)</f>
        <v>1</v>
      </c>
      <c r="AN189" s="138"/>
      <c r="AO189" s="1" t="s">
        <v>423</v>
      </c>
      <c r="AP189" s="1"/>
    </row>
    <row r="190" spans="1:42" x14ac:dyDescent="0.2">
      <c r="A190" s="161" t="s">
        <v>269</v>
      </c>
      <c r="B190" s="9" t="s">
        <v>519</v>
      </c>
      <c r="C190" s="100">
        <v>189</v>
      </c>
      <c r="D190" s="9" t="s">
        <v>270</v>
      </c>
      <c r="E190" s="162" t="s">
        <v>271</v>
      </c>
      <c r="F190" s="162"/>
      <c r="G190" s="163">
        <v>44830</v>
      </c>
      <c r="H190" s="163">
        <v>46655</v>
      </c>
      <c r="I190" s="84" t="s">
        <v>264</v>
      </c>
      <c r="J190" s="164" t="s">
        <v>264</v>
      </c>
      <c r="K190" s="165" t="s">
        <v>98</v>
      </c>
      <c r="L190" s="228" t="s">
        <v>326</v>
      </c>
      <c r="M190" s="1" t="s">
        <v>313</v>
      </c>
      <c r="N190" s="167" t="s">
        <v>319</v>
      </c>
      <c r="O190" s="1" t="s">
        <v>415</v>
      </c>
      <c r="P190" s="84" t="s">
        <v>526</v>
      </c>
      <c r="Q190" s="84">
        <v>480</v>
      </c>
      <c r="R190" s="162" t="s">
        <v>415</v>
      </c>
      <c r="S190" s="162" t="s">
        <v>415</v>
      </c>
      <c r="T190" s="162" t="s">
        <v>415</v>
      </c>
      <c r="U190" s="168" t="s">
        <v>415</v>
      </c>
      <c r="V190" s="107">
        <f>SUM(Table24[[#This Row],[A1toA3_GWP]:[C1toC4_GWP]])</f>
        <v>291.03750000000014</v>
      </c>
      <c r="W190" s="107">
        <f>VLOOKUP(Table24[[#This Row],[Country PRODUCTION]],[2]Sheet1!$B$11:$F$30,4,FALSE)+Table24[[#This Row],[Total_GWP]]</f>
        <v>367.08750000000015</v>
      </c>
      <c r="X190" s="107">
        <f>VLOOKUP(Table24[[#This Row],[Country PRODUCTION]],[2]Sheet1!$B$11:$F$30,5,FALSE)+Table24[[#This Row],[Total_GWP]]</f>
        <v>298.83750000000015</v>
      </c>
      <c r="Y190" s="107">
        <f>Table24[[#This Row],[Total_GWP]]*Table24[[#This Row],[DENSITY]]/1000</f>
        <v>139.69800000000006</v>
      </c>
      <c r="Z190" s="129">
        <f>(-680+6.04+37.1)/Table24[[#This Row],[DENSITY]]*1000</f>
        <v>-1326.7916666666665</v>
      </c>
      <c r="AA190" s="72">
        <f>(0.558+776)/Table24[[#This Row],[DENSITY]]*1000</f>
        <v>1617.8291666666667</v>
      </c>
      <c r="AB190" s="77">
        <f>SUM(Table24[[#This Row],[A1toA3_GWP-biogenic]:[C1toC4_GWP-biogenic]])</f>
        <v>0</v>
      </c>
      <c r="AC190" s="77">
        <f>Table24[[#This Row],[GWP-biogenic]]*Table24[[#This Row],[DENSITY]]/1000</f>
        <v>0</v>
      </c>
      <c r="AD190" s="73" t="s">
        <v>415</v>
      </c>
      <c r="AE190" s="75" t="s">
        <v>415</v>
      </c>
      <c r="AF190" s="107"/>
      <c r="AG190" s="129"/>
      <c r="AH190" s="129"/>
      <c r="AI190" s="75"/>
      <c r="AJ190" s="385">
        <f ca="1">IF(OR($E190="Ecoinvent",$E190="Betonsortenrechner",$E190="KBOB",$V190&lt;=0,Table24[[#This Row],[VALID_TO]]&lt;=TODAY()),0,1)</f>
        <v>1</v>
      </c>
      <c r="AK190" s="199">
        <v>1</v>
      </c>
      <c r="AL190" s="199">
        <f ca="1">IF(AND(Table24[[#This Row],[ValidEPD]]&lt;&gt;0,Table24[[#This Row],[Man_Ausschluss]]&lt;&gt;0),1,0)</f>
        <v>1</v>
      </c>
      <c r="AM190" s="17" cm="1">
        <f t="array" aca="1" ref="AM190" ca="1">IF(Table24[[#This Row],[gültig]]&lt;&gt;0,
IF(
OR(
V190=MIN(_xlfn._xlws.FILTER($V$2:$V$298,($P$2:$P$298=P190)*($N$2:$N$298=N190)*($AL$2:$AL$298&lt;&gt;0))),
V190=MAX(_xlfn._xlws.FILTER($V$2:$V$298,($P$2:$P$298=P190)*($N$2:$N$298=N190)*($AL$2:$AL$298&lt;&gt;0))),
ROWS(_xlfn._xlws.FILTER($V$2:$V$298,($P$2:$P$298=P190)*($N$2:$N$298=N190)*($AL$2:$AL$298&lt;&gt;0)))&lt;=2
),1,0),0)</f>
        <v>1</v>
      </c>
      <c r="AN190" s="138"/>
      <c r="AO190" s="1" t="s">
        <v>423</v>
      </c>
      <c r="AP190" s="1"/>
    </row>
    <row r="191" spans="1:42" x14ac:dyDescent="0.2">
      <c r="A191" s="161" t="s">
        <v>273</v>
      </c>
      <c r="B191" s="9"/>
      <c r="C191" s="96">
        <v>190</v>
      </c>
      <c r="D191" s="9" t="s">
        <v>272</v>
      </c>
      <c r="E191" s="162" t="s">
        <v>274</v>
      </c>
      <c r="F191" s="162"/>
      <c r="G191" s="163">
        <v>44746</v>
      </c>
      <c r="H191" s="163">
        <v>46572</v>
      </c>
      <c r="I191" s="84" t="s">
        <v>275</v>
      </c>
      <c r="J191" s="164" t="s">
        <v>275</v>
      </c>
      <c r="K191" s="165" t="s">
        <v>98</v>
      </c>
      <c r="L191" s="228" t="s">
        <v>326</v>
      </c>
      <c r="M191" s="1" t="s">
        <v>313</v>
      </c>
      <c r="N191" s="167" t="s">
        <v>319</v>
      </c>
      <c r="O191" s="1" t="s">
        <v>415</v>
      </c>
      <c r="P191" s="84" t="s">
        <v>1</v>
      </c>
      <c r="Q191" s="84">
        <v>430</v>
      </c>
      <c r="R191" s="162" t="s">
        <v>415</v>
      </c>
      <c r="S191" s="162" t="s">
        <v>415</v>
      </c>
      <c r="T191" s="162" t="s">
        <v>415</v>
      </c>
      <c r="U191" s="168" t="s">
        <v>415</v>
      </c>
      <c r="V191" s="107">
        <f>SUM(Table24[[#This Row],[A1toA3_GWP]:[C1toC4_GWP]])</f>
        <v>319.93023255813955</v>
      </c>
      <c r="W191" s="107">
        <f>VLOOKUP(Table24[[#This Row],[Country PRODUCTION]],[2]Sheet1!$B$11:$F$30,4,FALSE)+Table24[[#This Row],[Total_GWP]]</f>
        <v>448.6302325581396</v>
      </c>
      <c r="X191" s="107">
        <f>VLOOKUP(Table24[[#This Row],[Country PRODUCTION]],[2]Sheet1!$B$11:$F$30,5,FALSE)+Table24[[#This Row],[Total_GWP]]</f>
        <v>333.13023255813954</v>
      </c>
      <c r="Y191" s="107">
        <f>Table24[[#This Row],[Total_GWP]]*Table24[[#This Row],[DENSITY]]/1000</f>
        <v>137.57</v>
      </c>
      <c r="Z191" s="129">
        <f>(-556)/Table24[[#This Row],[DENSITY]]*1000</f>
        <v>-1293.0232558139535</v>
      </c>
      <c r="AA191" s="72">
        <f>(2.57+691)/Table24[[#This Row],[DENSITY]]*1000</f>
        <v>1612.953488372093</v>
      </c>
      <c r="AB191" s="77">
        <f>SUM(Table24[[#This Row],[A1toA3_GWP-biogenic]:[C1toC4_GWP-biogenic]])</f>
        <v>6.3255813953446705E-2</v>
      </c>
      <c r="AC191" s="77">
        <f>Table24[[#This Row],[GWP-biogenic]]*Table24[[#This Row],[DENSITY]]/1000</f>
        <v>2.7199999999982082E-2</v>
      </c>
      <c r="AD191" s="73">
        <f>(-678)/Table24[[#This Row],[DENSITY]]*1000</f>
        <v>-1576.7441860465117</v>
      </c>
      <c r="AE191" s="75">
        <f>(2.72*10^-2+678)/Table24[[#This Row],[DENSITY]]*1000</f>
        <v>1576.8074418604651</v>
      </c>
      <c r="AF191" s="107"/>
      <c r="AG191" s="129"/>
      <c r="AH191" s="129"/>
      <c r="AI191" s="75"/>
      <c r="AJ191" s="385">
        <f ca="1">IF(OR($E191="Ecoinvent",$E191="Betonsortenrechner",$E191="KBOB",$V191&lt;=0,Table24[[#This Row],[VALID_TO]]&lt;=TODAY()),0,1)</f>
        <v>1</v>
      </c>
      <c r="AK191" s="199">
        <v>1</v>
      </c>
      <c r="AL191" s="199">
        <f ca="1">IF(AND(Table24[[#This Row],[ValidEPD]]&lt;&gt;0,Table24[[#This Row],[Man_Ausschluss]]&lt;&gt;0),1,0)</f>
        <v>1</v>
      </c>
      <c r="AM191" s="17" cm="1">
        <f t="array" aca="1" ref="AM191" ca="1">IF(Table24[[#This Row],[gültig]]&lt;&gt;0,
IF(
OR(
V191=MIN(_xlfn._xlws.FILTER($V$2:$V$298,($P$2:$P$298=P191)*($N$2:$N$298=N191)*($AL$2:$AL$298&lt;&gt;0))),
V191=MAX(_xlfn._xlws.FILTER($V$2:$V$298,($P$2:$P$298=P191)*($N$2:$N$298=N191)*($AL$2:$AL$298&lt;&gt;0))),
ROWS(_xlfn._xlws.FILTER($V$2:$V$298,($P$2:$P$298=P191)*($N$2:$N$298=N191)*($AL$2:$AL$298&lt;&gt;0)))&lt;=2
),1,0),0)</f>
        <v>0</v>
      </c>
      <c r="AN191" s="138"/>
      <c r="AO191" s="1" t="s">
        <v>425</v>
      </c>
      <c r="AP191" s="1" t="s">
        <v>424</v>
      </c>
    </row>
    <row r="192" spans="1:42" x14ac:dyDescent="0.2">
      <c r="A192" s="161" t="s">
        <v>276</v>
      </c>
      <c r="B192" s="9"/>
      <c r="C192" s="100">
        <v>191</v>
      </c>
      <c r="D192" s="9" t="s">
        <v>277</v>
      </c>
      <c r="E192" s="162" t="s">
        <v>278</v>
      </c>
      <c r="F192" s="162"/>
      <c r="G192" s="163" t="s">
        <v>279</v>
      </c>
      <c r="H192" s="163">
        <v>46659</v>
      </c>
      <c r="I192" s="84" t="s">
        <v>238</v>
      </c>
      <c r="J192" s="164" t="s">
        <v>238</v>
      </c>
      <c r="K192" s="165" t="s">
        <v>98</v>
      </c>
      <c r="L192" s="228" t="s">
        <v>326</v>
      </c>
      <c r="M192" s="1" t="s">
        <v>313</v>
      </c>
      <c r="N192" s="167" t="s">
        <v>319</v>
      </c>
      <c r="O192" s="1" t="s">
        <v>415</v>
      </c>
      <c r="P192" s="84" t="s">
        <v>1</v>
      </c>
      <c r="Q192" s="84">
        <v>462</v>
      </c>
      <c r="R192" s="162" t="s">
        <v>415</v>
      </c>
      <c r="S192" s="162" t="s">
        <v>415</v>
      </c>
      <c r="T192" s="162" t="s">
        <v>415</v>
      </c>
      <c r="U192" s="168" t="s">
        <v>415</v>
      </c>
      <c r="V192" s="107">
        <f>SUM(Table24[[#This Row],[A1toA3_GWP]:[C1toC4_GWP]])</f>
        <v>169.16883116883105</v>
      </c>
      <c r="W192" s="107">
        <f>VLOOKUP(Table24[[#This Row],[Country PRODUCTION]],[2]Sheet1!$B$11:$F$30,4,FALSE)+Table24[[#This Row],[Total_GWP]]</f>
        <v>438.26883116883107</v>
      </c>
      <c r="X192" s="107">
        <f>VLOOKUP(Table24[[#This Row],[Country PRODUCTION]],[2]Sheet1!$B$11:$F$30,5,FALSE)+Table24[[#This Row],[Total_GWP]]</f>
        <v>196.76883116883104</v>
      </c>
      <c r="Y192" s="107">
        <f>Table24[[#This Row],[Total_GWP]]*Table24[[#This Row],[DENSITY]]/1000</f>
        <v>78.155999999999935</v>
      </c>
      <c r="Z192" s="129">
        <f>(-674)/Table24[[#This Row],[DENSITY]]*1000</f>
        <v>-1458.8744588744589</v>
      </c>
      <c r="AA192" s="72">
        <f>(0.116+1.04+751)/Table24[[#This Row],[DENSITY]]*1000</f>
        <v>1628.04329004329</v>
      </c>
      <c r="AB192" s="77">
        <f>SUM(Table24[[#This Row],[A1toA3_GWP-biogenic]:[C1toC4_GWP-biogenic]])</f>
        <v>15.159218614718611</v>
      </c>
      <c r="AC192" s="77">
        <f>Table24[[#This Row],[GWP-biogenic]]*Table24[[#This Row],[DENSITY]]/1000</f>
        <v>7.0035589999999983</v>
      </c>
      <c r="AD192" s="73">
        <f>(-744)/Table24[[#This Row],[DENSITY]]*1000</f>
        <v>-1610.3896103896104</v>
      </c>
      <c r="AE192" s="75">
        <f>(3.59*10^-4+3.2*10^-3+751)/Table24[[#This Row],[DENSITY]]*1000</f>
        <v>1625.548829004329</v>
      </c>
      <c r="AF192" s="107"/>
      <c r="AG192" s="129"/>
      <c r="AH192" s="129"/>
      <c r="AI192" s="75"/>
      <c r="AJ192" s="385">
        <f ca="1">IF(OR($E192="Ecoinvent",$E192="Betonsortenrechner",$E192="KBOB",$V192&lt;=0,Table24[[#This Row],[VALID_TO]]&lt;=TODAY()),0,1)</f>
        <v>1</v>
      </c>
      <c r="AK192" s="199">
        <v>1</v>
      </c>
      <c r="AL192" s="199">
        <f ca="1">IF(AND(Table24[[#This Row],[ValidEPD]]&lt;&gt;0,Table24[[#This Row],[Man_Ausschluss]]&lt;&gt;0),1,0)</f>
        <v>1</v>
      </c>
      <c r="AM192" s="17" cm="1">
        <f t="array" aca="1" ref="AM192" ca="1">IF(Table24[[#This Row],[gültig]]&lt;&gt;0,
IF(
OR(
V192=MIN(_xlfn._xlws.FILTER($V$2:$V$298,($P$2:$P$298=P192)*($N$2:$N$298=N192)*($AL$2:$AL$298&lt;&gt;0))),
V192=MAX(_xlfn._xlws.FILTER($V$2:$V$298,($P$2:$P$298=P192)*($N$2:$N$298=N192)*($AL$2:$AL$298&lt;&gt;0))),
ROWS(_xlfn._xlws.FILTER($V$2:$V$298,($P$2:$P$298=P192)*($N$2:$N$298=N192)*($AL$2:$AL$298&lt;&gt;0)))&lt;=2
),1,0),0)</f>
        <v>0</v>
      </c>
      <c r="AN192" s="138"/>
      <c r="AO192" s="1" t="s">
        <v>422</v>
      </c>
      <c r="AP192" s="1"/>
    </row>
    <row r="193" spans="1:42" x14ac:dyDescent="0.2">
      <c r="A193" s="161" t="s">
        <v>280</v>
      </c>
      <c r="B193" s="9" t="s">
        <v>502</v>
      </c>
      <c r="C193" s="96">
        <v>192</v>
      </c>
      <c r="D193" s="9" t="s">
        <v>281</v>
      </c>
      <c r="E193" s="162" t="s">
        <v>282</v>
      </c>
      <c r="F193" s="162"/>
      <c r="G193" s="163">
        <v>43325</v>
      </c>
      <c r="H193" s="163">
        <v>45334</v>
      </c>
      <c r="I193" s="84" t="s">
        <v>264</v>
      </c>
      <c r="J193" s="164" t="s">
        <v>264</v>
      </c>
      <c r="K193" s="165" t="s">
        <v>98</v>
      </c>
      <c r="L193" s="228" t="s">
        <v>326</v>
      </c>
      <c r="M193" s="1" t="s">
        <v>313</v>
      </c>
      <c r="N193" s="167" t="s">
        <v>319</v>
      </c>
      <c r="O193" s="1" t="s">
        <v>415</v>
      </c>
      <c r="P193" s="84" t="s">
        <v>535</v>
      </c>
      <c r="Q193" s="84">
        <v>483</v>
      </c>
      <c r="R193" s="162" t="s">
        <v>415</v>
      </c>
      <c r="S193" s="162" t="s">
        <v>415</v>
      </c>
      <c r="T193" s="162" t="s">
        <v>415</v>
      </c>
      <c r="U193" s="168" t="s">
        <v>415</v>
      </c>
      <c r="V193" s="107">
        <f>SUM(Table24[[#This Row],[A1toA3_GWP]:[C1toC4_GWP]])</f>
        <v>264.56521739130449</v>
      </c>
      <c r="W193" s="107">
        <f>VLOOKUP(Table24[[#This Row],[Country PRODUCTION]],[2]Sheet1!$B$11:$F$30,4,FALSE)+Table24[[#This Row],[Total_GWP]]</f>
        <v>340.6152173913045</v>
      </c>
      <c r="X193" s="107">
        <f>VLOOKUP(Table24[[#This Row],[Country PRODUCTION]],[2]Sheet1!$B$11:$F$30,5,FALSE)+Table24[[#This Row],[Total_GWP]]</f>
        <v>272.3652173913045</v>
      </c>
      <c r="Y193" s="107">
        <f>Table24[[#This Row],[Total_GWP]]*Table24[[#This Row],[DENSITY]]/1000</f>
        <v>127.78500000000007</v>
      </c>
      <c r="Z193" s="129">
        <f>(-751+32.1+68.2)/Table24[[#This Row],[DENSITY]]*1000</f>
        <v>-1347.2049689440992</v>
      </c>
      <c r="AA193" s="72">
        <f>(0.485+778)/Table24[[#This Row],[DENSITY]]*1000</f>
        <v>1611.7701863354037</v>
      </c>
      <c r="AB193" s="77">
        <f>SUM(Table24[[#This Row],[A1toA3_GWP-biogenic]:[C1toC4_GWP-biogenic]])</f>
        <v>0</v>
      </c>
      <c r="AC193" s="77">
        <f>Table24[[#This Row],[GWP-biogenic]]*Table24[[#This Row],[DENSITY]]/1000</f>
        <v>0</v>
      </c>
      <c r="AD193" s="73" t="s">
        <v>415</v>
      </c>
      <c r="AE193" s="75" t="s">
        <v>415</v>
      </c>
      <c r="AF193" s="107"/>
      <c r="AG193" s="129"/>
      <c r="AH193" s="129"/>
      <c r="AI193" s="75"/>
      <c r="AJ193" s="385">
        <f ca="1">IF(OR($E193="Ecoinvent",$E193="Betonsortenrechner",$E193="KBOB",$V193&lt;=0,Table24[[#This Row],[VALID_TO]]&lt;=TODAY()),0,1)</f>
        <v>0</v>
      </c>
      <c r="AK193" s="199">
        <v>1</v>
      </c>
      <c r="AL193" s="199">
        <f ca="1">IF(AND(Table24[[#This Row],[ValidEPD]]&lt;&gt;0,Table24[[#This Row],[Man_Ausschluss]]&lt;&gt;0),1,0)</f>
        <v>0</v>
      </c>
      <c r="AM193" s="17" cm="1">
        <f t="array" aca="1" ref="AM193" ca="1">IF(Table24[[#This Row],[gültig]]&lt;&gt;0,
IF(
OR(
V193=MIN(_xlfn._xlws.FILTER($V$2:$V$298,($P$2:$P$298=P193)*($N$2:$N$298=N193)*($AL$2:$AL$298&lt;&gt;0))),
V193=MAX(_xlfn._xlws.FILTER($V$2:$V$298,($P$2:$P$298=P193)*($N$2:$N$298=N193)*($AL$2:$AL$298&lt;&gt;0))),
ROWS(_xlfn._xlws.FILTER($V$2:$V$298,($P$2:$P$298=P193)*($N$2:$N$298=N193)*($AL$2:$AL$298&lt;&gt;0)))&lt;=2
),1,0),0)</f>
        <v>0</v>
      </c>
      <c r="AN193" s="138"/>
      <c r="AO193" s="1"/>
      <c r="AP193" s="1"/>
    </row>
    <row r="194" spans="1:42" x14ac:dyDescent="0.2">
      <c r="A194" s="161" t="s">
        <v>280</v>
      </c>
      <c r="B194" s="9" t="s">
        <v>518</v>
      </c>
      <c r="C194" s="100">
        <v>193</v>
      </c>
      <c r="D194" s="9" t="s">
        <v>281</v>
      </c>
      <c r="E194" s="162" t="s">
        <v>282</v>
      </c>
      <c r="F194" s="162"/>
      <c r="G194" s="163">
        <v>43325</v>
      </c>
      <c r="H194" s="163">
        <v>45334</v>
      </c>
      <c r="I194" s="84" t="s">
        <v>264</v>
      </c>
      <c r="J194" s="164" t="s">
        <v>264</v>
      </c>
      <c r="K194" s="165" t="s">
        <v>98</v>
      </c>
      <c r="L194" s="228" t="s">
        <v>326</v>
      </c>
      <c r="M194" s="1" t="s">
        <v>313</v>
      </c>
      <c r="N194" s="167" t="s">
        <v>319</v>
      </c>
      <c r="O194" s="1" t="s">
        <v>415</v>
      </c>
      <c r="P194" s="84" t="s">
        <v>522</v>
      </c>
      <c r="Q194" s="84">
        <v>483</v>
      </c>
      <c r="R194" s="162" t="s">
        <v>415</v>
      </c>
      <c r="S194" s="162" t="s">
        <v>415</v>
      </c>
      <c r="T194" s="162" t="s">
        <v>415</v>
      </c>
      <c r="U194" s="168" t="s">
        <v>415</v>
      </c>
      <c r="V194" s="107">
        <f>SUM(Table24[[#This Row],[A1toA3_GWP]:[C1toC4_GWP]])</f>
        <v>264.56521739130449</v>
      </c>
      <c r="W194" s="107">
        <f>VLOOKUP(Table24[[#This Row],[Country PRODUCTION]],[2]Sheet1!$B$11:$F$30,4,FALSE)+Table24[[#This Row],[Total_GWP]]</f>
        <v>340.6152173913045</v>
      </c>
      <c r="X194" s="107">
        <f>VLOOKUP(Table24[[#This Row],[Country PRODUCTION]],[2]Sheet1!$B$11:$F$30,5,FALSE)+Table24[[#This Row],[Total_GWP]]</f>
        <v>272.3652173913045</v>
      </c>
      <c r="Y194" s="107">
        <f>Table24[[#This Row],[Total_GWP]]*Table24[[#This Row],[DENSITY]]/1000</f>
        <v>127.78500000000007</v>
      </c>
      <c r="Z194" s="129">
        <f>(-751+32.1+68.2)/Table24[[#This Row],[DENSITY]]*1000</f>
        <v>-1347.2049689440992</v>
      </c>
      <c r="AA194" s="72">
        <f>(0.485+778)/Table24[[#This Row],[DENSITY]]*1000</f>
        <v>1611.7701863354037</v>
      </c>
      <c r="AB194" s="77">
        <f>SUM(Table24[[#This Row],[A1toA3_GWP-biogenic]:[C1toC4_GWP-biogenic]])</f>
        <v>0</v>
      </c>
      <c r="AC194" s="77">
        <f>Table24[[#This Row],[GWP-biogenic]]*Table24[[#This Row],[DENSITY]]/1000</f>
        <v>0</v>
      </c>
      <c r="AD194" s="73" t="s">
        <v>415</v>
      </c>
      <c r="AE194" s="75" t="s">
        <v>415</v>
      </c>
      <c r="AF194" s="107"/>
      <c r="AG194" s="129"/>
      <c r="AH194" s="129"/>
      <c r="AI194" s="75"/>
      <c r="AJ194" s="385">
        <f ca="1">IF(OR($E194="Ecoinvent",$E194="Betonsortenrechner",$E194="KBOB",$V194&lt;=0,Table24[[#This Row],[VALID_TO]]&lt;=TODAY()),0,1)</f>
        <v>0</v>
      </c>
      <c r="AK194" s="199">
        <v>1</v>
      </c>
      <c r="AL194" s="199">
        <f ca="1">IF(AND(Table24[[#This Row],[ValidEPD]]&lt;&gt;0,Table24[[#This Row],[Man_Ausschluss]]&lt;&gt;0),1,0)</f>
        <v>0</v>
      </c>
      <c r="AM194" s="17" cm="1">
        <f t="array" aca="1" ref="AM194" ca="1">IF(Table24[[#This Row],[gültig]]&lt;&gt;0,
IF(
OR(
V194=MIN(_xlfn._xlws.FILTER($V$2:$V$298,($P$2:$P$298=P194)*($N$2:$N$298=N194)*($AL$2:$AL$298&lt;&gt;0))),
V194=MAX(_xlfn._xlws.FILTER($V$2:$V$298,($P$2:$P$298=P194)*($N$2:$N$298=N194)*($AL$2:$AL$298&lt;&gt;0))),
ROWS(_xlfn._xlws.FILTER($V$2:$V$298,($P$2:$P$298=P194)*($N$2:$N$298=N194)*($AL$2:$AL$298&lt;&gt;0)))&lt;=2
),1,0),0)</f>
        <v>0</v>
      </c>
      <c r="AN194" s="138"/>
      <c r="AO194" s="1"/>
      <c r="AP194" s="1"/>
    </row>
    <row r="195" spans="1:42" x14ac:dyDescent="0.2">
      <c r="A195" s="161" t="s">
        <v>280</v>
      </c>
      <c r="B195" s="9" t="s">
        <v>519</v>
      </c>
      <c r="C195" s="96">
        <v>194</v>
      </c>
      <c r="D195" s="9" t="s">
        <v>281</v>
      </c>
      <c r="E195" s="162" t="s">
        <v>282</v>
      </c>
      <c r="F195" s="162"/>
      <c r="G195" s="163">
        <v>43325</v>
      </c>
      <c r="H195" s="163">
        <v>45334</v>
      </c>
      <c r="I195" s="84" t="s">
        <v>264</v>
      </c>
      <c r="J195" s="164" t="s">
        <v>264</v>
      </c>
      <c r="K195" s="165" t="s">
        <v>98</v>
      </c>
      <c r="L195" s="228" t="s">
        <v>326</v>
      </c>
      <c r="M195" s="1" t="s">
        <v>313</v>
      </c>
      <c r="N195" s="167" t="s">
        <v>319</v>
      </c>
      <c r="O195" s="1" t="s">
        <v>415</v>
      </c>
      <c r="P195" s="84" t="s">
        <v>536</v>
      </c>
      <c r="Q195" s="84">
        <v>483</v>
      </c>
      <c r="R195" s="162" t="s">
        <v>415</v>
      </c>
      <c r="S195" s="162" t="s">
        <v>415</v>
      </c>
      <c r="T195" s="162" t="s">
        <v>415</v>
      </c>
      <c r="U195" s="168" t="s">
        <v>415</v>
      </c>
      <c r="V195" s="107">
        <f>SUM(Table24[[#This Row],[A1toA3_GWP]:[C1toC4_GWP]])</f>
        <v>264.56521739130449</v>
      </c>
      <c r="W195" s="107">
        <f>VLOOKUP(Table24[[#This Row],[Country PRODUCTION]],[2]Sheet1!$B$11:$F$30,4,FALSE)+Table24[[#This Row],[Total_GWP]]</f>
        <v>340.6152173913045</v>
      </c>
      <c r="X195" s="107">
        <f>VLOOKUP(Table24[[#This Row],[Country PRODUCTION]],[2]Sheet1!$B$11:$F$30,5,FALSE)+Table24[[#This Row],[Total_GWP]]</f>
        <v>272.3652173913045</v>
      </c>
      <c r="Y195" s="107">
        <f>Table24[[#This Row],[Total_GWP]]*Table24[[#This Row],[DENSITY]]/1000</f>
        <v>127.78500000000007</v>
      </c>
      <c r="Z195" s="129">
        <f>(-751+32.1+68.2)/Table24[[#This Row],[DENSITY]]*1000</f>
        <v>-1347.2049689440992</v>
      </c>
      <c r="AA195" s="72">
        <f>(0.485+778)/Table24[[#This Row],[DENSITY]]*1000</f>
        <v>1611.7701863354037</v>
      </c>
      <c r="AB195" s="77">
        <f>SUM(Table24[[#This Row],[A1toA3_GWP-biogenic]:[C1toC4_GWP-biogenic]])</f>
        <v>0</v>
      </c>
      <c r="AC195" s="77">
        <f>Table24[[#This Row],[GWP-biogenic]]*Table24[[#This Row],[DENSITY]]/1000</f>
        <v>0</v>
      </c>
      <c r="AD195" s="73" t="s">
        <v>415</v>
      </c>
      <c r="AE195" s="75" t="s">
        <v>415</v>
      </c>
      <c r="AF195" s="107"/>
      <c r="AG195" s="129"/>
      <c r="AH195" s="129"/>
      <c r="AI195" s="75"/>
      <c r="AJ195" s="385">
        <f ca="1">IF(OR($E195="Ecoinvent",$E195="Betonsortenrechner",$E195="KBOB",$V195&lt;=0,Table24[[#This Row],[VALID_TO]]&lt;=TODAY()),0,1)</f>
        <v>0</v>
      </c>
      <c r="AK195" s="199">
        <v>1</v>
      </c>
      <c r="AL195" s="199">
        <f ca="1">IF(AND(Table24[[#This Row],[ValidEPD]]&lt;&gt;0,Table24[[#This Row],[Man_Ausschluss]]&lt;&gt;0),1,0)</f>
        <v>0</v>
      </c>
      <c r="AM195" s="17" cm="1">
        <f t="array" aca="1" ref="AM195" ca="1">IF(Table24[[#This Row],[gültig]]&lt;&gt;0,
IF(
OR(
V195=MIN(_xlfn._xlws.FILTER($V$2:$V$298,($P$2:$P$298=P195)*($N$2:$N$298=N195)*($AL$2:$AL$298&lt;&gt;0))),
V195=MAX(_xlfn._xlws.FILTER($V$2:$V$298,($P$2:$P$298=P195)*($N$2:$N$298=N195)*($AL$2:$AL$298&lt;&gt;0))),
ROWS(_xlfn._xlws.FILTER($V$2:$V$298,($P$2:$P$298=P195)*($N$2:$N$298=N195)*($AL$2:$AL$298&lt;&gt;0)))&lt;=2
),1,0),0)</f>
        <v>0</v>
      </c>
      <c r="AN195" s="138"/>
      <c r="AO195" s="1"/>
      <c r="AP195" s="1"/>
    </row>
    <row r="196" spans="1:42" x14ac:dyDescent="0.2">
      <c r="A196" s="161" t="s">
        <v>284</v>
      </c>
      <c r="B196" s="9"/>
      <c r="C196" s="100">
        <v>195</v>
      </c>
      <c r="D196" s="9" t="s">
        <v>283</v>
      </c>
      <c r="E196" s="162" t="s">
        <v>285</v>
      </c>
      <c r="F196" s="162"/>
      <c r="G196" s="163">
        <v>44475</v>
      </c>
      <c r="H196" s="163">
        <v>6.1020260000000004</v>
      </c>
      <c r="I196" s="84" t="s">
        <v>287</v>
      </c>
      <c r="J196" s="164" t="s">
        <v>287</v>
      </c>
      <c r="K196" s="165" t="s">
        <v>98</v>
      </c>
      <c r="L196" s="228" t="s">
        <v>326</v>
      </c>
      <c r="M196" s="1" t="s">
        <v>313</v>
      </c>
      <c r="N196" s="167" t="s">
        <v>319</v>
      </c>
      <c r="O196" s="1" t="s">
        <v>415</v>
      </c>
      <c r="P196" s="84" t="s">
        <v>1</v>
      </c>
      <c r="Q196" s="84">
        <v>440</v>
      </c>
      <c r="R196" s="162" t="s">
        <v>415</v>
      </c>
      <c r="S196" s="162" t="s">
        <v>415</v>
      </c>
      <c r="T196" s="162" t="s">
        <v>415</v>
      </c>
      <c r="U196" s="168" t="s">
        <v>415</v>
      </c>
      <c r="V196" s="107">
        <f>SUM(Table24[[#This Row],[A1toA3_GWP]:[C1toC4_GWP]])</f>
        <v>765.45454545454561</v>
      </c>
      <c r="W196" s="107">
        <f>VLOOKUP(Table24[[#This Row],[Country PRODUCTION]],[2]Sheet1!$B$11:$F$30,4,FALSE)+Table24[[#This Row],[Total_GWP]]</f>
        <v>981.90454545454566</v>
      </c>
      <c r="X196" s="107">
        <f>VLOOKUP(Table24[[#This Row],[Country PRODUCTION]],[2]Sheet1!$B$11:$F$30,5,FALSE)+Table24[[#This Row],[Total_GWP]]</f>
        <v>787.65454545454566</v>
      </c>
      <c r="Y196" s="107">
        <f>Table24[[#This Row],[Total_GWP]]*Table24[[#This Row],[DENSITY]]/1000</f>
        <v>336.80000000000007</v>
      </c>
      <c r="Z196" s="129">
        <f>(-371)/Table24[[#This Row],[DENSITY]]*1000</f>
        <v>-843.18181818181813</v>
      </c>
      <c r="AA196" s="72">
        <f>(28.8+679)/Table24[[#This Row],[DENSITY]]*1000</f>
        <v>1608.6363636363637</v>
      </c>
      <c r="AB196" s="77">
        <f>SUM(Table24[[#This Row],[A1toA3_GWP-biogenic]:[C1toC4_GWP-biogenic]])</f>
        <v>0</v>
      </c>
      <c r="AC196" s="77">
        <f>Table24[[#This Row],[GWP-biogenic]]*Table24[[#This Row],[DENSITY]]/1000</f>
        <v>0</v>
      </c>
      <c r="AD196" s="73">
        <f>(-667)/Table24[[#This Row],[DENSITY]]*1000</f>
        <v>-1515.9090909090908</v>
      </c>
      <c r="AE196" s="73">
        <f>(667)/Table24[[#This Row],[DENSITY]]*1000</f>
        <v>1515.9090909090908</v>
      </c>
      <c r="AF196" s="107"/>
      <c r="AG196" s="129"/>
      <c r="AH196" s="129"/>
      <c r="AI196" s="75"/>
      <c r="AJ196" s="385">
        <f ca="1">IF(OR($E196="Ecoinvent",$E196="Betonsortenrechner",$E196="KBOB",$V196&lt;=0,Table24[[#This Row],[VALID_TO]]&lt;=TODAY()),0,1)</f>
        <v>0</v>
      </c>
      <c r="AK196" s="199">
        <v>1</v>
      </c>
      <c r="AL196" s="199">
        <f ca="1">IF(AND(Table24[[#This Row],[ValidEPD]]&lt;&gt;0,Table24[[#This Row],[Man_Ausschluss]]&lt;&gt;0),1,0)</f>
        <v>0</v>
      </c>
      <c r="AM196" s="17" cm="1">
        <f t="array" aca="1" ref="AM196" ca="1">IF(Table24[[#This Row],[gültig]]&lt;&gt;0,
IF(
OR(
V196=MIN(_xlfn._xlws.FILTER($V$2:$V$298,($P$2:$P$298=P196)*($N$2:$N$298=N196)*($AL$2:$AL$298&lt;&gt;0))),
V196=MAX(_xlfn._xlws.FILTER($V$2:$V$298,($P$2:$P$298=P196)*($N$2:$N$298=N196)*($AL$2:$AL$298&lt;&gt;0))),
ROWS(_xlfn._xlws.FILTER($V$2:$V$298,($P$2:$P$298=P196)*($N$2:$N$298=N196)*($AL$2:$AL$298&lt;&gt;0)))&lt;=2
),1,0),0)</f>
        <v>0</v>
      </c>
      <c r="AN196" s="138"/>
      <c r="AO196" s="1"/>
      <c r="AP196" s="1"/>
    </row>
    <row r="197" spans="1:42" x14ac:dyDescent="0.2">
      <c r="A197" s="161" t="s">
        <v>290</v>
      </c>
      <c r="B197" s="9"/>
      <c r="C197" s="96">
        <v>196</v>
      </c>
      <c r="D197" s="9" t="s">
        <v>288</v>
      </c>
      <c r="E197" s="162" t="s">
        <v>289</v>
      </c>
      <c r="F197" s="162"/>
      <c r="G197" s="163">
        <v>44293</v>
      </c>
      <c r="H197" s="163">
        <v>46119</v>
      </c>
      <c r="I197" s="84" t="s">
        <v>286</v>
      </c>
      <c r="J197" s="164" t="s">
        <v>286</v>
      </c>
      <c r="K197" s="165" t="s">
        <v>98</v>
      </c>
      <c r="L197" s="228" t="s">
        <v>326</v>
      </c>
      <c r="M197" s="1" t="s">
        <v>313</v>
      </c>
      <c r="N197" s="167" t="s">
        <v>319</v>
      </c>
      <c r="O197" s="1" t="s">
        <v>415</v>
      </c>
      <c r="P197" s="84" t="s">
        <v>1</v>
      </c>
      <c r="Q197" s="84">
        <v>467</v>
      </c>
      <c r="R197" s="162" t="s">
        <v>415</v>
      </c>
      <c r="S197" s="162" t="s">
        <v>415</v>
      </c>
      <c r="T197" s="162" t="s">
        <v>415</v>
      </c>
      <c r="U197" s="168" t="s">
        <v>415</v>
      </c>
      <c r="V197" s="81">
        <f>SUM(Table24[[#This Row],[A1toA3_GWP]:[C1toC4_GWP]])</f>
        <v>-220.42826552462543</v>
      </c>
      <c r="W197" s="81">
        <f>VLOOKUP(Table24[[#This Row],[Country PRODUCTION]],[2]Sheet1!$B$11:$F$30,4,FALSE)+Table24[[#This Row],[Total_GWP]]</f>
        <v>7.7217344753745749</v>
      </c>
      <c r="X197" s="81">
        <f>VLOOKUP(Table24[[#This Row],[Country PRODUCTION]],[2]Sheet1!$B$11:$F$30,5,FALSE)+Table24[[#This Row],[Total_GWP]]</f>
        <v>-197.02826552462543</v>
      </c>
      <c r="Y197" s="81">
        <f>Table24[[#This Row],[Total_GWP]]*Table24[[#This Row],[DENSITY]]/1000</f>
        <v>-102.94000000000007</v>
      </c>
      <c r="Z197" s="87">
        <f>(-814)/Table24[[#This Row],[DENSITY]]*1000</f>
        <v>-1743.0406852248395</v>
      </c>
      <c r="AA197" s="88">
        <f>(1.57+6.49+703)/Table24[[#This Row],[DENSITY]]*1000</f>
        <v>1522.6124197002141</v>
      </c>
      <c r="AB197" s="77">
        <f>SUM(Table24[[#This Row],[A1toA3_GWP-biogenic]:[C1toC4_GWP-biogenic]])</f>
        <v>-503.63961713062122</v>
      </c>
      <c r="AC197" s="77">
        <f>Table24[[#This Row],[GWP-biogenic]]*Table24[[#This Row],[DENSITY]]/1000</f>
        <v>-235.19970120000011</v>
      </c>
      <c r="AD197" s="77">
        <f>(-932.2)/Table24[[#This Row],[DENSITY]]*1000</f>
        <v>-1996.1456102783727</v>
      </c>
      <c r="AE197" s="77">
        <f>(1.15*10^-4+1.838*10^-4+697)/Table24[[#This Row],[DENSITY]]*1000</f>
        <v>1492.5059931477515</v>
      </c>
      <c r="AF197" s="81"/>
      <c r="AG197" s="87"/>
      <c r="AH197" s="87"/>
      <c r="AI197" s="76"/>
      <c r="AJ197" s="385">
        <f ca="1">IF(OR($E197="Ecoinvent",$E197="Betonsortenrechner",$E197="KBOB",$V197&lt;=0,Table24[[#This Row],[VALID_TO]]&lt;=TODAY()),0,1)</f>
        <v>0</v>
      </c>
      <c r="AK197" s="199">
        <v>1</v>
      </c>
      <c r="AL197" s="199">
        <f ca="1">IF(AND(Table24[[#This Row],[ValidEPD]]&lt;&gt;0,Table24[[#This Row],[Man_Ausschluss]]&lt;&gt;0),1,0)</f>
        <v>0</v>
      </c>
      <c r="AM197" s="17" cm="1">
        <f t="array" aca="1" ref="AM197" ca="1">IF(Table24[[#This Row],[gültig]]&lt;&gt;0,
IF(
OR(
V197=MIN(_xlfn._xlws.FILTER($V$2:$V$298,($P$2:$P$298=P197)*($N$2:$N$298=N197)*($AL$2:$AL$298&lt;&gt;0))),
V197=MAX(_xlfn._xlws.FILTER($V$2:$V$298,($P$2:$P$298=P197)*($N$2:$N$298=N197)*($AL$2:$AL$298&lt;&gt;0))),
ROWS(_xlfn._xlws.FILTER($V$2:$V$298,($P$2:$P$298=P197)*($N$2:$N$298=N197)*($AL$2:$AL$298&lt;&gt;0)))&lt;=2
),1,0),0)</f>
        <v>0</v>
      </c>
      <c r="AN197" s="138"/>
      <c r="AO197" s="1" t="s">
        <v>426</v>
      </c>
      <c r="AP197" s="1"/>
    </row>
    <row r="198" spans="1:42" x14ac:dyDescent="0.2">
      <c r="A198" s="161" t="s">
        <v>296</v>
      </c>
      <c r="B198" s="9"/>
      <c r="C198" s="100">
        <v>197</v>
      </c>
      <c r="D198" s="9" t="s">
        <v>295</v>
      </c>
      <c r="E198" s="162" t="s">
        <v>297</v>
      </c>
      <c r="F198" s="162"/>
      <c r="G198" s="163">
        <v>44218</v>
      </c>
      <c r="H198" s="163">
        <v>46044</v>
      </c>
      <c r="I198" s="84" t="s">
        <v>238</v>
      </c>
      <c r="J198" s="164" t="s">
        <v>238</v>
      </c>
      <c r="K198" s="165" t="s">
        <v>108</v>
      </c>
      <c r="L198" s="228" t="s">
        <v>327</v>
      </c>
      <c r="M198" s="1" t="s">
        <v>313</v>
      </c>
      <c r="N198" s="167" t="s">
        <v>320</v>
      </c>
      <c r="O198" s="1" t="s">
        <v>415</v>
      </c>
      <c r="P198" s="230" t="s">
        <v>113</v>
      </c>
      <c r="Q198" s="84">
        <v>489</v>
      </c>
      <c r="R198" s="162" t="s">
        <v>415</v>
      </c>
      <c r="S198" s="162" t="s">
        <v>415</v>
      </c>
      <c r="T198" s="162" t="s">
        <v>415</v>
      </c>
      <c r="U198" s="168" t="s">
        <v>415</v>
      </c>
      <c r="V198" s="107">
        <f>SUM(Table24[[#This Row],[A1toA3_GWP]:[C1toC4_GWP]])</f>
        <v>75.664621676891556</v>
      </c>
      <c r="W198" s="107">
        <f>VLOOKUP(Table24[[#This Row],[Country PRODUCTION]],[2]Sheet1!$B$11:$F$30,4,FALSE)+Table24[[#This Row],[Total_GWP]]</f>
        <v>344.76462167689158</v>
      </c>
      <c r="X198" s="107">
        <f>VLOOKUP(Table24[[#This Row],[Country PRODUCTION]],[2]Sheet1!$B$11:$F$30,5,FALSE)+Table24[[#This Row],[Total_GWP]]</f>
        <v>103.26462167689155</v>
      </c>
      <c r="Y198" s="107">
        <f>Table24[[#This Row],[Total_GWP]]*Table24[[#This Row],[DENSITY]]/1000</f>
        <v>36.999999999999972</v>
      </c>
      <c r="Z198" s="129">
        <f>(-744)/Table24[[#This Row],[DENSITY]]*1000</f>
        <v>-1521.4723926380368</v>
      </c>
      <c r="AA198" s="72">
        <f>(781)/Table24[[#This Row],[DENSITY]]*1000</f>
        <v>1597.1370143149284</v>
      </c>
      <c r="AB198" s="77">
        <f>SUM(Table24[[#This Row],[A1toA3_GWP-biogenic]:[C1toC4_GWP-biogenic]])</f>
        <v>0</v>
      </c>
      <c r="AC198" s="77">
        <f>Table24[[#This Row],[GWP-biogenic]]*Table24[[#This Row],[DENSITY]]/1000</f>
        <v>0</v>
      </c>
      <c r="AD198" s="73">
        <f>(-773)/Table24[[#This Row],[DENSITY]]*1000</f>
        <v>-1580.7770961145193</v>
      </c>
      <c r="AE198" s="73">
        <f>(773)/Table24[[#This Row],[DENSITY]]*1000</f>
        <v>1580.7770961145193</v>
      </c>
      <c r="AF198" s="107"/>
      <c r="AG198" s="129"/>
      <c r="AH198" s="129"/>
      <c r="AI198" s="75"/>
      <c r="AJ198" s="385">
        <f ca="1">IF(OR($E198="Ecoinvent",$E198="Betonsortenrechner",$E198="KBOB",$V198&lt;=0,Table24[[#This Row],[VALID_TO]]&lt;=TODAY()),0,1)</f>
        <v>0</v>
      </c>
      <c r="AK198" s="199">
        <v>1</v>
      </c>
      <c r="AL198" s="199">
        <f ca="1">IF(AND(Table24[[#This Row],[ValidEPD]]&lt;&gt;0,Table24[[#This Row],[Man_Ausschluss]]&lt;&gt;0),1,0)</f>
        <v>0</v>
      </c>
      <c r="AM198" s="17" cm="1">
        <f t="array" aca="1" ref="AM198" ca="1">IF(Table24[[#This Row],[gültig]]&lt;&gt;0,
IF(
OR(
V198=MIN(_xlfn._xlws.FILTER($V$2:$V$298,($P$2:$P$298=P198)*($N$2:$N$298=N198)*($AL$2:$AL$298&lt;&gt;0))),
V198=MAX(_xlfn._xlws.FILTER($V$2:$V$298,($P$2:$P$298=P198)*($N$2:$N$298=N198)*($AL$2:$AL$298&lt;&gt;0))),
ROWS(_xlfn._xlws.FILTER($V$2:$V$298,($P$2:$P$298=P198)*($N$2:$N$298=N198)*($AL$2:$AL$298&lt;&gt;0)))&lt;=2
),1,0),0)</f>
        <v>0</v>
      </c>
      <c r="AN198" s="138"/>
      <c r="AO198" s="1" t="s">
        <v>406</v>
      </c>
      <c r="AP198" s="1"/>
    </row>
    <row r="199" spans="1:42" x14ac:dyDescent="0.2">
      <c r="A199" s="161" t="s">
        <v>300</v>
      </c>
      <c r="B199" s="9"/>
      <c r="C199" s="96">
        <v>198</v>
      </c>
      <c r="D199" s="9" t="s">
        <v>298</v>
      </c>
      <c r="E199" s="162" t="s">
        <v>278</v>
      </c>
      <c r="F199" s="162"/>
      <c r="G199" s="163">
        <v>44158</v>
      </c>
      <c r="H199" s="163">
        <v>45984</v>
      </c>
      <c r="I199" s="163" t="s">
        <v>293</v>
      </c>
      <c r="J199" s="227" t="s">
        <v>293</v>
      </c>
      <c r="K199" s="165" t="s">
        <v>108</v>
      </c>
      <c r="L199" s="228" t="s">
        <v>327</v>
      </c>
      <c r="M199" s="1" t="s">
        <v>313</v>
      </c>
      <c r="N199" s="167" t="s">
        <v>320</v>
      </c>
      <c r="O199" s="1" t="s">
        <v>415</v>
      </c>
      <c r="P199" s="84" t="s">
        <v>113</v>
      </c>
      <c r="Q199" s="84">
        <v>508</v>
      </c>
      <c r="R199" s="162" t="s">
        <v>415</v>
      </c>
      <c r="S199" s="162" t="s">
        <v>415</v>
      </c>
      <c r="T199" s="162" t="s">
        <v>415</v>
      </c>
      <c r="U199" s="168" t="s">
        <v>415</v>
      </c>
      <c r="V199" s="107">
        <f>SUM(Table24[[#This Row],[A1toA3_GWP]:[C1toC4_GWP]])</f>
        <v>140.68897637795249</v>
      </c>
      <c r="W199" s="107">
        <f>VLOOKUP(Table24[[#This Row],[Country PRODUCTION]],[2]Sheet1!$B$11:$F$30,4,FALSE)+Table24[[#This Row],[Total_GWP]]</f>
        <v>374.68897637795249</v>
      </c>
      <c r="X199" s="107">
        <f>VLOOKUP(Table24[[#This Row],[Country PRODUCTION]],[2]Sheet1!$B$11:$F$30,5,FALSE)+Table24[[#This Row],[Total_GWP]]</f>
        <v>164.68897637795249</v>
      </c>
      <c r="Y199" s="107">
        <f>Table24[[#This Row],[Total_GWP]]*Table24[[#This Row],[DENSITY]]/1000</f>
        <v>71.469999999999871</v>
      </c>
      <c r="Z199" s="129">
        <f>(-738)/Table24[[#This Row],[DENSITY]]*1000</f>
        <v>-1452.7559055118111</v>
      </c>
      <c r="AA199" s="72">
        <f>(5.43+804+0.04)/Table24[[#This Row],[DENSITY]]*1000</f>
        <v>1593.4448818897636</v>
      </c>
      <c r="AB199" s="77">
        <f>SUM(Table24[[#This Row],[A1toA3_GWP-biogenic]:[C1toC4_GWP-biogenic]])</f>
        <v>-3.9370078740157624</v>
      </c>
      <c r="AC199" s="77">
        <f>Table24[[#This Row],[GWP-biogenic]]*Table24[[#This Row],[DENSITY]]/1000</f>
        <v>-2.0000000000000071</v>
      </c>
      <c r="AD199" s="73">
        <f>(-800)/Table24[[#This Row],[DENSITY]]*1000</f>
        <v>-1574.8031496062993</v>
      </c>
      <c r="AE199" s="75">
        <f>(798)/Table24[[#This Row],[DENSITY]]*1000</f>
        <v>1570.8661417322835</v>
      </c>
      <c r="AF199" s="107"/>
      <c r="AG199" s="129"/>
      <c r="AH199" s="129"/>
      <c r="AI199" s="75"/>
      <c r="AJ199" s="385">
        <f ca="1">IF(OR($E199="Ecoinvent",$E199="Betonsortenrechner",$E199="KBOB",$V199&lt;=0,Table24[[#This Row],[VALID_TO]]&lt;=TODAY()),0,1)</f>
        <v>0</v>
      </c>
      <c r="AK199" s="199">
        <v>1</v>
      </c>
      <c r="AL199" s="199">
        <f ca="1">IF(AND(Table24[[#This Row],[ValidEPD]]&lt;&gt;0,Table24[[#This Row],[Man_Ausschluss]]&lt;&gt;0),1,0)</f>
        <v>0</v>
      </c>
      <c r="AM199" s="17" cm="1">
        <f t="array" aca="1" ref="AM199" ca="1">IF(Table24[[#This Row],[gültig]]&lt;&gt;0,
IF(
OR(
V199=MIN(_xlfn._xlws.FILTER($V$2:$V$298,($P$2:$P$298=P199)*($N$2:$N$298=N199)*($AL$2:$AL$298&lt;&gt;0))),
V199=MAX(_xlfn._xlws.FILTER($V$2:$V$298,($P$2:$P$298=P199)*($N$2:$N$298=N199)*($AL$2:$AL$298&lt;&gt;0))),
ROWS(_xlfn._xlws.FILTER($V$2:$V$298,($P$2:$P$298=P199)*($N$2:$N$298=N199)*($AL$2:$AL$298&lt;&gt;0)))&lt;=2
),1,0),0)</f>
        <v>0</v>
      </c>
      <c r="AN199" s="138"/>
      <c r="AO199" s="1" t="s">
        <v>405</v>
      </c>
      <c r="AP199" s="1"/>
    </row>
    <row r="200" spans="1:42" x14ac:dyDescent="0.2">
      <c r="A200" s="161" t="s">
        <v>301</v>
      </c>
      <c r="B200" s="9"/>
      <c r="C200" s="100">
        <v>199</v>
      </c>
      <c r="D200" s="9" t="s">
        <v>299</v>
      </c>
      <c r="E200" s="162" t="s">
        <v>302</v>
      </c>
      <c r="F200" s="162"/>
      <c r="G200" s="163">
        <v>44849</v>
      </c>
      <c r="H200" s="163">
        <v>46674</v>
      </c>
      <c r="I200" s="163" t="s">
        <v>65</v>
      </c>
      <c r="J200" s="227" t="s">
        <v>238</v>
      </c>
      <c r="K200" s="165" t="s">
        <v>108</v>
      </c>
      <c r="L200" s="228" t="s">
        <v>327</v>
      </c>
      <c r="M200" s="1" t="s">
        <v>313</v>
      </c>
      <c r="N200" s="167" t="s">
        <v>320</v>
      </c>
      <c r="O200" s="1" t="s">
        <v>415</v>
      </c>
      <c r="P200" s="84" t="s">
        <v>113</v>
      </c>
      <c r="Q200" s="84">
        <v>480</v>
      </c>
      <c r="R200" s="162" t="s">
        <v>415</v>
      </c>
      <c r="S200" s="162" t="s">
        <v>415</v>
      </c>
      <c r="T200" s="162" t="s">
        <v>415</v>
      </c>
      <c r="U200" s="168" t="s">
        <v>415</v>
      </c>
      <c r="V200" s="107">
        <f>SUM(Table24[[#This Row],[A1toA3_GWP]:[C1toC4_GWP]])</f>
        <v>108.33333333333303</v>
      </c>
      <c r="W200" s="107">
        <f>VLOOKUP(Table24[[#This Row],[Country PRODUCTION]],[2]Sheet1!$B$11:$F$30,4,FALSE)+Table24[[#This Row],[Total_GWP]]</f>
        <v>377.43333333333305</v>
      </c>
      <c r="X200" s="107">
        <f>VLOOKUP(Table24[[#This Row],[Country PRODUCTION]],[2]Sheet1!$B$11:$F$30,5,FALSE)+Table24[[#This Row],[Total_GWP]]</f>
        <v>135.93333333333302</v>
      </c>
      <c r="Y200" s="107">
        <f>Table24[[#This Row],[Total_GWP]]*Table24[[#This Row],[DENSITY]]/1000</f>
        <v>51.999999999999858</v>
      </c>
      <c r="Z200" s="129">
        <f>(-697)/Table24[[#This Row],[DENSITY]]*1000</f>
        <v>-1452.0833333333335</v>
      </c>
      <c r="AA200" s="72">
        <f>(0.42+2.58+746)/Table24[[#This Row],[DENSITY]]*1000</f>
        <v>1560.4166666666665</v>
      </c>
      <c r="AB200" s="77">
        <f>SUM(Table24[[#This Row],[A1toA3_GWP-biogenic]:[C1toC4_GWP-biogenic]])</f>
        <v>7.3312499998792191E-3</v>
      </c>
      <c r="AC200" s="77">
        <f>Table24[[#This Row],[GWP-biogenic]]*Table24[[#This Row],[DENSITY]]/1000</f>
        <v>3.5189999999420251E-3</v>
      </c>
      <c r="AD200" s="73">
        <f>(-746)/Table24[[#This Row],[DENSITY]]*1000</f>
        <v>-1554.1666666666667</v>
      </c>
      <c r="AE200" s="75">
        <f>(2.49*10^-4+3.27*10^-3+7.46*10^2)/Table24[[#This Row],[DENSITY]]*1000</f>
        <v>1554.1739979166666</v>
      </c>
      <c r="AF200" s="107"/>
      <c r="AG200" s="129"/>
      <c r="AH200" s="129"/>
      <c r="AI200" s="75"/>
      <c r="AJ200" s="385">
        <f ca="1">IF(OR($E200="Ecoinvent",$E200="Betonsortenrechner",$E200="KBOB",$V200&lt;=0,Table24[[#This Row],[VALID_TO]]&lt;=TODAY()),0,1)</f>
        <v>1</v>
      </c>
      <c r="AK200" s="199">
        <v>1</v>
      </c>
      <c r="AL200" s="199">
        <f ca="1">IF(AND(Table24[[#This Row],[ValidEPD]]&lt;&gt;0,Table24[[#This Row],[Man_Ausschluss]]&lt;&gt;0),1,0)</f>
        <v>1</v>
      </c>
      <c r="AM200" s="17" cm="1">
        <f t="array" aca="1" ref="AM200" ca="1">IF(Table24[[#This Row],[gültig]]&lt;&gt;0,
IF(
OR(
V200=MIN(_xlfn._xlws.FILTER($V$2:$V$298,($P$2:$P$298=P200)*($N$2:$N$298=N200)*($AL$2:$AL$298&lt;&gt;0))),
V200=MAX(_xlfn._xlws.FILTER($V$2:$V$298,($P$2:$P$298=P200)*($N$2:$N$298=N200)*($AL$2:$AL$298&lt;&gt;0))),
ROWS(_xlfn._xlws.FILTER($V$2:$V$298,($P$2:$P$298=P200)*($N$2:$N$298=N200)*($AL$2:$AL$298&lt;&gt;0)))&lt;=2
),1,0),0)</f>
        <v>0</v>
      </c>
      <c r="AN200" s="138"/>
      <c r="AO200" s="1" t="s">
        <v>408</v>
      </c>
      <c r="AP200" s="1"/>
    </row>
    <row r="201" spans="1:42" x14ac:dyDescent="0.2">
      <c r="A201" s="161" t="s">
        <v>305</v>
      </c>
      <c r="B201" s="9"/>
      <c r="C201" s="96">
        <v>200</v>
      </c>
      <c r="D201" s="9" t="s">
        <v>303</v>
      </c>
      <c r="E201" s="162" t="s">
        <v>304</v>
      </c>
      <c r="F201" s="162"/>
      <c r="G201" s="163">
        <v>44406</v>
      </c>
      <c r="H201" s="163">
        <v>46151</v>
      </c>
      <c r="I201" s="163" t="s">
        <v>240</v>
      </c>
      <c r="J201" s="227" t="s">
        <v>264</v>
      </c>
      <c r="K201" s="165" t="s">
        <v>108</v>
      </c>
      <c r="L201" s="228" t="s">
        <v>327</v>
      </c>
      <c r="M201" s="1" t="s">
        <v>313</v>
      </c>
      <c r="N201" s="167" t="s">
        <v>320</v>
      </c>
      <c r="O201" s="1" t="s">
        <v>415</v>
      </c>
      <c r="P201" s="84" t="s">
        <v>113</v>
      </c>
      <c r="Q201" s="84">
        <v>503</v>
      </c>
      <c r="R201" s="162" t="s">
        <v>415</v>
      </c>
      <c r="S201" s="162" t="s">
        <v>415</v>
      </c>
      <c r="T201" s="162" t="s">
        <v>415</v>
      </c>
      <c r="U201" s="168" t="s">
        <v>415</v>
      </c>
      <c r="V201" s="107">
        <f>SUM(Table24[[#This Row],[A1toA3_GWP]:[C1toC4_GWP]])</f>
        <v>221.63021868787291</v>
      </c>
      <c r="W201" s="107">
        <f>VLOOKUP(Table24[[#This Row],[Country PRODUCTION]],[2]Sheet1!$B$11:$F$30,4,FALSE)+Table24[[#This Row],[Total_GWP]]</f>
        <v>297.68021868787292</v>
      </c>
      <c r="X201" s="107">
        <f>VLOOKUP(Table24[[#This Row],[Country PRODUCTION]],[2]Sheet1!$B$11:$F$30,5,FALSE)+Table24[[#This Row],[Total_GWP]]</f>
        <v>229.43021868787292</v>
      </c>
      <c r="Y201" s="107">
        <f>Table24[[#This Row],[Total_GWP]]*Table24[[#This Row],[DENSITY]]/1000</f>
        <v>111.48000000000008</v>
      </c>
      <c r="Z201" s="129">
        <f>(-696)/Table24[[#This Row],[DENSITY]]*1000</f>
        <v>-1383.6978131212722</v>
      </c>
      <c r="AA201" s="72">
        <f>(1.48+806)/Table24[[#This Row],[DENSITY]]*1000</f>
        <v>1605.3280318091452</v>
      </c>
      <c r="AB201" s="77">
        <f>SUM(Table24[[#This Row],[A1toA3_GWP-biogenic]:[C1toC4_GWP-biogenic]])</f>
        <v>7.9474155069583503</v>
      </c>
      <c r="AC201" s="77">
        <f>Table24[[#This Row],[GWP-biogenic]]*Table24[[#This Row],[DENSITY]]/1000</f>
        <v>3.9975500000000501</v>
      </c>
      <c r="AD201" s="73">
        <f>(-798)/Table24[[#This Row],[DENSITY]]*1000</f>
        <v>-1586.4811133200797</v>
      </c>
      <c r="AE201" s="75">
        <f>(-2.45*10^-3+8.02*10^2)/Table24[[#This Row],[DENSITY]]*1000</f>
        <v>1594.428528827038</v>
      </c>
      <c r="AF201" s="107"/>
      <c r="AG201" s="129"/>
      <c r="AH201" s="129"/>
      <c r="AI201" s="75"/>
      <c r="AJ201" s="385">
        <f ca="1">IF(OR($E201="Ecoinvent",$E201="Betonsortenrechner",$E201="KBOB",$V201&lt;=0,Table24[[#This Row],[VALID_TO]]&lt;=TODAY()),0,1)</f>
        <v>0</v>
      </c>
      <c r="AK201" s="199">
        <v>1</v>
      </c>
      <c r="AL201" s="199">
        <f ca="1">IF(AND(Table24[[#This Row],[ValidEPD]]&lt;&gt;0,Table24[[#This Row],[Man_Ausschluss]]&lt;&gt;0),1,0)</f>
        <v>0</v>
      </c>
      <c r="AM201" s="17" cm="1">
        <f t="array" aca="1" ref="AM201" ca="1">IF(Table24[[#This Row],[gültig]]&lt;&gt;0,
IF(
OR(
V201=MIN(_xlfn._xlws.FILTER($V$2:$V$298,($P$2:$P$298=P201)*($N$2:$N$298=N201)*($AL$2:$AL$298&lt;&gt;0))),
V201=MAX(_xlfn._xlws.FILTER($V$2:$V$298,($P$2:$P$298=P201)*($N$2:$N$298=N201)*($AL$2:$AL$298&lt;&gt;0))),
ROWS(_xlfn._xlws.FILTER($V$2:$V$298,($P$2:$P$298=P201)*($N$2:$N$298=N201)*($AL$2:$AL$298&lt;&gt;0)))&lt;=2
),1,0),0)</f>
        <v>0</v>
      </c>
      <c r="AN201" s="138"/>
      <c r="AO201" s="1" t="s">
        <v>409</v>
      </c>
      <c r="AP201" s="1"/>
    </row>
    <row r="202" spans="1:42" x14ac:dyDescent="0.2">
      <c r="A202" s="161" t="s">
        <v>307</v>
      </c>
      <c r="B202" s="9"/>
      <c r="C202" s="100">
        <v>201</v>
      </c>
      <c r="D202" s="9" t="s">
        <v>306</v>
      </c>
      <c r="E202" s="162" t="s">
        <v>236</v>
      </c>
      <c r="F202" s="162"/>
      <c r="G202" s="163">
        <v>44237</v>
      </c>
      <c r="H202" s="163">
        <v>46064</v>
      </c>
      <c r="I202" s="163" t="s">
        <v>311</v>
      </c>
      <c r="J202" s="163" t="s">
        <v>610</v>
      </c>
      <c r="K202" s="165" t="s">
        <v>108</v>
      </c>
      <c r="L202" s="228" t="s">
        <v>327</v>
      </c>
      <c r="M202" s="1" t="s">
        <v>313</v>
      </c>
      <c r="N202" s="167" t="s">
        <v>320</v>
      </c>
      <c r="O202" s="1" t="s">
        <v>415</v>
      </c>
      <c r="P202" s="84" t="s">
        <v>113</v>
      </c>
      <c r="Q202" s="84">
        <v>426</v>
      </c>
      <c r="R202" s="162" t="s">
        <v>415</v>
      </c>
      <c r="S202" s="162" t="s">
        <v>415</v>
      </c>
      <c r="T202" s="162" t="s">
        <v>415</v>
      </c>
      <c r="U202" s="168" t="s">
        <v>415</v>
      </c>
      <c r="V202" s="107">
        <f>SUM(Table24[[#This Row],[A1toA3_GWP]:[C1toC4_GWP]])</f>
        <v>136.03289107981232</v>
      </c>
      <c r="W202" s="107">
        <f>VLOOKUP("AT",[2]Sheet1!$B$11:$F$30,4,FALSE)+Table24[[#This Row],[Total_GWP]]</f>
        <v>206.2328910798123</v>
      </c>
      <c r="X202" s="107">
        <f>VLOOKUP("AT",[2]Sheet1!$B$11:$F$30,5,FALSE)+Table24[[#This Row],[Total_GWP]]</f>
        <v>143.2328910798123</v>
      </c>
      <c r="Y202" s="107">
        <f>Table24[[#This Row],[Total_GWP]]*Table24[[#This Row],[DENSITY]]/1000</f>
        <v>57.950011600000046</v>
      </c>
      <c r="Z202" s="129">
        <f>(-698)/Table24[[#This Row],[DENSITY]]*1000</f>
        <v>-1638.4976525821596</v>
      </c>
      <c r="AA202" s="72">
        <f>(1.16*10^-5+1.95+754)/Table24[[#This Row],[DENSITY]]*1000</f>
        <v>1774.5305436619719</v>
      </c>
      <c r="AB202" s="77">
        <f>SUM(Table24[[#This Row],[A1toA3_GWP-biogenic]:[C1toC4_GWP-biogenic]])</f>
        <v>1.5962489201228891E-3</v>
      </c>
      <c r="AC202" s="77">
        <f>Table24[[#This Row],[GWP-biogenic]]*Table24[[#This Row],[DENSITY]]/1000</f>
        <v>6.8000203997235071E-4</v>
      </c>
      <c r="AD202" s="73">
        <f>(-733)/Table24[[#This Row],[DENSITY]]*1000</f>
        <v>-1720.6572769953052</v>
      </c>
      <c r="AE202" s="75">
        <f>(2.04*10^-9+6.8*10^-4+7.33*10^2)/Table24[[#This Row],[DENSITY]]*1000</f>
        <v>1720.6588732442253</v>
      </c>
      <c r="AF202" s="107"/>
      <c r="AG202" s="129"/>
      <c r="AH202" s="129"/>
      <c r="AI202" s="75"/>
      <c r="AJ202" s="385">
        <f ca="1">IF(OR($E202="Ecoinvent",$E202="Betonsortenrechner",$E202="KBOB",$V202&lt;=0,Table24[[#This Row],[VALID_TO]]&lt;=TODAY()),0,1)</f>
        <v>0</v>
      </c>
      <c r="AK202" s="199">
        <v>1</v>
      </c>
      <c r="AL202" s="199">
        <f ca="1">IF(AND(Table24[[#This Row],[ValidEPD]]&lt;&gt;0,Table24[[#This Row],[Man_Ausschluss]]&lt;&gt;0),1,0)</f>
        <v>0</v>
      </c>
      <c r="AM202" s="17" cm="1">
        <f t="array" aca="1" ref="AM202" ca="1">IF(Table24[[#This Row],[gültig]]&lt;&gt;0,
IF(
OR(
V202=MIN(_xlfn._xlws.FILTER($V$2:$V$298,($P$2:$P$298=P202)*($N$2:$N$298=N202)*($AL$2:$AL$298&lt;&gt;0))),
V202=MAX(_xlfn._xlws.FILTER($V$2:$V$298,($P$2:$P$298=P202)*($N$2:$N$298=N202)*($AL$2:$AL$298&lt;&gt;0))),
ROWS(_xlfn._xlws.FILTER($V$2:$V$298,($P$2:$P$298=P202)*($N$2:$N$298=N202)*($AL$2:$AL$298&lt;&gt;0)))&lt;=2
),1,0),0)</f>
        <v>0</v>
      </c>
      <c r="AN202" s="138"/>
      <c r="AO202" s="1" t="s">
        <v>410</v>
      </c>
      <c r="AP202" s="1" t="s">
        <v>412</v>
      </c>
    </row>
    <row r="203" spans="1:42" x14ac:dyDescent="0.2">
      <c r="A203" s="161" t="s">
        <v>308</v>
      </c>
      <c r="B203" s="9"/>
      <c r="C203" s="96">
        <v>202</v>
      </c>
      <c r="D203" s="9" t="s">
        <v>309</v>
      </c>
      <c r="E203" s="162" t="s">
        <v>310</v>
      </c>
      <c r="F203" s="162"/>
      <c r="G203" s="163">
        <v>44846</v>
      </c>
      <c r="H203" s="163">
        <v>46659</v>
      </c>
      <c r="I203" s="163" t="s">
        <v>311</v>
      </c>
      <c r="J203" s="227" t="s">
        <v>311</v>
      </c>
      <c r="K203" s="165" t="s">
        <v>108</v>
      </c>
      <c r="L203" s="228" t="s">
        <v>327</v>
      </c>
      <c r="M203" s="1" t="s">
        <v>313</v>
      </c>
      <c r="N203" s="167" t="s">
        <v>320</v>
      </c>
      <c r="O203" s="1" t="s">
        <v>415</v>
      </c>
      <c r="P203" s="84" t="s">
        <v>113</v>
      </c>
      <c r="Q203" s="84">
        <v>523</v>
      </c>
      <c r="R203" s="162" t="s">
        <v>415</v>
      </c>
      <c r="S203" s="162" t="s">
        <v>415</v>
      </c>
      <c r="T203" s="162" t="s">
        <v>415</v>
      </c>
      <c r="U203" s="168" t="s">
        <v>415</v>
      </c>
      <c r="V203" s="107">
        <f>SUM(Table24[[#This Row],[A1toA3_GWP]:[C1toC4_GWP]])</f>
        <v>105.68068833651978</v>
      </c>
      <c r="W203" s="107">
        <f>VLOOKUP(Table24[[#This Row],[Country PRODUCTION]],[2]Sheet1!$B$11:$F$30,4,FALSE)+Table24[[#This Row],[Total_GWP]]</f>
        <v>456.68068833651978</v>
      </c>
      <c r="X203" s="107">
        <f>VLOOKUP(Table24[[#This Row],[Country PRODUCTION]],[2]Sheet1!$B$11:$F$30,5,FALSE)+Table24[[#This Row],[Total_GWP]]</f>
        <v>141.68068833651978</v>
      </c>
      <c r="Y203" s="107">
        <f>Table24[[#This Row],[Total_GWP]]*Table24[[#This Row],[DENSITY]]/1000</f>
        <v>55.270999999999844</v>
      </c>
      <c r="Z203" s="129">
        <f>(-752)/Table24[[#This Row],[DENSITY]]*1000</f>
        <v>-1437.8585086042067</v>
      </c>
      <c r="AA203" s="72">
        <f>(0.341+6.93+800)/Table24[[#This Row],[DENSITY]]*1000</f>
        <v>1543.5391969407265</v>
      </c>
      <c r="AB203" s="77">
        <f>SUM(Table24[[#This Row],[A1toA3_GWP-biogenic]:[C1toC4_GWP-biogenic]])</f>
        <v>1.9601147227533602</v>
      </c>
      <c r="AC203" s="77">
        <f>Table24[[#This Row],[GWP-biogenic]]*Table24[[#This Row],[DENSITY]]/1000</f>
        <v>1.0251400000000073</v>
      </c>
      <c r="AD203" s="73">
        <f>(-786)/Table24[[#This Row],[DENSITY]]*1000</f>
        <v>-1502.8680688336519</v>
      </c>
      <c r="AE203" s="75">
        <f>(1.14*10^-3+2.4*10^-2+7.87*10^2)/Table24[[#This Row],[DENSITY]]*1000</f>
        <v>1504.8281835564053</v>
      </c>
      <c r="AF203" s="107"/>
      <c r="AG203" s="129"/>
      <c r="AH203" s="129"/>
      <c r="AI203" s="75"/>
      <c r="AJ203" s="385">
        <f ca="1">IF(OR($E203="Ecoinvent",$E203="Betonsortenrechner",$E203="KBOB",$V203&lt;=0,Table24[[#This Row],[VALID_TO]]&lt;=TODAY()),0,1)</f>
        <v>1</v>
      </c>
      <c r="AK203" s="199">
        <v>1</v>
      </c>
      <c r="AL203" s="199">
        <f ca="1">IF(AND(Table24[[#This Row],[ValidEPD]]&lt;&gt;0,Table24[[#This Row],[Man_Ausschluss]]&lt;&gt;0),1,0)</f>
        <v>1</v>
      </c>
      <c r="AM203" s="17" cm="1">
        <f t="array" aca="1" ref="AM203" ca="1">IF(Table24[[#This Row],[gültig]]&lt;&gt;0,
IF(
OR(
V203=MIN(_xlfn._xlws.FILTER($V$2:$V$298,($P$2:$P$298=P203)*($N$2:$N$298=N203)*($AL$2:$AL$298&lt;&gt;0))),
V203=MAX(_xlfn._xlws.FILTER($V$2:$V$298,($P$2:$P$298=P203)*($N$2:$N$298=N203)*($AL$2:$AL$298&lt;&gt;0))),
ROWS(_xlfn._xlws.FILTER($V$2:$V$298,($P$2:$P$298=P203)*($N$2:$N$298=N203)*($AL$2:$AL$298&lt;&gt;0)))&lt;=2
),1,0),0)</f>
        <v>1</v>
      </c>
      <c r="AN203" s="138"/>
      <c r="AO203" s="1" t="s">
        <v>414</v>
      </c>
      <c r="AP203" s="1" t="s">
        <v>413</v>
      </c>
    </row>
    <row r="204" spans="1:42" x14ac:dyDescent="0.2">
      <c r="A204" s="161" t="s">
        <v>452</v>
      </c>
      <c r="B204" s="9"/>
      <c r="C204" s="100">
        <v>203</v>
      </c>
      <c r="D204" s="9" t="s">
        <v>454</v>
      </c>
      <c r="E204" s="162" t="s">
        <v>455</v>
      </c>
      <c r="F204" s="162"/>
      <c r="G204" s="163">
        <v>44312</v>
      </c>
      <c r="H204" s="163">
        <v>46138</v>
      </c>
      <c r="I204" s="163" t="s">
        <v>238</v>
      </c>
      <c r="J204" s="227" t="s">
        <v>238</v>
      </c>
      <c r="K204" s="165" t="s">
        <v>98</v>
      </c>
      <c r="L204" s="228" t="s">
        <v>326</v>
      </c>
      <c r="M204" s="1" t="s">
        <v>313</v>
      </c>
      <c r="N204" s="167" t="s">
        <v>319</v>
      </c>
      <c r="O204" s="1" t="s">
        <v>415</v>
      </c>
      <c r="P204" s="84" t="s">
        <v>1</v>
      </c>
      <c r="Q204" s="84">
        <v>468</v>
      </c>
      <c r="R204" s="162" t="s">
        <v>415</v>
      </c>
      <c r="S204" s="162" t="s">
        <v>415</v>
      </c>
      <c r="T204" s="162" t="s">
        <v>415</v>
      </c>
      <c r="U204" s="168" t="s">
        <v>415</v>
      </c>
      <c r="V204" s="107">
        <f>SUM(Table24[[#This Row],[A1toA3_GWP]:[C1toC4_GWP]])</f>
        <v>80.555555555555657</v>
      </c>
      <c r="W204" s="107">
        <f>VLOOKUP(Table24[[#This Row],[Country PRODUCTION]],[2]Sheet1!$B$11:$F$30,4,FALSE)+Table24[[#This Row],[Total_GWP]]</f>
        <v>349.65555555555568</v>
      </c>
      <c r="X204" s="107">
        <f>VLOOKUP(Table24[[#This Row],[Country PRODUCTION]],[2]Sheet1!$B$11:$F$30,5,FALSE)+Table24[[#This Row],[Total_GWP]]</f>
        <v>108.15555555555565</v>
      </c>
      <c r="Y204" s="107">
        <f>Table24[[#This Row],[Total_GWP]]*Table24[[#This Row],[DENSITY]]/1000</f>
        <v>37.700000000000045</v>
      </c>
      <c r="Z204" s="129">
        <f>-726/Table24[[#This Row],[DENSITY]]*1000</f>
        <v>-1551.2820512820513</v>
      </c>
      <c r="AA204" s="72">
        <f>(0.8+4.9+758)/Table24[[#This Row],[DENSITY]]*1000</f>
        <v>1631.8376068376069</v>
      </c>
      <c r="AB204" s="77">
        <f>SUM(Table24[[#This Row],[A1toA3_GWP-biogenic]:[C1toC4_GWP-biogenic]])</f>
        <v>0</v>
      </c>
      <c r="AC204" s="77">
        <f>Table24[[#This Row],[GWP-biogenic]]*Table24[[#This Row],[DENSITY]]/1000</f>
        <v>0</v>
      </c>
      <c r="AD204" s="73">
        <f>(-758)/Table24[[#This Row],[DENSITY]]*1000</f>
        <v>-1619.6581196581196</v>
      </c>
      <c r="AE204" s="75">
        <f>(758)/Table24[[#This Row],[DENSITY]]*1000</f>
        <v>1619.6581196581196</v>
      </c>
      <c r="AF204" s="107"/>
      <c r="AG204" s="129"/>
      <c r="AH204" s="129"/>
      <c r="AI204" s="75"/>
      <c r="AJ204" s="385">
        <f ca="1">IF(OR($E204="Ecoinvent",$E204="Betonsortenrechner",$E204="KBOB",$V204&lt;=0,Table24[[#This Row],[VALID_TO]]&lt;=TODAY()),0,1)</f>
        <v>0</v>
      </c>
      <c r="AK204" s="199">
        <v>1</v>
      </c>
      <c r="AL204" s="199">
        <f ca="1">IF(AND(Table24[[#This Row],[ValidEPD]]&lt;&gt;0,Table24[[#This Row],[Man_Ausschluss]]&lt;&gt;0),1,0)</f>
        <v>0</v>
      </c>
      <c r="AM204" s="17" cm="1">
        <f t="array" aca="1" ref="AM204" ca="1">IF(Table24[[#This Row],[gültig]]&lt;&gt;0,
IF(
OR(
V204=MIN(_xlfn._xlws.FILTER($V$2:$V$298,($P$2:$P$298=P204)*($N$2:$N$298=N204)*($AL$2:$AL$298&lt;&gt;0))),
V204=MAX(_xlfn._xlws.FILTER($V$2:$V$298,($P$2:$P$298=P204)*($N$2:$N$298=N204)*($AL$2:$AL$298&lt;&gt;0))),
ROWS(_xlfn._xlws.FILTER($V$2:$V$298,($P$2:$P$298=P204)*($N$2:$N$298=N204)*($AL$2:$AL$298&lt;&gt;0)))&lt;=2
),1,0),0)</f>
        <v>0</v>
      </c>
      <c r="AN204" s="138"/>
      <c r="AO204" s="1" t="s">
        <v>453</v>
      </c>
      <c r="AP204" s="1"/>
    </row>
    <row r="205" spans="1:42" x14ac:dyDescent="0.2">
      <c r="A205" s="135" t="s">
        <v>561</v>
      </c>
      <c r="B205" s="9"/>
      <c r="C205" s="101">
        <v>204</v>
      </c>
      <c r="D205" s="102" t="s">
        <v>563</v>
      </c>
      <c r="E205" s="169" t="s">
        <v>564</v>
      </c>
      <c r="F205" s="169"/>
      <c r="G205" s="170">
        <v>45278</v>
      </c>
      <c r="H205" s="170">
        <v>47104</v>
      </c>
      <c r="I205" s="170" t="s">
        <v>264</v>
      </c>
      <c r="J205" s="249" t="s">
        <v>264</v>
      </c>
      <c r="K205" s="171" t="s">
        <v>565</v>
      </c>
      <c r="L205" s="228" t="s">
        <v>611</v>
      </c>
      <c r="M205" s="104" t="s">
        <v>313</v>
      </c>
      <c r="N205" s="167" t="s">
        <v>566</v>
      </c>
      <c r="O205" s="169" t="s">
        <v>415</v>
      </c>
      <c r="P205" s="104" t="s">
        <v>567</v>
      </c>
      <c r="Q205" s="104">
        <v>800</v>
      </c>
      <c r="R205" s="169" t="s">
        <v>415</v>
      </c>
      <c r="S205" s="169" t="s">
        <v>415</v>
      </c>
      <c r="T205" s="169" t="s">
        <v>415</v>
      </c>
      <c r="U205" s="172" t="s">
        <v>415</v>
      </c>
      <c r="V205" s="250">
        <f>SUM(Table24[[#This Row],[A1toA3_GWP]:[C1toC4_GWP]])</f>
        <v>338.66375000000016</v>
      </c>
      <c r="W205" s="250">
        <f>VLOOKUP(Table24[[#This Row],[Country PRODUCTION]],[2]Sheet1!$B$11:$F$30,4,FALSE)+Table24[[#This Row],[Total_GWP]]</f>
        <v>414.71375000000018</v>
      </c>
      <c r="X205" s="250">
        <f>VLOOKUP(Table24[[#This Row],[Country PRODUCTION]],[2]Sheet1!$B$11:$F$30,5,FALSE)+Table24[[#This Row],[Total_GWP]]</f>
        <v>346.46375000000018</v>
      </c>
      <c r="Y205" s="250">
        <f>Table24[[#This Row],[Total_GWP]]*Table24[[#This Row],[DENSITY]]/1000</f>
        <v>270.9310000000001</v>
      </c>
      <c r="Z205" s="239">
        <f>(-1.23*10^3+3*10^1+1.2*10^2)/Table24[[#This Row],[DENSITY]]*1000</f>
        <v>-1350</v>
      </c>
      <c r="AA205" s="103">
        <f>(9.31*10^-1+1.35*10^3)/Table24[[#This Row],[DENSITY]]*1000</f>
        <v>1688.6637500000002</v>
      </c>
      <c r="AB205" s="73">
        <f>SUM(Table24[[#This Row],[A1toA3_GWP-biogenic]:[C1toC4_GWP-biogenic]])</f>
        <v>-11.987499999999955</v>
      </c>
      <c r="AC205" s="73">
        <f>Table24[[#This Row],[GWP-biogenic]]*Table24[[#This Row],[DENSITY]]/1000</f>
        <v>-9.5899999999999643</v>
      </c>
      <c r="AD205" s="73">
        <f>(-1.34*10^3-9.59)/Table24[[#This Row],[DENSITY]]*1000</f>
        <v>-1686.9875</v>
      </c>
      <c r="AE205" s="75">
        <f>(1.34*10^3)/Table24[[#This Row],[DENSITY]]*1000</f>
        <v>1675</v>
      </c>
      <c r="AF205" s="107"/>
      <c r="AG205" s="129"/>
      <c r="AH205" s="129"/>
      <c r="AI205" s="75"/>
      <c r="AJ205" s="385">
        <f ca="1">IF(OR($E205="Ecoinvent",$E205="Betonsortenrechner",$E205="KBOB",$V205&lt;=0,Table24[[#This Row],[VALID_TO]]&lt;=TODAY()),0,1)</f>
        <v>1</v>
      </c>
      <c r="AK205" s="199">
        <v>1</v>
      </c>
      <c r="AL205" s="199">
        <f ca="1">IF(AND(Table24[[#This Row],[ValidEPD]]&lt;&gt;0,Table24[[#This Row],[Man_Ausschluss]]&lt;&gt;0),1,0)</f>
        <v>1</v>
      </c>
      <c r="AM205" s="17" cm="1">
        <f t="array" aca="1" ref="AM205" ca="1">IF(Table24[[#This Row],[gültig]]&lt;&gt;0,
IF(
OR(
V205=MIN(_xlfn._xlws.FILTER($V$2:$V$298,($P$2:$P$298=P205)*($N$2:$N$298=N205)*($AL$2:$AL$298&lt;&gt;0))),
V205=MAX(_xlfn._xlws.FILTER($V$2:$V$298,($P$2:$P$298=P205)*($N$2:$N$298=N205)*($AL$2:$AL$298&lt;&gt;0))),
ROWS(_xlfn._xlws.FILTER($V$2:$V$298,($P$2:$P$298=P205)*($N$2:$N$298=N205)*($AL$2:$AL$298&lt;&gt;0)))&lt;=2
),1,0),0)</f>
        <v>1</v>
      </c>
      <c r="AN205" s="138"/>
      <c r="AO205" s="102"/>
      <c r="AP205" s="1"/>
    </row>
    <row r="206" spans="1:42" x14ac:dyDescent="0.2">
      <c r="A206" s="135" t="s">
        <v>562</v>
      </c>
      <c r="B206" s="9" t="s">
        <v>502</v>
      </c>
      <c r="C206" s="101">
        <v>205</v>
      </c>
      <c r="D206" s="102" t="s">
        <v>568</v>
      </c>
      <c r="E206" s="169" t="s">
        <v>570</v>
      </c>
      <c r="F206" s="169"/>
      <c r="G206" s="170">
        <v>44525</v>
      </c>
      <c r="H206" s="170">
        <v>46350</v>
      </c>
      <c r="I206" s="163" t="s">
        <v>264</v>
      </c>
      <c r="J206" s="227" t="s">
        <v>264</v>
      </c>
      <c r="K206" s="165" t="s">
        <v>571</v>
      </c>
      <c r="L206" s="228" t="s">
        <v>611</v>
      </c>
      <c r="M206" s="104" t="s">
        <v>313</v>
      </c>
      <c r="N206" s="167" t="s">
        <v>566</v>
      </c>
      <c r="O206" s="169" t="s">
        <v>415</v>
      </c>
      <c r="P206" s="84" t="s">
        <v>572</v>
      </c>
      <c r="Q206" s="84">
        <f>AVERAGE(350,850)</f>
        <v>600</v>
      </c>
      <c r="R206" s="169" t="s">
        <v>415</v>
      </c>
      <c r="S206" s="169" t="s">
        <v>415</v>
      </c>
      <c r="T206" s="169" t="s">
        <v>415</v>
      </c>
      <c r="U206" s="172" t="s">
        <v>415</v>
      </c>
      <c r="V206" s="250">
        <f>SUM(Table24[[#This Row],[A1toA3_GWP]:[C1toC4_GWP]])</f>
        <v>601.01666666666642</v>
      </c>
      <c r="W206" s="250">
        <f>VLOOKUP(Table24[[#This Row],[Country PRODUCTION]],[2]Sheet1!$B$11:$F$30,4,FALSE)+Table24[[#This Row],[Total_GWP]]</f>
        <v>677.06666666666638</v>
      </c>
      <c r="X206" s="250">
        <f>VLOOKUP(Table24[[#This Row],[Country PRODUCTION]],[2]Sheet1!$B$11:$F$30,5,FALSE)+Table24[[#This Row],[Total_GWP]]</f>
        <v>608.81666666666638</v>
      </c>
      <c r="Y206" s="250">
        <f>Table24[[#This Row],[Total_GWP]]*Table24[[#This Row],[DENSITY]]/1000</f>
        <v>360.6099999999999</v>
      </c>
      <c r="Z206" s="250">
        <f>(-1.14*10^3+2.23*10^1+2.16*10^2)/Table24[[#This Row],[DENSITY]]*1000</f>
        <v>-1502.8333333333335</v>
      </c>
      <c r="AA206" s="103">
        <f>(2.31*10^0+1.26*10^3)/Table24[[#This Row],[DENSITY]]*1000</f>
        <v>2103.85</v>
      </c>
      <c r="AB206" s="73"/>
      <c r="AC206" s="73"/>
      <c r="AD206" s="73"/>
      <c r="AE206" s="75"/>
      <c r="AF206" s="107"/>
      <c r="AG206" s="129"/>
      <c r="AH206" s="129"/>
      <c r="AI206" s="75"/>
      <c r="AJ206" s="385">
        <f ca="1">IF(OR($E206="Ecoinvent",$E206="Betonsortenrechner",$E206="KBOB",$V206&lt;=0,Table24[[#This Row],[VALID_TO]]&lt;=TODAY()),0,1)</f>
        <v>1</v>
      </c>
      <c r="AK206" s="199">
        <v>1</v>
      </c>
      <c r="AL206" s="199">
        <f ca="1">IF(AND(Table24[[#This Row],[ValidEPD]]&lt;&gt;0,Table24[[#This Row],[Man_Ausschluss]]&lt;&gt;0),1,0)</f>
        <v>1</v>
      </c>
      <c r="AM206" s="17" cm="1">
        <f t="array" aca="1" ref="AM206" ca="1">IF(Table24[[#This Row],[gültig]]&lt;&gt;0,
IF(
OR(
V206=MIN(_xlfn._xlws.FILTER($V$2:$V$298,($P$2:$P$298=P206)*($N$2:$N$298=N206)*($AL$2:$AL$298&lt;&gt;0))),
V206=MAX(_xlfn._xlws.FILTER($V$2:$V$298,($P$2:$P$298=P206)*($N$2:$N$298=N206)*($AL$2:$AL$298&lt;&gt;0))),
ROWS(_xlfn._xlws.FILTER($V$2:$V$298,($P$2:$P$298=P206)*($N$2:$N$298=N206)*($AL$2:$AL$298&lt;&gt;0)))&lt;=2
),1,0),0)</f>
        <v>1</v>
      </c>
      <c r="AN206" s="138"/>
      <c r="AO206" s="102"/>
      <c r="AP206" s="1"/>
    </row>
    <row r="207" spans="1:42" x14ac:dyDescent="0.2">
      <c r="A207" s="135" t="s">
        <v>562</v>
      </c>
      <c r="B207" s="9" t="s">
        <v>518</v>
      </c>
      <c r="C207" s="100">
        <v>206</v>
      </c>
      <c r="D207" s="102" t="s">
        <v>568</v>
      </c>
      <c r="E207" s="169" t="s">
        <v>570</v>
      </c>
      <c r="F207" s="169"/>
      <c r="G207" s="170">
        <v>44525</v>
      </c>
      <c r="H207" s="170">
        <v>46350</v>
      </c>
      <c r="I207" s="163" t="s">
        <v>264</v>
      </c>
      <c r="J207" s="227" t="s">
        <v>264</v>
      </c>
      <c r="K207" s="165" t="s">
        <v>571</v>
      </c>
      <c r="L207" s="228" t="s">
        <v>611</v>
      </c>
      <c r="M207" s="104" t="s">
        <v>313</v>
      </c>
      <c r="N207" s="167" t="s">
        <v>566</v>
      </c>
      <c r="O207" s="169" t="s">
        <v>415</v>
      </c>
      <c r="P207" s="84" t="s">
        <v>567</v>
      </c>
      <c r="Q207" s="84">
        <f>AVERAGE(350,850)</f>
        <v>600</v>
      </c>
      <c r="R207" s="169" t="s">
        <v>415</v>
      </c>
      <c r="S207" s="169" t="s">
        <v>415</v>
      </c>
      <c r="T207" s="169" t="s">
        <v>415</v>
      </c>
      <c r="U207" s="172" t="s">
        <v>415</v>
      </c>
      <c r="V207" s="250">
        <f>SUM(Table24[[#This Row],[A1toA3_GWP]:[C1toC4_GWP]])</f>
        <v>601.01666666666642</v>
      </c>
      <c r="W207" s="250">
        <f>VLOOKUP(Table24[[#This Row],[Country PRODUCTION]],[2]Sheet1!$B$11:$F$30,4,FALSE)+Table24[[#This Row],[Total_GWP]]</f>
        <v>677.06666666666638</v>
      </c>
      <c r="X207" s="250">
        <f>VLOOKUP(Table24[[#This Row],[Country PRODUCTION]],[2]Sheet1!$B$11:$F$30,5,FALSE)+Table24[[#This Row],[Total_GWP]]</f>
        <v>608.81666666666638</v>
      </c>
      <c r="Y207" s="250">
        <f>Table24[[#This Row],[Total_GWP]]*Table24[[#This Row],[DENSITY]]/1000</f>
        <v>360.6099999999999</v>
      </c>
      <c r="Z207" s="250">
        <f>(-1.14*10^3+2.23*10^1+2.16*10^2)/Table24[[#This Row],[DENSITY]]*1000</f>
        <v>-1502.8333333333335</v>
      </c>
      <c r="AA207" s="103">
        <f>(2.31*10^0+1.26*10^3)/Table24[[#This Row],[DENSITY]]*1000</f>
        <v>2103.85</v>
      </c>
      <c r="AB207" s="73"/>
      <c r="AC207" s="73"/>
      <c r="AD207" s="73"/>
      <c r="AE207" s="75"/>
      <c r="AF207" s="107"/>
      <c r="AG207" s="129"/>
      <c r="AH207" s="129"/>
      <c r="AI207" s="75"/>
      <c r="AJ207" s="385">
        <f ca="1">IF(OR($E207="Ecoinvent",$E207="Betonsortenrechner",$E207="KBOB",$V207&lt;=0,Table24[[#This Row],[VALID_TO]]&lt;=TODAY()),0,1)</f>
        <v>1</v>
      </c>
      <c r="AK207" s="199">
        <v>1</v>
      </c>
      <c r="AL207" s="199">
        <f ca="1">IF(AND(Table24[[#This Row],[ValidEPD]]&lt;&gt;0,Table24[[#This Row],[Man_Ausschluss]]&lt;&gt;0),1,0)</f>
        <v>1</v>
      </c>
      <c r="AM207" s="17" cm="1">
        <f t="array" aca="1" ref="AM207" ca="1">IF(Table24[[#This Row],[gültig]]&lt;&gt;0,
IF(
OR(
V207=MIN(_xlfn._xlws.FILTER($V$2:$V$298,($P$2:$P$298=P207)*($N$2:$N$298=N207)*($AL$2:$AL$298&lt;&gt;0))),
V207=MAX(_xlfn._xlws.FILTER($V$2:$V$298,($P$2:$P$298=P207)*($N$2:$N$298=N207)*($AL$2:$AL$298&lt;&gt;0))),
ROWS(_xlfn._xlws.FILTER($V$2:$V$298,($P$2:$P$298=P207)*($N$2:$N$298=N207)*($AL$2:$AL$298&lt;&gt;0)))&lt;=2
),1,0),0)</f>
        <v>1</v>
      </c>
      <c r="AN207" s="138"/>
      <c r="AO207" s="102"/>
      <c r="AP207" s="1"/>
    </row>
    <row r="208" spans="1:42" x14ac:dyDescent="0.2">
      <c r="A208" s="135" t="s">
        <v>569</v>
      </c>
      <c r="B208" s="9"/>
      <c r="C208" s="101">
        <v>207</v>
      </c>
      <c r="D208" s="102" t="s">
        <v>620</v>
      </c>
      <c r="E208" s="169" t="s">
        <v>621</v>
      </c>
      <c r="F208" s="169"/>
      <c r="G208" s="170">
        <v>44582</v>
      </c>
      <c r="H208" s="170">
        <v>46408</v>
      </c>
      <c r="I208" s="170" t="s">
        <v>311</v>
      </c>
      <c r="J208" s="227" t="s">
        <v>311</v>
      </c>
      <c r="K208" s="171" t="s">
        <v>622</v>
      </c>
      <c r="L208" s="228" t="s">
        <v>611</v>
      </c>
      <c r="M208" s="104" t="s">
        <v>313</v>
      </c>
      <c r="N208" s="167" t="s">
        <v>566</v>
      </c>
      <c r="O208" s="169" t="s">
        <v>415</v>
      </c>
      <c r="P208" s="104"/>
      <c r="Q208" s="104"/>
      <c r="R208" s="169"/>
      <c r="S208" s="169"/>
      <c r="T208" s="169"/>
      <c r="U208" s="172"/>
      <c r="V208" s="250"/>
      <c r="W208" s="255">
        <f>VLOOKUP(Table24[[#This Row],[Country PRODUCTION]],[2]Sheet1!$B$11:$F$30,4,FALSE)+Table24[[#This Row],[Total_GWP]]</f>
        <v>351</v>
      </c>
      <c r="X208" s="255">
        <f>VLOOKUP(Table24[[#This Row],[Country PRODUCTION]],[2]Sheet1!$B$11:$F$30,5,FALSE)+Table24[[#This Row],[Total_GWP]]</f>
        <v>36</v>
      </c>
      <c r="Y208" s="73"/>
      <c r="Z208" s="239">
        <f>119+10.9+238</f>
        <v>367.9</v>
      </c>
      <c r="AA208" s="103">
        <f>51.1+26+2.64+12.6</f>
        <v>92.339999999999989</v>
      </c>
      <c r="AB208" s="73"/>
      <c r="AC208" s="73"/>
      <c r="AD208" s="73"/>
      <c r="AE208" s="75"/>
      <c r="AF208" s="107"/>
      <c r="AG208" s="129"/>
      <c r="AH208" s="129"/>
      <c r="AI208" s="75"/>
      <c r="AJ208" s="385">
        <f ca="1">IF(OR($E208="Ecoinvent",$E208="Betonsortenrechner",$E208="KBOB",$V208&lt;=0,Table24[[#This Row],[VALID_TO]]&lt;=TODAY()),0,1)</f>
        <v>0</v>
      </c>
      <c r="AK208" s="199">
        <v>1</v>
      </c>
      <c r="AL208" s="199">
        <f ca="1">IF(AND(Table24[[#This Row],[ValidEPD]]&lt;&gt;0,Table24[[#This Row],[Man_Ausschluss]]&lt;&gt;0),1,0)</f>
        <v>0</v>
      </c>
      <c r="AM208" s="17" cm="1">
        <f t="array" aca="1" ref="AM208" ca="1">IF(Table24[[#This Row],[gültig]]&lt;&gt;0,
IF(
OR(
V208=MIN(_xlfn._xlws.FILTER($V$2:$V$298,($P$2:$P$298=P208)*($N$2:$N$298=N208)*($AL$2:$AL$298&lt;&gt;0))),
V208=MAX(_xlfn._xlws.FILTER($V$2:$V$298,($P$2:$P$298=P208)*($N$2:$N$298=N208)*($AL$2:$AL$298&lt;&gt;0))),
ROWS(_xlfn._xlws.FILTER($V$2:$V$298,($P$2:$P$298=P208)*($N$2:$N$298=N208)*($AL$2:$AL$298&lt;&gt;0)))&lt;=2
),1,0),0)</f>
        <v>0</v>
      </c>
      <c r="AN208" s="138"/>
      <c r="AO208" s="102"/>
      <c r="AP208" s="1"/>
    </row>
    <row r="209" spans="1:42" x14ac:dyDescent="0.2">
      <c r="A209" s="135" t="s">
        <v>574</v>
      </c>
      <c r="B209" s="9" t="s">
        <v>502</v>
      </c>
      <c r="C209" s="101">
        <v>208</v>
      </c>
      <c r="D209" s="251" t="s">
        <v>573</v>
      </c>
      <c r="E209" s="169" t="s">
        <v>104</v>
      </c>
      <c r="F209" s="169"/>
      <c r="G209" s="170">
        <v>45104</v>
      </c>
      <c r="H209" s="170">
        <v>46930</v>
      </c>
      <c r="I209" s="163" t="s">
        <v>292</v>
      </c>
      <c r="J209" s="227" t="s">
        <v>240</v>
      </c>
      <c r="K209" s="171" t="s">
        <v>576</v>
      </c>
      <c r="L209" s="252" t="s">
        <v>577</v>
      </c>
      <c r="M209" s="253" t="s">
        <v>313</v>
      </c>
      <c r="N209" s="254" t="s">
        <v>578</v>
      </c>
      <c r="O209" s="102" t="s">
        <v>415</v>
      </c>
      <c r="P209" s="104" t="s">
        <v>394</v>
      </c>
      <c r="Q209" s="104">
        <f>AVERAGE(350,520)</f>
        <v>435</v>
      </c>
      <c r="R209" s="169" t="s">
        <v>415</v>
      </c>
      <c r="S209" s="169" t="s">
        <v>415</v>
      </c>
      <c r="T209" s="169" t="s">
        <v>415</v>
      </c>
      <c r="U209" s="172" t="s">
        <v>415</v>
      </c>
      <c r="V209" s="255">
        <f>SUM(Table24[[#This Row],[A1toA3_GWP]:[C1toC4_GWP]])</f>
        <v>83.793103448276042</v>
      </c>
      <c r="W209" s="255">
        <f>VLOOKUP(Table24[[#This Row],[Country PRODUCTION]],[2]Sheet1!$B$11:$F$30,4,FALSE)+Table24[[#This Row],[Total_GWP]]</f>
        <v>153.99310344827603</v>
      </c>
      <c r="X209" s="255">
        <f>VLOOKUP(Table24[[#This Row],[Country PRODUCTION]],[2]Sheet1!$B$11:$F$30,5,FALSE)+Table24[[#This Row],[Total_GWP]]</f>
        <v>90.993103448276045</v>
      </c>
      <c r="Y209" s="255">
        <f>Table24[[#This Row],[Total_GWP]]*Table24[[#This Row],[DENSITY]]/1000</f>
        <v>36.450000000000081</v>
      </c>
      <c r="Z209" s="256">
        <f>(-7.27*10^2)/Table24[[#This Row],[DENSITY]]*1000</f>
        <v>-1671.2643678160919</v>
      </c>
      <c r="AA209" s="103">
        <f>(1.45*10^0+7.62*10^2)/Table24[[#This Row],[DENSITY]]*1000</f>
        <v>1755.0574712643679</v>
      </c>
      <c r="AB209" s="73">
        <f>SUM(Table24[[#This Row],[A1toA3_GWP-biogenic]:[C1toC4_GWP-biogenic]])</f>
        <v>4.7360919540230952</v>
      </c>
      <c r="AC209" s="73">
        <f>Table24[[#This Row],[GWP-biogenic]]*Table24[[#This Row],[DENSITY]]/1000</f>
        <v>2.0602000000000462</v>
      </c>
      <c r="AD209" s="73">
        <f>(-756)/Table24[[#This Row],[DENSITY]]*1000</f>
        <v>-1737.9310344827586</v>
      </c>
      <c r="AE209" s="75">
        <f>(6.02*10^-2+758)/Table24[[#This Row],[DENSITY]]*1000</f>
        <v>1742.6671264367817</v>
      </c>
      <c r="AF209" s="107"/>
      <c r="AG209" s="129"/>
      <c r="AH209" s="129"/>
      <c r="AI209" s="75"/>
      <c r="AJ209" s="385">
        <f ca="1">IF(OR($E209="Ecoinvent",$E209="Betonsortenrechner",$E209="KBOB",$V209&lt;=0,Table24[[#This Row],[VALID_TO]]&lt;=TODAY()),0,1)</f>
        <v>1</v>
      </c>
      <c r="AK209" s="199">
        <v>1</v>
      </c>
      <c r="AL209" s="199">
        <f ca="1">IF(AND(Table24[[#This Row],[ValidEPD]]&lt;&gt;0,Table24[[#This Row],[Man_Ausschluss]]&lt;&gt;0),1,0)</f>
        <v>1</v>
      </c>
      <c r="AM209" s="17" cm="1">
        <f t="array" aca="1" ref="AM209" ca="1">IF(Table24[[#This Row],[gültig]]&lt;&gt;0,
IF(
OR(
V209=MIN(_xlfn._xlws.FILTER($V$2:$V$298,($P$2:$P$298=P209)*($N$2:$N$298=N209)*($AL$2:$AL$298&lt;&gt;0))),
V209=MAX(_xlfn._xlws.FILTER($V$2:$V$298,($P$2:$P$298=P209)*($N$2:$N$298=N209)*($AL$2:$AL$298&lt;&gt;0))),
ROWS(_xlfn._xlws.FILTER($V$2:$V$298,($P$2:$P$298=P209)*($N$2:$N$298=N209)*($AL$2:$AL$298&lt;&gt;0)))&lt;=2
),1,0),0)</f>
        <v>1</v>
      </c>
      <c r="AN209" s="138"/>
      <c r="AO209" s="102"/>
      <c r="AP209" s="1"/>
    </row>
    <row r="210" spans="1:42" x14ac:dyDescent="0.2">
      <c r="A210" s="135" t="s">
        <v>574</v>
      </c>
      <c r="B210" s="9" t="s">
        <v>518</v>
      </c>
      <c r="C210" s="100">
        <v>209</v>
      </c>
      <c r="D210" s="102" t="s">
        <v>573</v>
      </c>
      <c r="E210" s="169" t="s">
        <v>104</v>
      </c>
      <c r="F210" s="169"/>
      <c r="G210" s="170">
        <v>45104</v>
      </c>
      <c r="H210" s="170">
        <v>46930</v>
      </c>
      <c r="I210" s="163" t="s">
        <v>292</v>
      </c>
      <c r="J210" s="227" t="s">
        <v>240</v>
      </c>
      <c r="K210" s="171" t="s">
        <v>576</v>
      </c>
      <c r="L210" s="252" t="s">
        <v>577</v>
      </c>
      <c r="M210" s="253" t="s">
        <v>313</v>
      </c>
      <c r="N210" s="254" t="s">
        <v>578</v>
      </c>
      <c r="O210" s="102" t="s">
        <v>415</v>
      </c>
      <c r="P210" s="84" t="s">
        <v>534</v>
      </c>
      <c r="Q210" s="104">
        <f>AVERAGE(350,520)</f>
        <v>435</v>
      </c>
      <c r="R210" s="169" t="s">
        <v>415</v>
      </c>
      <c r="S210" s="169" t="s">
        <v>415</v>
      </c>
      <c r="T210" s="169" t="s">
        <v>415</v>
      </c>
      <c r="U210" s="172" t="s">
        <v>415</v>
      </c>
      <c r="V210" s="255">
        <f>SUM(Table24[[#This Row],[A1toA3_GWP]:[C1toC4_GWP]])</f>
        <v>83.793103448276042</v>
      </c>
      <c r="W210" s="255">
        <f>VLOOKUP(Table24[[#This Row],[Country PRODUCTION]],[2]Sheet1!$B$11:$F$30,4,FALSE)+Table24[[#This Row],[Total_GWP]]</f>
        <v>153.99310344827603</v>
      </c>
      <c r="X210" s="255">
        <f>VLOOKUP(Table24[[#This Row],[Country PRODUCTION]],[2]Sheet1!$B$11:$F$30,5,FALSE)+Table24[[#This Row],[Total_GWP]]</f>
        <v>90.993103448276045</v>
      </c>
      <c r="Y210" s="255">
        <f>Table24[[#This Row],[Total_GWP]]*Table24[[#This Row],[DENSITY]]/1000</f>
        <v>36.450000000000081</v>
      </c>
      <c r="Z210" s="256">
        <f>(-7.27*10^2)/Table24[[#This Row],[DENSITY]]*1000</f>
        <v>-1671.2643678160919</v>
      </c>
      <c r="AA210" s="103">
        <f>(1.45*10^0+7.62*10^2)/Table24[[#This Row],[DENSITY]]*1000</f>
        <v>1755.0574712643679</v>
      </c>
      <c r="AB210" s="73">
        <f>SUM(Table24[[#This Row],[A1toA3_GWP-biogenic]:[C1toC4_GWP-biogenic]])</f>
        <v>4.7360919540230952</v>
      </c>
      <c r="AC210" s="73">
        <f>Table24[[#This Row],[GWP-biogenic]]*Table24[[#This Row],[DENSITY]]/1000</f>
        <v>2.0602000000000462</v>
      </c>
      <c r="AD210" s="73">
        <f>(-756)/Table24[[#This Row],[DENSITY]]*1000</f>
        <v>-1737.9310344827586</v>
      </c>
      <c r="AE210" s="75">
        <f>(6.02*10^-2+758)/Table24[[#This Row],[DENSITY]]*1000</f>
        <v>1742.6671264367817</v>
      </c>
      <c r="AF210" s="107"/>
      <c r="AG210" s="129"/>
      <c r="AH210" s="129"/>
      <c r="AI210" s="75"/>
      <c r="AJ210" s="385">
        <f ca="1">IF(OR($E210="Ecoinvent",$E210="Betonsortenrechner",$E210="KBOB",$V210&lt;=0,Table24[[#This Row],[VALID_TO]]&lt;=TODAY()),0,1)</f>
        <v>1</v>
      </c>
      <c r="AK210" s="199">
        <v>1</v>
      </c>
      <c r="AL210" s="199">
        <f ca="1">IF(AND(Table24[[#This Row],[ValidEPD]]&lt;&gt;0,Table24[[#This Row],[Man_Ausschluss]]&lt;&gt;0),1,0)</f>
        <v>1</v>
      </c>
      <c r="AM210" s="17" cm="1">
        <f t="array" aca="1" ref="AM210" ca="1">IF(Table24[[#This Row],[gültig]]&lt;&gt;0,
IF(
OR(
V210=MIN(_xlfn._xlws.FILTER($V$2:$V$298,($P$2:$P$298=P210)*($N$2:$N$298=N210)*($AL$2:$AL$298&lt;&gt;0))),
V210=MAX(_xlfn._xlws.FILTER($V$2:$V$298,($P$2:$P$298=P210)*($N$2:$N$298=N210)*($AL$2:$AL$298&lt;&gt;0))),
ROWS(_xlfn._xlws.FILTER($V$2:$V$298,($P$2:$P$298=P210)*($N$2:$N$298=N210)*($AL$2:$AL$298&lt;&gt;0)))&lt;=2
),1,0),0)</f>
        <v>1</v>
      </c>
      <c r="AN210" s="138"/>
      <c r="AO210" s="102"/>
      <c r="AP210" s="1"/>
    </row>
    <row r="211" spans="1:42" x14ac:dyDescent="0.2">
      <c r="A211" s="161" t="s">
        <v>575</v>
      </c>
      <c r="B211" s="9"/>
      <c r="C211" s="101">
        <v>210</v>
      </c>
      <c r="D211" s="102" t="s">
        <v>579</v>
      </c>
      <c r="E211" s="169" t="s">
        <v>104</v>
      </c>
      <c r="F211" s="169"/>
      <c r="G211" s="170">
        <v>45104</v>
      </c>
      <c r="H211" s="170">
        <v>46930</v>
      </c>
      <c r="I211" s="163" t="s">
        <v>292</v>
      </c>
      <c r="J211" s="227" t="s">
        <v>292</v>
      </c>
      <c r="K211" s="165" t="s">
        <v>112</v>
      </c>
      <c r="L211" s="228" t="s">
        <v>490</v>
      </c>
      <c r="M211" s="257" t="s">
        <v>313</v>
      </c>
      <c r="N211" s="167" t="s">
        <v>494</v>
      </c>
      <c r="O211" s="102" t="s">
        <v>415</v>
      </c>
      <c r="P211" s="84" t="s">
        <v>529</v>
      </c>
      <c r="Q211" s="104">
        <v>420</v>
      </c>
      <c r="R211" s="169" t="s">
        <v>415</v>
      </c>
      <c r="S211" s="169" t="s">
        <v>415</v>
      </c>
      <c r="T211" s="169" t="s">
        <v>415</v>
      </c>
      <c r="U211" s="172" t="s">
        <v>415</v>
      </c>
      <c r="V211" s="255">
        <f>SUM(Table24[[#This Row],[A1toA3_GWP]:[C1toC4_GWP]])</f>
        <v>332.04761904761904</v>
      </c>
      <c r="W211" s="255">
        <f>VLOOKUP(Table24[[#This Row],[Country PRODUCTION]],[2]Sheet1!$B$11:$F$30,4,FALSE)+Table24[[#This Row],[Total_GWP]]</f>
        <v>425.64761904761906</v>
      </c>
      <c r="X211" s="255">
        <f>VLOOKUP(Table24[[#This Row],[Country PRODUCTION]],[2]Sheet1!$B$11:$F$30,5,FALSE)+Table24[[#This Row],[Total_GWP]]</f>
        <v>341.64761904761906</v>
      </c>
      <c r="Y211" s="255">
        <f>Table24[[#This Row],[Total_GWP]]*Table24[[#This Row],[DENSITY]]/1000</f>
        <v>139.46</v>
      </c>
      <c r="Z211" s="256">
        <f>(-6.24*10^2)/Table24[[#This Row],[DENSITY]]*1000</f>
        <v>-1485.7142857142858</v>
      </c>
      <c r="AA211" s="103">
        <f>(1.46*10^0+7.62*10^2)/Table24[[#This Row],[DENSITY]]*1000</f>
        <v>1817.7619047619048</v>
      </c>
      <c r="AB211" s="73">
        <f>SUM(Table24[[#This Row],[A1toA3_GWP-biogenic]:[C1toC4_GWP-biogenic]])</f>
        <v>7.286904761904907</v>
      </c>
      <c r="AC211" s="73">
        <f>Table24[[#This Row],[GWP-biogenic]]*Table24[[#This Row],[DENSITY]]/1000</f>
        <v>3.0605000000000611</v>
      </c>
      <c r="AD211" s="73">
        <f>(-756)/Table24[[#This Row],[DENSITY]]*1000</f>
        <v>-1800</v>
      </c>
      <c r="AE211" s="75">
        <f>(6.05*10^-2+759)/Table24[[#This Row],[DENSITY]]*1000</f>
        <v>1807.2869047619049</v>
      </c>
      <c r="AF211" s="107"/>
      <c r="AG211" s="129"/>
      <c r="AH211" s="129"/>
      <c r="AI211" s="75"/>
      <c r="AJ211" s="385">
        <f ca="1">IF(OR($E211="Ecoinvent",$E211="Betonsortenrechner",$E211="KBOB",$V211&lt;=0,Table24[[#This Row],[VALID_TO]]&lt;=TODAY()),0,1)</f>
        <v>1</v>
      </c>
      <c r="AK211" s="199">
        <v>1</v>
      </c>
      <c r="AL211" s="199">
        <f ca="1">IF(AND(Table24[[#This Row],[ValidEPD]]&lt;&gt;0,Table24[[#This Row],[Man_Ausschluss]]&lt;&gt;0),1,0)</f>
        <v>1</v>
      </c>
      <c r="AM211" s="17" cm="1">
        <f t="array" aca="1" ref="AM211" ca="1">IF(Table24[[#This Row],[gültig]]&lt;&gt;0,
IF(
OR(
V211=MIN(_xlfn._xlws.FILTER($V$2:$V$298,($P$2:$P$298=P211)*($N$2:$N$298=N211)*($AL$2:$AL$298&lt;&gt;0))),
V211=MAX(_xlfn._xlws.FILTER($V$2:$V$298,($P$2:$P$298=P211)*($N$2:$N$298=N211)*($AL$2:$AL$298&lt;&gt;0))),
ROWS(_xlfn._xlws.FILTER($V$2:$V$298,($P$2:$P$298=P211)*($N$2:$N$298=N211)*($AL$2:$AL$298&lt;&gt;0)))&lt;=2
),1,0),0)</f>
        <v>1</v>
      </c>
      <c r="AN211" s="138"/>
      <c r="AO211" s="102"/>
      <c r="AP211" s="1"/>
    </row>
    <row r="212" spans="1:42" x14ac:dyDescent="0.2">
      <c r="A212" s="161" t="s">
        <v>580</v>
      </c>
      <c r="B212" s="9"/>
      <c r="C212" s="101">
        <v>211</v>
      </c>
      <c r="D212" s="102" t="s">
        <v>581</v>
      </c>
      <c r="E212" s="169" t="s">
        <v>104</v>
      </c>
      <c r="F212" s="169"/>
      <c r="G212" s="170">
        <v>45104</v>
      </c>
      <c r="H212" s="170">
        <v>46930</v>
      </c>
      <c r="I212" s="163" t="s">
        <v>292</v>
      </c>
      <c r="J212" s="227" t="s">
        <v>292</v>
      </c>
      <c r="K212" s="165" t="s">
        <v>108</v>
      </c>
      <c r="L212" s="228" t="s">
        <v>327</v>
      </c>
      <c r="M212" s="257" t="s">
        <v>313</v>
      </c>
      <c r="N212" s="167" t="s">
        <v>320</v>
      </c>
      <c r="O212" s="102" t="s">
        <v>415</v>
      </c>
      <c r="P212" s="84" t="s">
        <v>113</v>
      </c>
      <c r="Q212" s="104">
        <v>420</v>
      </c>
      <c r="R212" s="169" t="s">
        <v>415</v>
      </c>
      <c r="S212" s="169" t="s">
        <v>415</v>
      </c>
      <c r="T212" s="169" t="s">
        <v>415</v>
      </c>
      <c r="U212" s="172" t="s">
        <v>415</v>
      </c>
      <c r="V212" s="255">
        <f>SUM(Table24[[#This Row],[A1toA3_GWP]:[C1toC4_GWP]])</f>
        <v>186.83333333333348</v>
      </c>
      <c r="W212" s="255">
        <f>VLOOKUP(Table24[[#This Row],[Country PRODUCTION]],[2]Sheet1!$B$11:$F$30,4,FALSE)+Table24[[#This Row],[Total_GWP]]</f>
        <v>280.43333333333351</v>
      </c>
      <c r="X212" s="255">
        <f>VLOOKUP(Table24[[#This Row],[Country PRODUCTION]],[2]Sheet1!$B$11:$F$30,5,FALSE)+Table24[[#This Row],[Total_GWP]]</f>
        <v>196.43333333333348</v>
      </c>
      <c r="Y212" s="255">
        <f>Table24[[#This Row],[Total_GWP]]*Table24[[#This Row],[DENSITY]]/1000</f>
        <v>78.470000000000056</v>
      </c>
      <c r="Z212" s="256">
        <f>(-7.07*10^2)/Table24[[#This Row],[DENSITY]]*1000</f>
        <v>-1683.3333333333333</v>
      </c>
      <c r="AA212" s="103">
        <f>(1.47*10^0+7.84*10^2)/Table24[[#This Row],[DENSITY]]*1000</f>
        <v>1870.1666666666667</v>
      </c>
      <c r="AB212" s="73">
        <f>SUM(Table24[[#This Row],[A1toA3_GWP-biogenic]:[C1toC4_GWP-biogenic]])</f>
        <v>12.049999999999727</v>
      </c>
      <c r="AC212" s="73">
        <f>Table24[[#This Row],[GWP-biogenic]]*Table24[[#This Row],[DENSITY]]/1000</f>
        <v>5.0609999999998854</v>
      </c>
      <c r="AD212" s="73">
        <f>(-775)/Table24[[#This Row],[DENSITY]]*1000</f>
        <v>-1845.2380952380954</v>
      </c>
      <c r="AE212" s="75">
        <f>(6.1*10^-2+780)/Table24[[#This Row],[DENSITY]]*1000</f>
        <v>1857.2880952380951</v>
      </c>
      <c r="AF212" s="107"/>
      <c r="AG212" s="129"/>
      <c r="AH212" s="129"/>
      <c r="AI212" s="75"/>
      <c r="AJ212" s="385">
        <f ca="1">IF(OR($E212="Ecoinvent",$E212="Betonsortenrechner",$E212="KBOB",$V212&lt;=0,Table24[[#This Row],[VALID_TO]]&lt;=TODAY()),0,1)</f>
        <v>1</v>
      </c>
      <c r="AK212" s="199">
        <v>1</v>
      </c>
      <c r="AL212" s="199">
        <f ca="1">IF(AND(Table24[[#This Row],[ValidEPD]]&lt;&gt;0,Table24[[#This Row],[Man_Ausschluss]]&lt;&gt;0),1,0)</f>
        <v>1</v>
      </c>
      <c r="AM212" s="17" cm="1">
        <f t="array" aca="1" ref="AM212" ca="1">IF(Table24[[#This Row],[gültig]]&lt;&gt;0,
IF(
OR(
V212=MIN(_xlfn._xlws.FILTER($V$2:$V$298,($P$2:$P$298=P212)*($N$2:$N$298=N212)*($AL$2:$AL$298&lt;&gt;0))),
V212=MAX(_xlfn._xlws.FILTER($V$2:$V$298,($P$2:$P$298=P212)*($N$2:$N$298=N212)*($AL$2:$AL$298&lt;&gt;0))),
ROWS(_xlfn._xlws.FILTER($V$2:$V$298,($P$2:$P$298=P212)*($N$2:$N$298=N212)*($AL$2:$AL$298&lt;&gt;0)))&lt;=2
),1,0),0)</f>
        <v>1</v>
      </c>
      <c r="AN212" s="138"/>
      <c r="AO212" s="102"/>
      <c r="AP212" s="1"/>
    </row>
    <row r="213" spans="1:42" x14ac:dyDescent="0.2">
      <c r="A213" s="161" t="s">
        <v>583</v>
      </c>
      <c r="B213" s="9" t="s">
        <v>502</v>
      </c>
      <c r="C213" s="100">
        <v>212</v>
      </c>
      <c r="D213" s="1" t="s">
        <v>582</v>
      </c>
      <c r="E213" s="162" t="s">
        <v>584</v>
      </c>
      <c r="F213" s="162"/>
      <c r="G213" s="163">
        <v>45861</v>
      </c>
      <c r="H213" s="163">
        <v>47686</v>
      </c>
      <c r="I213" s="163" t="s">
        <v>240</v>
      </c>
      <c r="J213" s="227" t="s">
        <v>240</v>
      </c>
      <c r="K213" s="165" t="s">
        <v>98</v>
      </c>
      <c r="L213" s="228" t="s">
        <v>326</v>
      </c>
      <c r="M213" s="257" t="s">
        <v>313</v>
      </c>
      <c r="N213" s="167" t="s">
        <v>319</v>
      </c>
      <c r="O213" s="102" t="s">
        <v>415</v>
      </c>
      <c r="P213" s="84" t="s">
        <v>1</v>
      </c>
      <c r="Q213" s="84">
        <v>450</v>
      </c>
      <c r="R213" s="169" t="s">
        <v>415</v>
      </c>
      <c r="S213" s="169" t="s">
        <v>415</v>
      </c>
      <c r="T213" s="169" t="s">
        <v>415</v>
      </c>
      <c r="U213" s="172" t="s">
        <v>415</v>
      </c>
      <c r="V213" s="73">
        <f>SUM(Table24[[#This Row],[A1toA3_GWP]:[C1toC4_GWP]])</f>
        <v>246.08888888888896</v>
      </c>
      <c r="W213" s="73">
        <f>VLOOKUP(Table24[[#This Row],[Country PRODUCTION]],[2]Sheet1!$B$11:$F$30,4,FALSE)+Table24[[#This Row],[Total_GWP]]</f>
        <v>316.28888888888895</v>
      </c>
      <c r="X213" s="73">
        <f>VLOOKUP(Table24[[#This Row],[Country PRODUCTION]],[2]Sheet1!$B$11:$F$30,5,FALSE)+Table24[[#This Row],[Total_GWP]]</f>
        <v>253.28888888888895</v>
      </c>
      <c r="Y213" s="73">
        <f>Table24[[#This Row],[Total_GWP]]*Table24[[#This Row],[DENSITY]]/1000</f>
        <v>110.74000000000002</v>
      </c>
      <c r="Z213" s="107">
        <f>(-6.26*10^2)/Table24[[#This Row],[DENSITY]]*1000</f>
        <v>-1391.1111111111111</v>
      </c>
      <c r="AA213" s="72">
        <f>(1.74*10^0+7.35*10^2)/Table24[[#This Row],[DENSITY]]*1000</f>
        <v>1637.2</v>
      </c>
      <c r="AB213" s="73">
        <f>SUM(Table24[[#This Row],[A1toA3_GWP-biogenic]:[C1toC4_GWP-biogenic]])</f>
        <v>6.6757111111112408</v>
      </c>
      <c r="AC213" s="73">
        <f>Table24[[#This Row],[GWP-biogenic]]*Table24[[#This Row],[DENSITY]]/1000</f>
        <v>3.0040700000000582</v>
      </c>
      <c r="AD213" s="73">
        <f>(-730)/Table24[[#This Row],[DENSITY]]*1000</f>
        <v>-1622.2222222222222</v>
      </c>
      <c r="AE213" s="75">
        <f>(4.07*10^-3+733)/Table24[[#This Row],[DENSITY]]*1000</f>
        <v>1628.8979333333334</v>
      </c>
      <c r="AF213" s="107"/>
      <c r="AG213" s="129"/>
      <c r="AH213" s="129"/>
      <c r="AI213" s="75"/>
      <c r="AJ213" s="385">
        <f ca="1">IF(OR($E213="Ecoinvent",$E213="Betonsortenrechner",$E213="KBOB",$V213&lt;=0,Table24[[#This Row],[VALID_TO]]&lt;=TODAY()),0,1)</f>
        <v>1</v>
      </c>
      <c r="AK213" s="199">
        <v>1</v>
      </c>
      <c r="AL213" s="199">
        <f ca="1">IF(AND(Table24[[#This Row],[ValidEPD]]&lt;&gt;0,Table24[[#This Row],[Man_Ausschluss]]&lt;&gt;0),1,0)</f>
        <v>1</v>
      </c>
      <c r="AM213" s="17" cm="1">
        <f t="array" aca="1" ref="AM213" ca="1">IF(Table24[[#This Row],[gültig]]&lt;&gt;0,
IF(
OR(
V213=MIN(_xlfn._xlws.FILTER($V$2:$V$298,($P$2:$P$298=P213)*($N$2:$N$298=N213)*($AL$2:$AL$298&lt;&gt;0))),
V213=MAX(_xlfn._xlws.FILTER($V$2:$V$298,($P$2:$P$298=P213)*($N$2:$N$298=N213)*($AL$2:$AL$298&lt;&gt;0))),
ROWS(_xlfn._xlws.FILTER($V$2:$V$298,($P$2:$P$298=P213)*($N$2:$N$298=N213)*($AL$2:$AL$298&lt;&gt;0)))&lt;=2
),1,0),0)</f>
        <v>0</v>
      </c>
      <c r="AN213" s="138"/>
      <c r="AO213" s="1"/>
      <c r="AP213" s="1"/>
    </row>
    <row r="214" spans="1:42" x14ac:dyDescent="0.2">
      <c r="A214" s="161" t="s">
        <v>583</v>
      </c>
      <c r="B214" s="9" t="s">
        <v>518</v>
      </c>
      <c r="C214" s="101">
        <v>213</v>
      </c>
      <c r="D214" s="1" t="s">
        <v>582</v>
      </c>
      <c r="E214" s="162" t="s">
        <v>584</v>
      </c>
      <c r="F214" s="162"/>
      <c r="G214" s="163">
        <v>45861</v>
      </c>
      <c r="H214" s="163">
        <v>47686</v>
      </c>
      <c r="I214" s="163" t="s">
        <v>240</v>
      </c>
      <c r="J214" s="227" t="s">
        <v>240</v>
      </c>
      <c r="K214" s="165" t="s">
        <v>98</v>
      </c>
      <c r="L214" s="228" t="s">
        <v>326</v>
      </c>
      <c r="M214" s="257" t="s">
        <v>313</v>
      </c>
      <c r="N214" s="167" t="s">
        <v>319</v>
      </c>
      <c r="O214" s="102" t="s">
        <v>415</v>
      </c>
      <c r="P214" s="84" t="s">
        <v>535</v>
      </c>
      <c r="Q214" s="84">
        <v>450</v>
      </c>
      <c r="R214" s="169" t="s">
        <v>415</v>
      </c>
      <c r="S214" s="169" t="s">
        <v>415</v>
      </c>
      <c r="T214" s="169" t="s">
        <v>415</v>
      </c>
      <c r="U214" s="172" t="s">
        <v>415</v>
      </c>
      <c r="V214" s="73">
        <f>SUM(Table24[[#This Row],[A1toA3_GWP]:[C1toC4_GWP]])</f>
        <v>246.08888888888896</v>
      </c>
      <c r="W214" s="73">
        <f>VLOOKUP(Table24[[#This Row],[Country PRODUCTION]],[2]Sheet1!$B$11:$F$30,4,FALSE)+Table24[[#This Row],[Total_GWP]]</f>
        <v>316.28888888888895</v>
      </c>
      <c r="X214" s="73">
        <f>VLOOKUP(Table24[[#This Row],[Country PRODUCTION]],[2]Sheet1!$B$11:$F$30,5,FALSE)+Table24[[#This Row],[Total_GWP]]</f>
        <v>253.28888888888895</v>
      </c>
      <c r="Y214" s="73">
        <f>Table24[[#This Row],[Total_GWP]]*Table24[[#This Row],[DENSITY]]/1000</f>
        <v>110.74000000000002</v>
      </c>
      <c r="Z214" s="107">
        <f>(-6.26*10^2)/Table24[[#This Row],[DENSITY]]*1000</f>
        <v>-1391.1111111111111</v>
      </c>
      <c r="AA214" s="72">
        <f>(1.74*10^0+7.35*10^2)/Table24[[#This Row],[DENSITY]]*1000</f>
        <v>1637.2</v>
      </c>
      <c r="AB214" s="73">
        <f>SUM(Table24[[#This Row],[A1toA3_GWP-biogenic]:[C1toC4_GWP-biogenic]])</f>
        <v>6.6757111111112408</v>
      </c>
      <c r="AC214" s="73">
        <f>Table24[[#This Row],[GWP-biogenic]]*Table24[[#This Row],[DENSITY]]/1000</f>
        <v>3.0040700000000582</v>
      </c>
      <c r="AD214" s="73">
        <f>(-730)/Table24[[#This Row],[DENSITY]]*1000</f>
        <v>-1622.2222222222222</v>
      </c>
      <c r="AE214" s="75">
        <f>(4.07*10^-3+733)/Table24[[#This Row],[DENSITY]]*1000</f>
        <v>1628.8979333333334</v>
      </c>
      <c r="AF214" s="107"/>
      <c r="AG214" s="129"/>
      <c r="AH214" s="129"/>
      <c r="AI214" s="75"/>
      <c r="AJ214" s="385">
        <f ca="1">IF(OR($E214="Ecoinvent",$E214="Betonsortenrechner",$E214="KBOB",$V214&lt;=0,Table24[[#This Row],[VALID_TO]]&lt;=TODAY()),0,1)</f>
        <v>1</v>
      </c>
      <c r="AK214" s="199">
        <v>1</v>
      </c>
      <c r="AL214" s="199">
        <f ca="1">IF(AND(Table24[[#This Row],[ValidEPD]]&lt;&gt;0,Table24[[#This Row],[Man_Ausschluss]]&lt;&gt;0),1,0)</f>
        <v>1</v>
      </c>
      <c r="AM214" s="17" cm="1">
        <f t="array" aca="1" ref="AM214" ca="1">IF(Table24[[#This Row],[gültig]]&lt;&gt;0,
IF(
OR(
V214=MIN(_xlfn._xlws.FILTER($V$2:$V$298,($P$2:$P$298=P214)*($N$2:$N$298=N214)*($AL$2:$AL$298&lt;&gt;0))),
V214=MAX(_xlfn._xlws.FILTER($V$2:$V$298,($P$2:$P$298=P214)*($N$2:$N$298=N214)*($AL$2:$AL$298&lt;&gt;0))),
ROWS(_xlfn._xlws.FILTER($V$2:$V$298,($P$2:$P$298=P214)*($N$2:$N$298=N214)*($AL$2:$AL$298&lt;&gt;0)))&lt;=2
),1,0),0)</f>
        <v>1</v>
      </c>
      <c r="AN214" s="138"/>
      <c r="AO214" s="1"/>
      <c r="AP214" s="1"/>
    </row>
    <row r="215" spans="1:42" x14ac:dyDescent="0.2">
      <c r="A215" s="161" t="s">
        <v>583</v>
      </c>
      <c r="B215" s="9" t="s">
        <v>519</v>
      </c>
      <c r="C215" s="101">
        <v>214</v>
      </c>
      <c r="D215" s="1" t="s">
        <v>582</v>
      </c>
      <c r="E215" s="162" t="s">
        <v>584</v>
      </c>
      <c r="F215" s="162"/>
      <c r="G215" s="163">
        <v>45861</v>
      </c>
      <c r="H215" s="163">
        <v>47686</v>
      </c>
      <c r="I215" s="163" t="s">
        <v>240</v>
      </c>
      <c r="J215" s="227" t="s">
        <v>240</v>
      </c>
      <c r="K215" s="165" t="s">
        <v>98</v>
      </c>
      <c r="L215" s="228" t="s">
        <v>326</v>
      </c>
      <c r="M215" s="257" t="s">
        <v>313</v>
      </c>
      <c r="N215" s="167" t="s">
        <v>319</v>
      </c>
      <c r="O215" s="102" t="s">
        <v>415</v>
      </c>
      <c r="P215" s="84" t="s">
        <v>522</v>
      </c>
      <c r="Q215" s="84">
        <v>450</v>
      </c>
      <c r="R215" s="169" t="s">
        <v>415</v>
      </c>
      <c r="S215" s="169" t="s">
        <v>415</v>
      </c>
      <c r="T215" s="169" t="s">
        <v>415</v>
      </c>
      <c r="U215" s="172" t="s">
        <v>415</v>
      </c>
      <c r="V215" s="73">
        <f>SUM(Table24[[#This Row],[A1toA3_GWP]:[C1toC4_GWP]])</f>
        <v>246.08888888888896</v>
      </c>
      <c r="W215" s="73">
        <f>VLOOKUP(Table24[[#This Row],[Country PRODUCTION]],[2]Sheet1!$B$11:$F$30,4,FALSE)+Table24[[#This Row],[Total_GWP]]</f>
        <v>316.28888888888895</v>
      </c>
      <c r="X215" s="73">
        <f>VLOOKUP(Table24[[#This Row],[Country PRODUCTION]],[2]Sheet1!$B$11:$F$30,5,FALSE)+Table24[[#This Row],[Total_GWP]]</f>
        <v>253.28888888888895</v>
      </c>
      <c r="Y215" s="73">
        <f>Table24[[#This Row],[Total_GWP]]*Table24[[#This Row],[DENSITY]]/1000</f>
        <v>110.74000000000002</v>
      </c>
      <c r="Z215" s="129">
        <f>(-6.26*10^2)/Table24[[#This Row],[DENSITY]]*1000</f>
        <v>-1391.1111111111111</v>
      </c>
      <c r="AA215" s="72">
        <f>(1.74*10^0+7.35*10^2)/Table24[[#This Row],[DENSITY]]*1000</f>
        <v>1637.2</v>
      </c>
      <c r="AB215" s="73">
        <f>SUM(Table24[[#This Row],[A1toA3_GWP-biogenic]:[C1toC4_GWP-biogenic]])</f>
        <v>6.6757111111112408</v>
      </c>
      <c r="AC215" s="73">
        <f>Table24[[#This Row],[GWP-biogenic]]*Table24[[#This Row],[DENSITY]]/1000</f>
        <v>3.0040700000000582</v>
      </c>
      <c r="AD215" s="73">
        <f>(-730)/Table24[[#This Row],[DENSITY]]*1000</f>
        <v>-1622.2222222222222</v>
      </c>
      <c r="AE215" s="75">
        <f>(4.07*10^-3+733)/Table24[[#This Row],[DENSITY]]*1000</f>
        <v>1628.8979333333334</v>
      </c>
      <c r="AF215" s="107"/>
      <c r="AG215" s="129"/>
      <c r="AH215" s="129"/>
      <c r="AI215" s="75"/>
      <c r="AJ215" s="385">
        <f ca="1">IF(OR($E215="Ecoinvent",$E215="Betonsortenrechner",$E215="KBOB",$V215&lt;=0,Table24[[#This Row],[VALID_TO]]&lt;=TODAY()),0,1)</f>
        <v>1</v>
      </c>
      <c r="AK215" s="199">
        <v>1</v>
      </c>
      <c r="AL215" s="199">
        <f ca="1">IF(AND(Table24[[#This Row],[ValidEPD]]&lt;&gt;0,Table24[[#This Row],[Man_Ausschluss]]&lt;&gt;0),1,0)</f>
        <v>1</v>
      </c>
      <c r="AM215" s="17" cm="1">
        <f t="array" aca="1" ref="AM215" ca="1">IF(Table24[[#This Row],[gültig]]&lt;&gt;0,
IF(
OR(
V215=MIN(_xlfn._xlws.FILTER($V$2:$V$298,($P$2:$P$298=P215)*($N$2:$N$298=N215)*($AL$2:$AL$298&lt;&gt;0))),
V215=MAX(_xlfn._xlws.FILTER($V$2:$V$298,($P$2:$P$298=P215)*($N$2:$N$298=N215)*($AL$2:$AL$298&lt;&gt;0))),
ROWS(_xlfn._xlws.FILTER($V$2:$V$298,($P$2:$P$298=P215)*($N$2:$N$298=N215)*($AL$2:$AL$298&lt;&gt;0)))&lt;=2
),1,0),0)</f>
        <v>0</v>
      </c>
      <c r="AN215" s="138"/>
      <c r="AO215" s="1"/>
      <c r="AP215" s="1"/>
    </row>
    <row r="216" spans="1:42" x14ac:dyDescent="0.2">
      <c r="A216" s="161" t="s">
        <v>583</v>
      </c>
      <c r="B216" s="9" t="s">
        <v>520</v>
      </c>
      <c r="C216" s="101">
        <v>215</v>
      </c>
      <c r="D216" s="1" t="s">
        <v>582</v>
      </c>
      <c r="E216" s="162" t="s">
        <v>584</v>
      </c>
      <c r="F216" s="162"/>
      <c r="G216" s="163">
        <v>45861</v>
      </c>
      <c r="H216" s="163">
        <v>47686</v>
      </c>
      <c r="I216" s="163" t="s">
        <v>240</v>
      </c>
      <c r="J216" s="227" t="s">
        <v>240</v>
      </c>
      <c r="K216" s="165" t="s">
        <v>98</v>
      </c>
      <c r="L216" s="228" t="s">
        <v>326</v>
      </c>
      <c r="M216" s="257" t="s">
        <v>313</v>
      </c>
      <c r="N216" s="167" t="s">
        <v>319</v>
      </c>
      <c r="O216" s="102" t="s">
        <v>415</v>
      </c>
      <c r="P216" s="84" t="s">
        <v>585</v>
      </c>
      <c r="Q216" s="84">
        <v>450</v>
      </c>
      <c r="R216" s="169" t="s">
        <v>415</v>
      </c>
      <c r="S216" s="169" t="s">
        <v>415</v>
      </c>
      <c r="T216" s="169" t="s">
        <v>415</v>
      </c>
      <c r="U216" s="172" t="s">
        <v>415</v>
      </c>
      <c r="V216" s="73">
        <f>SUM(Table24[[#This Row],[A1toA3_GWP]:[C1toC4_GWP]])</f>
        <v>246.08888888888896</v>
      </c>
      <c r="W216" s="73">
        <f>VLOOKUP(Table24[[#This Row],[Country PRODUCTION]],[2]Sheet1!$B$11:$F$30,4,FALSE)+Table24[[#This Row],[Total_GWP]]</f>
        <v>316.28888888888895</v>
      </c>
      <c r="X216" s="73">
        <f>VLOOKUP(Table24[[#This Row],[Country PRODUCTION]],[2]Sheet1!$B$11:$F$30,5,FALSE)+Table24[[#This Row],[Total_GWP]]</f>
        <v>253.28888888888895</v>
      </c>
      <c r="Y216" s="73">
        <f>Table24[[#This Row],[Total_GWP]]*Table24[[#This Row],[DENSITY]]/1000</f>
        <v>110.74000000000002</v>
      </c>
      <c r="Z216" s="129">
        <f>(-6.26*10^2)/Table24[[#This Row],[DENSITY]]*1000</f>
        <v>-1391.1111111111111</v>
      </c>
      <c r="AA216" s="72">
        <f>(1.74*10^0+7.35*10^2)/Table24[[#This Row],[DENSITY]]*1000</f>
        <v>1637.2</v>
      </c>
      <c r="AB216" s="73">
        <f>SUM(Table24[[#This Row],[A1toA3_GWP-biogenic]:[C1toC4_GWP-biogenic]])</f>
        <v>6.6757111111112408</v>
      </c>
      <c r="AC216" s="73">
        <f>Table24[[#This Row],[GWP-biogenic]]*Table24[[#This Row],[DENSITY]]/1000</f>
        <v>3.0040700000000582</v>
      </c>
      <c r="AD216" s="73">
        <f>(-730)/Table24[[#This Row],[DENSITY]]*1000</f>
        <v>-1622.2222222222222</v>
      </c>
      <c r="AE216" s="75">
        <f>(4.07*10^-3+733)/Table24[[#This Row],[DENSITY]]*1000</f>
        <v>1628.8979333333334</v>
      </c>
      <c r="AF216" s="107"/>
      <c r="AG216" s="129"/>
      <c r="AH216" s="129"/>
      <c r="AI216" s="75"/>
      <c r="AJ216" s="385">
        <f ca="1">IF(OR($E216="Ecoinvent",$E216="Betonsortenrechner",$E216="KBOB",$V216&lt;=0,Table24[[#This Row],[VALID_TO]]&lt;=TODAY()),0,1)</f>
        <v>1</v>
      </c>
      <c r="AK216" s="199">
        <v>1</v>
      </c>
      <c r="AL216" s="199">
        <f ca="1">IF(AND(Table24[[#This Row],[ValidEPD]]&lt;&gt;0,Table24[[#This Row],[Man_Ausschluss]]&lt;&gt;0),1,0)</f>
        <v>1</v>
      </c>
      <c r="AM216" s="17" cm="1">
        <f t="array" aca="1" ref="AM216" ca="1">IF(Table24[[#This Row],[gültig]]&lt;&gt;0,
IF(
OR(
V216=MIN(_xlfn._xlws.FILTER($V$2:$V$298,($P$2:$P$298=P216)*($N$2:$N$298=N216)*($AL$2:$AL$298&lt;&gt;0))),
V216=MAX(_xlfn._xlws.FILTER($V$2:$V$298,($P$2:$P$298=P216)*($N$2:$N$298=N216)*($AL$2:$AL$298&lt;&gt;0))),
ROWS(_xlfn._xlws.FILTER($V$2:$V$298,($P$2:$P$298=P216)*($N$2:$N$298=N216)*($AL$2:$AL$298&lt;&gt;0)))&lt;=2
),1,0),0)</f>
        <v>1</v>
      </c>
      <c r="AN216" s="138"/>
      <c r="AO216" s="1"/>
      <c r="AP216" s="1"/>
    </row>
    <row r="217" spans="1:42" x14ac:dyDescent="0.2">
      <c r="A217" s="161" t="s">
        <v>586</v>
      </c>
      <c r="B217" s="9"/>
      <c r="C217" s="100">
        <v>216</v>
      </c>
      <c r="D217" s="1" t="s">
        <v>587</v>
      </c>
      <c r="E217" s="162" t="s">
        <v>588</v>
      </c>
      <c r="F217" s="162"/>
      <c r="G217" s="163">
        <v>45391</v>
      </c>
      <c r="H217" s="163">
        <v>47216</v>
      </c>
      <c r="I217" s="163" t="s">
        <v>240</v>
      </c>
      <c r="J217" s="227" t="s">
        <v>240</v>
      </c>
      <c r="K217" s="165" t="s">
        <v>112</v>
      </c>
      <c r="L217" s="228" t="s">
        <v>490</v>
      </c>
      <c r="M217" s="257" t="s">
        <v>313</v>
      </c>
      <c r="N217" s="167" t="s">
        <v>494</v>
      </c>
      <c r="O217" s="102" t="s">
        <v>415</v>
      </c>
      <c r="P217" s="84" t="s">
        <v>113</v>
      </c>
      <c r="Q217" s="84">
        <v>420</v>
      </c>
      <c r="R217" s="169" t="s">
        <v>415</v>
      </c>
      <c r="S217" s="169" t="s">
        <v>415</v>
      </c>
      <c r="T217" s="169" t="s">
        <v>415</v>
      </c>
      <c r="U217" s="172" t="s">
        <v>415</v>
      </c>
      <c r="V217" s="73">
        <f>SUM(Table24[[#This Row],[A1toA3_GWP]:[C1toC4_GWP]])</f>
        <v>299.54761904761904</v>
      </c>
      <c r="W217" s="73">
        <f>VLOOKUP(Table24[[#This Row],[Country PRODUCTION]],[2]Sheet1!$B$11:$F$30,4,FALSE)+Table24[[#This Row],[Total_GWP]]</f>
        <v>369.74761904761903</v>
      </c>
      <c r="X217" s="73">
        <f>VLOOKUP(Table24[[#This Row],[Country PRODUCTION]],[2]Sheet1!$B$11:$F$30,5,FALSE)+Table24[[#This Row],[Total_GWP]]</f>
        <v>306.74761904761903</v>
      </c>
      <c r="Y217" s="73">
        <f>Table24[[#This Row],[Total_GWP]]*Table24[[#This Row],[DENSITY]]/1000</f>
        <v>125.81</v>
      </c>
      <c r="Z217" s="129">
        <f>(-6.42*10^2)/Table24[[#This Row],[DENSITY]]*1000</f>
        <v>-1528.5714285714284</v>
      </c>
      <c r="AA217" s="72">
        <f>(1.81*10^0+7.66*10^2)/Table24[[#This Row],[DENSITY]]*1000</f>
        <v>1828.1190476190475</v>
      </c>
      <c r="AB217" s="73">
        <f>SUM(Table24[[#This Row],[A1toA3_GWP-biogenic]:[C1toC4_GWP-biogenic]])</f>
        <v>7.3095238095238528</v>
      </c>
      <c r="AC217" s="73">
        <f>Table24[[#This Row],[GWP-biogenic]]*Table24[[#This Row],[DENSITY]]/1000</f>
        <v>3.070000000000018</v>
      </c>
      <c r="AD217" s="73">
        <f>(-760)/Table24[[#This Row],[DENSITY]]*1000</f>
        <v>-1809.5238095238096</v>
      </c>
      <c r="AE217" s="75">
        <f>(7*10^-2+763)/Table24[[#This Row],[DENSITY]]*1000</f>
        <v>1816.8333333333335</v>
      </c>
      <c r="AF217" s="107"/>
      <c r="AG217" s="129"/>
      <c r="AH217" s="129"/>
      <c r="AI217" s="75"/>
      <c r="AJ217" s="385">
        <f ca="1">IF(OR($E217="Ecoinvent",$E217="Betonsortenrechner",$E217="KBOB",$V217&lt;=0,Table24[[#This Row],[VALID_TO]]&lt;=TODAY()),0,1)</f>
        <v>1</v>
      </c>
      <c r="AK217" s="199">
        <v>1</v>
      </c>
      <c r="AL217" s="199">
        <f ca="1">IF(AND(Table24[[#This Row],[ValidEPD]]&lt;&gt;0,Table24[[#This Row],[Man_Ausschluss]]&lt;&gt;0),1,0)</f>
        <v>1</v>
      </c>
      <c r="AM217" s="17" cm="1">
        <f t="array" aca="1" ref="AM217" ca="1">IF(Table24[[#This Row],[gültig]]&lt;&gt;0,
IF(
OR(
V217=MIN(_xlfn._xlws.FILTER($V$2:$V$298,($P$2:$P$298=P217)*($N$2:$N$298=N217)*($AL$2:$AL$298&lt;&gt;0))),
V217=MAX(_xlfn._xlws.FILTER($V$2:$V$298,($P$2:$P$298=P217)*($N$2:$N$298=N217)*($AL$2:$AL$298&lt;&gt;0))),
ROWS(_xlfn._xlws.FILTER($V$2:$V$298,($P$2:$P$298=P217)*($N$2:$N$298=N217)*($AL$2:$AL$298&lt;&gt;0)))&lt;=2
),1,0),0)</f>
        <v>0</v>
      </c>
      <c r="AN217" s="138"/>
      <c r="AO217" s="1"/>
      <c r="AP217" s="1"/>
    </row>
    <row r="218" spans="1:42" x14ac:dyDescent="0.2">
      <c r="A218" s="161" t="s">
        <v>589</v>
      </c>
      <c r="B218" s="9" t="s">
        <v>502</v>
      </c>
      <c r="C218" s="101">
        <v>217</v>
      </c>
      <c r="D218" s="102" t="s">
        <v>590</v>
      </c>
      <c r="E218" s="169" t="s">
        <v>591</v>
      </c>
      <c r="F218" s="169"/>
      <c r="G218" s="170">
        <v>45849</v>
      </c>
      <c r="H218" s="170">
        <v>47674</v>
      </c>
      <c r="I218" s="163" t="s">
        <v>240</v>
      </c>
      <c r="J218" s="227" t="s">
        <v>240</v>
      </c>
      <c r="K218" s="165" t="s">
        <v>592</v>
      </c>
      <c r="L218" s="228" t="s">
        <v>490</v>
      </c>
      <c r="M218" s="257" t="s">
        <v>313</v>
      </c>
      <c r="N218" s="167" t="s">
        <v>494</v>
      </c>
      <c r="O218" s="102" t="s">
        <v>415</v>
      </c>
      <c r="P218" s="84" t="s">
        <v>394</v>
      </c>
      <c r="Q218" s="104">
        <v>493.3</v>
      </c>
      <c r="R218" s="169" t="s">
        <v>415</v>
      </c>
      <c r="S218" s="169" t="s">
        <v>415</v>
      </c>
      <c r="T218" s="169" t="s">
        <v>415</v>
      </c>
      <c r="U218" s="172" t="s">
        <v>415</v>
      </c>
      <c r="V218" s="255">
        <f>SUM(Table24[[#This Row],[A1toA3_GWP]:[C1toC4_GWP]])</f>
        <v>218.60936549766916</v>
      </c>
      <c r="W218" s="255">
        <f>VLOOKUP(Table24[[#This Row],[Country PRODUCTION]],[2]Sheet1!$B$11:$F$30,4,FALSE)+Table24[[#This Row],[Total_GWP]]</f>
        <v>288.80936549766915</v>
      </c>
      <c r="X218" s="255">
        <f>VLOOKUP(Table24[[#This Row],[Country PRODUCTION]],[2]Sheet1!$B$11:$F$30,5,FALSE)+Table24[[#This Row],[Total_GWP]]</f>
        <v>225.80936549766915</v>
      </c>
      <c r="Y218" s="255">
        <f>Table24[[#This Row],[Total_GWP]]*Table24[[#This Row],[DENSITY]]/1000</f>
        <v>107.8400000000002</v>
      </c>
      <c r="Z218" s="256">
        <f>(-7.19*10^2)/Table24[[#This Row],[DENSITY]]*1000</f>
        <v>-1457.530914250963</v>
      </c>
      <c r="AA218" s="103">
        <f>(3.2*10^-1+5.52*10^0+8.21*10^2)/Table24[[#This Row],[DENSITY]]*1000</f>
        <v>1676.1402797486321</v>
      </c>
      <c r="AB218" s="73">
        <f>SUM(Table24[[#This Row],[A1toA3_GWP-biogenic]:[C1toC4_GWP-biogenic]])</f>
        <v>0</v>
      </c>
      <c r="AC218" s="73">
        <f>Table24[[#This Row],[GWP-biogenic]]*Table24[[#This Row],[DENSITY]]/1000</f>
        <v>0</v>
      </c>
      <c r="AD218" s="73">
        <f>(-807)/Table24[[#This Row],[DENSITY]]*1000</f>
        <v>-1635.9213460368944</v>
      </c>
      <c r="AE218" s="75">
        <f>(807)/Table24[[#This Row],[DENSITY]]*1000</f>
        <v>1635.9213460368944</v>
      </c>
      <c r="AF218" s="107"/>
      <c r="AG218" s="129"/>
      <c r="AH218" s="129"/>
      <c r="AI218" s="75"/>
      <c r="AJ218" s="80">
        <f ca="1">IF(OR($E218="Ecoinvent",$E218="Betonsortenrechner",$E218="KBOB",$V218&lt;=0,Table24[[#This Row],[VALID_TO]]&lt;=TODAY()),0,1)</f>
        <v>1</v>
      </c>
      <c r="AK218" s="87">
        <v>1</v>
      </c>
      <c r="AL218" s="87">
        <f ca="1">IF(AND(Table24[[#This Row],[ValidEPD]]&lt;&gt;0,Table24[[#This Row],[Man_Ausschluss]]&lt;&gt;0),1,0)</f>
        <v>1</v>
      </c>
      <c r="AM218" s="17" cm="1">
        <f t="array" aca="1" ref="AM218" ca="1">IF(Table24[[#This Row],[gültig]]&lt;&gt;0,
IF(
OR(
V218=MIN(_xlfn._xlws.FILTER($V$2:$V$298,($P$2:$P$298=P218)*($N$2:$N$298=N218)*($AL$2:$AL$298&lt;&gt;0))),
V218=MAX(_xlfn._xlws.FILTER($V$2:$V$298,($P$2:$P$298=P218)*($N$2:$N$298=N218)*($AL$2:$AL$298&lt;&gt;0))),
ROWS(_xlfn._xlws.FILTER($V$2:$V$298,($P$2:$P$298=P218)*($N$2:$N$298=N218)*($AL$2:$AL$298&lt;&gt;0)))&lt;=2
),1,0),0)</f>
        <v>1</v>
      </c>
      <c r="AN218" s="56"/>
      <c r="AO218" s="102"/>
      <c r="AP218" s="1"/>
    </row>
    <row r="219" spans="1:42" x14ac:dyDescent="0.2">
      <c r="A219" s="161" t="s">
        <v>589</v>
      </c>
      <c r="B219" s="9" t="s">
        <v>518</v>
      </c>
      <c r="C219" s="101">
        <v>218</v>
      </c>
      <c r="D219" s="1" t="s">
        <v>590</v>
      </c>
      <c r="E219" s="162" t="s">
        <v>591</v>
      </c>
      <c r="F219" s="162"/>
      <c r="G219" s="163">
        <v>45849</v>
      </c>
      <c r="H219" s="163">
        <v>47674</v>
      </c>
      <c r="I219" s="163" t="s">
        <v>240</v>
      </c>
      <c r="J219" s="227" t="s">
        <v>240</v>
      </c>
      <c r="K219" s="165" t="s">
        <v>592</v>
      </c>
      <c r="L219" s="228" t="s">
        <v>490</v>
      </c>
      <c r="M219" s="257" t="s">
        <v>313</v>
      </c>
      <c r="N219" s="167" t="s">
        <v>494</v>
      </c>
      <c r="O219" s="102" t="s">
        <v>415</v>
      </c>
      <c r="P219" s="84" t="s">
        <v>113</v>
      </c>
      <c r="Q219" s="84">
        <v>493.3</v>
      </c>
      <c r="R219" s="169" t="s">
        <v>415</v>
      </c>
      <c r="S219" s="169" t="s">
        <v>415</v>
      </c>
      <c r="T219" s="169" t="s">
        <v>415</v>
      </c>
      <c r="U219" s="172" t="s">
        <v>415</v>
      </c>
      <c r="V219" s="73">
        <f>SUM(Table24[[#This Row],[A1toA3_GWP]:[C1toC4_GWP]])</f>
        <v>218.60936549766916</v>
      </c>
      <c r="W219" s="73">
        <f>VLOOKUP(Table24[[#This Row],[Country PRODUCTION]],[2]Sheet1!$B$11:$F$30,4,FALSE)+Table24[[#This Row],[Total_GWP]]</f>
        <v>288.80936549766915</v>
      </c>
      <c r="X219" s="73">
        <f>VLOOKUP(Table24[[#This Row],[Country PRODUCTION]],[2]Sheet1!$B$11:$F$30,5,FALSE)+Table24[[#This Row],[Total_GWP]]</f>
        <v>225.80936549766915</v>
      </c>
      <c r="Y219" s="73">
        <f>Table24[[#This Row],[Total_GWP]]*Table24[[#This Row],[DENSITY]]/1000</f>
        <v>107.8400000000002</v>
      </c>
      <c r="Z219" s="129">
        <f>(-7.19*10^2)/Table24[[#This Row],[DENSITY]]*1000</f>
        <v>-1457.530914250963</v>
      </c>
      <c r="AA219" s="72">
        <f>(3.2*10^-1+5.52*10^0+8.21*10^2)/Table24[[#This Row],[DENSITY]]*1000</f>
        <v>1676.1402797486321</v>
      </c>
      <c r="AB219" s="73">
        <f>SUM(Table24[[#This Row],[A1toA3_GWP-biogenic]:[C1toC4_GWP-biogenic]])</f>
        <v>0</v>
      </c>
      <c r="AC219" s="73">
        <f>Table24[[#This Row],[GWP-biogenic]]*Table24[[#This Row],[DENSITY]]/1000</f>
        <v>0</v>
      </c>
      <c r="AD219" s="73">
        <f>(-807)/Table24[[#This Row],[DENSITY]]*1000</f>
        <v>-1635.9213460368944</v>
      </c>
      <c r="AE219" s="75">
        <f>(807)/Table24[[#This Row],[DENSITY]]*1000</f>
        <v>1635.9213460368944</v>
      </c>
      <c r="AF219" s="107"/>
      <c r="AG219" s="129"/>
      <c r="AH219" s="129"/>
      <c r="AI219" s="75"/>
      <c r="AJ219" s="385">
        <f ca="1">IF(OR($E219="Ecoinvent",$E219="Betonsortenrechner",$E219="KBOB",$V219&lt;=0,Table24[[#This Row],[VALID_TO]]&lt;=TODAY()),0,1)</f>
        <v>1</v>
      </c>
      <c r="AK219" s="199">
        <v>1</v>
      </c>
      <c r="AL219" s="199">
        <f ca="1">IF(AND(Table24[[#This Row],[ValidEPD]]&lt;&gt;0,Table24[[#This Row],[Man_Ausschluss]]&lt;&gt;0),1,0)</f>
        <v>1</v>
      </c>
      <c r="AM219" s="17" cm="1">
        <f t="array" aca="1" ref="AM219" ca="1">IF(Table24[[#This Row],[gültig]]&lt;&gt;0,
IF(
OR(
V219=MIN(_xlfn._xlws.FILTER($V$2:$V$298,($P$2:$P$298=P219)*($N$2:$N$298=N219)*($AL$2:$AL$298&lt;&gt;0))),
V219=MAX(_xlfn._xlws.FILTER($V$2:$V$298,($P$2:$P$298=P219)*($N$2:$N$298=N219)*($AL$2:$AL$298&lt;&gt;0))),
ROWS(_xlfn._xlws.FILTER($V$2:$V$298,($P$2:$P$298=P219)*($N$2:$N$298=N219)*($AL$2:$AL$298&lt;&gt;0)))&lt;=2
),1,0),0)</f>
        <v>0</v>
      </c>
      <c r="AN219" s="138"/>
      <c r="AO219" s="1"/>
      <c r="AP219" s="1"/>
    </row>
    <row r="220" spans="1:42" x14ac:dyDescent="0.2">
      <c r="A220" s="161" t="s">
        <v>593</v>
      </c>
      <c r="B220" s="9"/>
      <c r="C220" s="100">
        <v>219</v>
      </c>
      <c r="D220" s="1" t="s">
        <v>594</v>
      </c>
      <c r="E220" s="169" t="s">
        <v>104</v>
      </c>
      <c r="F220" s="162"/>
      <c r="G220" s="163">
        <v>45105</v>
      </c>
      <c r="H220" s="163">
        <v>46931</v>
      </c>
      <c r="I220" s="163" t="s">
        <v>292</v>
      </c>
      <c r="J220" s="227" t="s">
        <v>607</v>
      </c>
      <c r="K220" s="165" t="s">
        <v>112</v>
      </c>
      <c r="L220" s="228" t="s">
        <v>490</v>
      </c>
      <c r="M220" s="257" t="s">
        <v>313</v>
      </c>
      <c r="N220" s="167" t="s">
        <v>494</v>
      </c>
      <c r="O220" s="102" t="s">
        <v>415</v>
      </c>
      <c r="P220" s="84" t="s">
        <v>113</v>
      </c>
      <c r="Q220" s="84">
        <v>493</v>
      </c>
      <c r="R220" s="169" t="s">
        <v>415</v>
      </c>
      <c r="S220" s="169" t="s">
        <v>415</v>
      </c>
      <c r="T220" s="169" t="s">
        <v>415</v>
      </c>
      <c r="U220" s="172" t="s">
        <v>415</v>
      </c>
      <c r="V220" s="73">
        <f>SUM(Table24[[#This Row],[A1toA3_GWP]:[C1toC4_GWP]])</f>
        <v>303.36713995943228</v>
      </c>
      <c r="W220" s="107">
        <f>VLOOKUP("AT",[2]Sheet1!$B$11:$F$30,4,FALSE)+Table24[[#This Row],[Total_GWP]]</f>
        <v>373.56713995943227</v>
      </c>
      <c r="X220" s="107">
        <f>VLOOKUP("AT",[2]Sheet1!$B$11:$F$30,5,FALSE)+Table24[[#This Row],[Total_GWP]]</f>
        <v>310.56713995943227</v>
      </c>
      <c r="Y220" s="73">
        <f>Table24[[#This Row],[Total_GWP]]*Table24[[#This Row],[DENSITY]]/1000</f>
        <v>149.56000000000012</v>
      </c>
      <c r="Z220" s="129">
        <f>(-6.65*10^2)/Table24[[#This Row],[DENSITY]]*1000</f>
        <v>-1348.8843813387423</v>
      </c>
      <c r="AA220" s="72">
        <f>(1.56*10^0+8.13*10^2)/Table24[[#This Row],[DENSITY]]*1000</f>
        <v>1652.2515212981746</v>
      </c>
      <c r="AB220" s="73">
        <f>SUM(Table24[[#This Row],[A1toA3_GWP-biogenic]:[C1toC4_GWP-biogenic]])</f>
        <v>6.2164300202841787</v>
      </c>
      <c r="AC220" s="73">
        <f>Table24[[#This Row],[GWP-biogenic]]*Table24[[#This Row],[DENSITY]]/1000</f>
        <v>3.0647000000000997</v>
      </c>
      <c r="AD220" s="73">
        <f>(-806)/Table24[[#This Row],[DENSITY]]*1000</f>
        <v>-1634.8884381338742</v>
      </c>
      <c r="AE220" s="75">
        <f>(6.47*10^-2+8.09*10^2)/Table24[[#This Row],[DENSITY]]*1000</f>
        <v>1641.1048681541583</v>
      </c>
      <c r="AF220" s="107"/>
      <c r="AG220" s="129"/>
      <c r="AH220" s="129"/>
      <c r="AI220" s="75"/>
      <c r="AJ220" s="385">
        <f ca="1">IF(OR($E220="Ecoinvent",$E220="Betonsortenrechner",$E220="KBOB",$V220&lt;=0,Table24[[#This Row],[VALID_TO]]&lt;=TODAY()),0,1)</f>
        <v>1</v>
      </c>
      <c r="AK220" s="199">
        <v>1</v>
      </c>
      <c r="AL220" s="199">
        <f ca="1">IF(AND(Table24[[#This Row],[ValidEPD]]&lt;&gt;0,Table24[[#This Row],[Man_Ausschluss]]&lt;&gt;0),1,0)</f>
        <v>1</v>
      </c>
      <c r="AM220" s="17" cm="1">
        <f t="array" aca="1" ref="AM220" ca="1">IF(Table24[[#This Row],[gültig]]&lt;&gt;0,
IF(
OR(
V220=MIN(_xlfn._xlws.FILTER($V$2:$V$298,($P$2:$P$298=P220)*($N$2:$N$298=N220)*($AL$2:$AL$298&lt;&gt;0))),
V220=MAX(_xlfn._xlws.FILTER($V$2:$V$298,($P$2:$P$298=P220)*($N$2:$N$298=N220)*($AL$2:$AL$298&lt;&gt;0))),
ROWS(_xlfn._xlws.FILTER($V$2:$V$298,($P$2:$P$298=P220)*($N$2:$N$298=N220)*($AL$2:$AL$298&lt;&gt;0)))&lt;=2
),1,0),0)</f>
        <v>0</v>
      </c>
      <c r="AN220" s="138"/>
      <c r="AO220" s="1"/>
      <c r="AP220" s="1"/>
    </row>
    <row r="221" spans="1:42" x14ac:dyDescent="0.2">
      <c r="A221" s="135" t="s">
        <v>768</v>
      </c>
      <c r="B221" s="9"/>
      <c r="C221" s="101">
        <v>220</v>
      </c>
      <c r="D221" s="102" t="s">
        <v>767</v>
      </c>
      <c r="E221" s="169" t="s">
        <v>282</v>
      </c>
      <c r="F221" s="169"/>
      <c r="G221" s="170">
        <v>45792</v>
      </c>
      <c r="H221" s="170">
        <v>47617</v>
      </c>
      <c r="I221" s="170" t="s">
        <v>264</v>
      </c>
      <c r="J221" s="227" t="s">
        <v>264</v>
      </c>
      <c r="K221" s="171" t="s">
        <v>115</v>
      </c>
      <c r="L221" s="228" t="s">
        <v>328</v>
      </c>
      <c r="M221" s="1" t="s">
        <v>313</v>
      </c>
      <c r="N221" s="167" t="s">
        <v>321</v>
      </c>
      <c r="O221" s="1" t="s">
        <v>415</v>
      </c>
      <c r="P221" s="104" t="s">
        <v>113</v>
      </c>
      <c r="Q221" s="104">
        <f>AVERAGE(420,460)</f>
        <v>440</v>
      </c>
      <c r="R221" s="169" t="s">
        <v>415</v>
      </c>
      <c r="S221" s="169" t="s">
        <v>415</v>
      </c>
      <c r="T221" s="169" t="s">
        <v>415</v>
      </c>
      <c r="U221" s="172" t="s">
        <v>415</v>
      </c>
      <c r="V221" s="250">
        <f>SUM(Table24[[#This Row],[A1toA3_GWP]:[C1toC4_GWP]])</f>
        <v>462.72727272727298</v>
      </c>
      <c r="W221" s="255">
        <f>VLOOKUP(Table24[[#This Row],[Country PRODUCTION]],[2]Sheet1!$B$11:$F$30,4,FALSE)+Table24[[#This Row],[Total_GWP]]</f>
        <v>538.77727272727293</v>
      </c>
      <c r="X221" s="255">
        <f>VLOOKUP(Table24[[#This Row],[Country PRODUCTION]],[2]Sheet1!$B$11:$F$30,5,FALSE)+Table24[[#This Row],[Total_GWP]]</f>
        <v>470.52727272727299</v>
      </c>
      <c r="Y221" s="73">
        <f>Table24[[#This Row],[Total_GWP]]*Table24[[#This Row],[DENSITY]]/1000</f>
        <v>203.60000000000011</v>
      </c>
      <c r="Z221" s="250">
        <f>(-665+21.2+34)/Table24[[#This Row],[DENSITY]]*1000</f>
        <v>-1385.9090909090908</v>
      </c>
      <c r="AA221" s="103">
        <f>(7.04*10-1+7.44*10^2)/Table24[[#This Row],[DENSITY]]*1000</f>
        <v>1848.6363636363637</v>
      </c>
      <c r="AB221" s="73">
        <f>SUM(Table24[[#This Row],[A1toA3_GWP-biogenic]:[C1toC4_GWP-biogenic]])</f>
        <v>-0.60245454545474786</v>
      </c>
      <c r="AC221" s="73">
        <f>Table24[[#This Row],[GWP-biogenic]]*Table24[[#This Row],[DENSITY]]/1000</f>
        <v>-0.26508000000008908</v>
      </c>
      <c r="AD221" s="73">
        <f>(-7.34*10^2+6.67*10^-2+2.66*10^-1)/Table24[[#This Row],[DENSITY]]*1000</f>
        <v>-1667.4256818181821</v>
      </c>
      <c r="AE221" s="75">
        <f>(2.22*10^-3+7.334*10^2)/Table24[[#This Row],[DENSITY]]*1000</f>
        <v>1666.8232272727273</v>
      </c>
      <c r="AF221" s="107"/>
      <c r="AG221" s="129"/>
      <c r="AH221" s="129"/>
      <c r="AI221" s="75"/>
      <c r="AJ221" s="385">
        <f ca="1">IF(OR($E221="Ecoinvent",$E221="Betonsortenrechner",$E221="KBOB",$V221&lt;=0,Table24[[#This Row],[VALID_TO]]&lt;=TODAY()),0,1)</f>
        <v>1</v>
      </c>
      <c r="AK221" s="199">
        <v>1</v>
      </c>
      <c r="AL221" s="199">
        <f ca="1">IF(AND(Table24[[#This Row],[ValidEPD]]&lt;&gt;0,Table24[[#This Row],[Man_Ausschluss]]&lt;&gt;0),1,0)</f>
        <v>1</v>
      </c>
      <c r="AM221" s="17" cm="1">
        <f t="array" aca="1" ref="AM221" ca="1">IF(Table24[[#This Row],[gültig]]&lt;&gt;0,
IF(
OR(
V221=MIN(_xlfn._xlws.FILTER($V$2:$V$298,($P$2:$P$298=P221)*($N$2:$N$298=N221)*($AL$2:$AL$298&lt;&gt;0))),
V221=MAX(_xlfn._xlws.FILTER($V$2:$V$298,($P$2:$P$298=P221)*($N$2:$N$298=N221)*($AL$2:$AL$298&lt;&gt;0))),
ROWS(_xlfn._xlws.FILTER($V$2:$V$298,($P$2:$P$298=P221)*($N$2:$N$298=N221)*($AL$2:$AL$298&lt;&gt;0)))&lt;=2
),1,0),0)</f>
        <v>1</v>
      </c>
      <c r="AN221" s="138"/>
      <c r="AO221" s="102"/>
      <c r="AP221" s="1"/>
    </row>
    <row r="222" spans="1:42" x14ac:dyDescent="0.2">
      <c r="A222" s="135" t="s">
        <v>769</v>
      </c>
      <c r="B222" s="9" t="s">
        <v>502</v>
      </c>
      <c r="C222" s="101">
        <v>221</v>
      </c>
      <c r="D222" s="102" t="s">
        <v>770</v>
      </c>
      <c r="E222" s="162" t="s">
        <v>282</v>
      </c>
      <c r="F222" s="169"/>
      <c r="G222" s="170">
        <v>45805</v>
      </c>
      <c r="H222" s="170">
        <v>47630</v>
      </c>
      <c r="I222" s="163" t="s">
        <v>264</v>
      </c>
      <c r="J222" s="227" t="s">
        <v>264</v>
      </c>
      <c r="K222" s="165" t="s">
        <v>98</v>
      </c>
      <c r="L222" s="228" t="s">
        <v>326</v>
      </c>
      <c r="M222" s="257" t="s">
        <v>313</v>
      </c>
      <c r="N222" s="167" t="s">
        <v>319</v>
      </c>
      <c r="O222" s="102" t="s">
        <v>415</v>
      </c>
      <c r="P222" s="84" t="s">
        <v>535</v>
      </c>
      <c r="Q222" s="104">
        <f>AVERAGE(400,440)</f>
        <v>420</v>
      </c>
      <c r="R222" s="169" t="s">
        <v>415</v>
      </c>
      <c r="S222" s="169" t="s">
        <v>415</v>
      </c>
      <c r="T222" s="169" t="s">
        <v>415</v>
      </c>
      <c r="U222" s="172" t="s">
        <v>415</v>
      </c>
      <c r="V222" s="250">
        <f>SUM(Table24[[#This Row],[A1toA3_GWP]:[C1toC4_GWP]])</f>
        <v>354.64285714285688</v>
      </c>
      <c r="W222" s="255">
        <f>VLOOKUP(Table24[[#This Row],[Country PRODUCTION]],[2]Sheet1!$B$11:$F$30,4,FALSE)+Table24[[#This Row],[Total_GWP]]</f>
        <v>430.69285714285689</v>
      </c>
      <c r="X222" s="255">
        <f>VLOOKUP(Table24[[#This Row],[Country PRODUCTION]],[2]Sheet1!$B$11:$F$30,5,FALSE)+Table24[[#This Row],[Total_GWP]]</f>
        <v>362.44285714285689</v>
      </c>
      <c r="Y222" s="73">
        <f>Table24[[#This Row],[Total_GWP]]*Table24[[#This Row],[DENSITY]]/1000</f>
        <v>148.94999999999987</v>
      </c>
      <c r="Z222" s="250">
        <f>(-7.25*10^2+2.15*10^1+8.35*1^1)/Table24[[#This Row],[DENSITY]]*1000</f>
        <v>-1655.1190476190477</v>
      </c>
      <c r="AA222" s="103">
        <f>(7.01*10-1+7.75*10^2)/Table24[[#This Row],[DENSITY]]*1000</f>
        <v>2009.7619047619046</v>
      </c>
      <c r="AB222" s="73">
        <f>SUM(Table24[[#This Row],[A1toA3_GWP-biogenic]:[C1toC4_GWP-biogenic]])</f>
        <v>0</v>
      </c>
      <c r="AC222" s="73">
        <f>Table24[[#This Row],[GWP-biogenic]]*Table24[[#This Row],[DENSITY]]/1000</f>
        <v>0</v>
      </c>
      <c r="AD222" s="73">
        <f>(-765)/Table24[[#This Row],[DENSITY]]*1000</f>
        <v>-1821.4285714285713</v>
      </c>
      <c r="AE222" s="75">
        <f>(765)/Table24[[#This Row],[DENSITY]]*1000</f>
        <v>1821.4285714285713</v>
      </c>
      <c r="AF222" s="107"/>
      <c r="AG222" s="129"/>
      <c r="AH222" s="129"/>
      <c r="AI222" s="75"/>
      <c r="AJ222" s="385">
        <f ca="1">IF(OR($E222="Ecoinvent",$E222="Betonsortenrechner",$E222="KBOB",$V222&lt;=0,Table24[[#This Row],[VALID_TO]]&lt;=TODAY()),0,1)</f>
        <v>1</v>
      </c>
      <c r="AK222" s="199">
        <v>1</v>
      </c>
      <c r="AL222" s="199">
        <f ca="1">IF(AND(Table24[[#This Row],[ValidEPD]]&lt;&gt;0,Table24[[#This Row],[Man_Ausschluss]]&lt;&gt;0),1,0)</f>
        <v>1</v>
      </c>
      <c r="AM222" s="17" cm="1">
        <f t="array" aca="1" ref="AM222" ca="1">IF(Table24[[#This Row],[gültig]]&lt;&gt;0,
IF(
OR(
V222=MIN(_xlfn._xlws.FILTER($V$2:$V$298,($P$2:$P$298=P222)*($N$2:$N$298=N222)*($AL$2:$AL$298&lt;&gt;0))),
V222=MAX(_xlfn._xlws.FILTER($V$2:$V$298,($P$2:$P$298=P222)*($N$2:$N$298=N222)*($AL$2:$AL$298&lt;&gt;0))),
ROWS(_xlfn._xlws.FILTER($V$2:$V$298,($P$2:$P$298=P222)*($N$2:$N$298=N222)*($AL$2:$AL$298&lt;&gt;0)))&lt;=2
),1,0),0)</f>
        <v>1</v>
      </c>
      <c r="AN222" s="138"/>
      <c r="AO222" s="102"/>
      <c r="AP222" s="1"/>
    </row>
    <row r="223" spans="1:42" x14ac:dyDescent="0.2">
      <c r="A223" s="135" t="s">
        <v>769</v>
      </c>
      <c r="B223" s="9" t="s">
        <v>518</v>
      </c>
      <c r="C223" s="101">
        <v>222</v>
      </c>
      <c r="D223" s="102" t="s">
        <v>770</v>
      </c>
      <c r="E223" s="162" t="s">
        <v>282</v>
      </c>
      <c r="F223" s="169"/>
      <c r="G223" s="170">
        <v>45805</v>
      </c>
      <c r="H223" s="170">
        <v>47630</v>
      </c>
      <c r="I223" s="163" t="s">
        <v>264</v>
      </c>
      <c r="J223" s="227" t="s">
        <v>264</v>
      </c>
      <c r="K223" s="165" t="s">
        <v>98</v>
      </c>
      <c r="L223" s="228" t="s">
        <v>326</v>
      </c>
      <c r="M223" s="257" t="s">
        <v>313</v>
      </c>
      <c r="N223" s="167" t="s">
        <v>319</v>
      </c>
      <c r="O223" s="102" t="s">
        <v>415</v>
      </c>
      <c r="P223" s="84" t="s">
        <v>522</v>
      </c>
      <c r="Q223" s="104">
        <f>AVERAGE(400,440)</f>
        <v>420</v>
      </c>
      <c r="R223" s="169" t="s">
        <v>415</v>
      </c>
      <c r="S223" s="169" t="s">
        <v>415</v>
      </c>
      <c r="T223" s="169" t="s">
        <v>415</v>
      </c>
      <c r="U223" s="172" t="s">
        <v>415</v>
      </c>
      <c r="V223" s="250">
        <f>SUM(Table24[[#This Row],[A1toA3_GWP]:[C1toC4_GWP]])</f>
        <v>354.64285714285688</v>
      </c>
      <c r="W223" s="255">
        <f>VLOOKUP(Table24[[#This Row],[Country PRODUCTION]],[2]Sheet1!$B$11:$F$30,4,FALSE)+Table24[[#This Row],[Total_GWP]]</f>
        <v>430.69285714285689</v>
      </c>
      <c r="X223" s="255">
        <f>VLOOKUP(Table24[[#This Row],[Country PRODUCTION]],[2]Sheet1!$B$11:$F$30,5,FALSE)+Table24[[#This Row],[Total_GWP]]</f>
        <v>362.44285714285689</v>
      </c>
      <c r="Y223" s="73">
        <f>Table24[[#This Row],[Total_GWP]]*Table24[[#This Row],[DENSITY]]/1000</f>
        <v>148.94999999999987</v>
      </c>
      <c r="Z223" s="250">
        <f>(-7.25*10^2+2.15*10^1+8.35*1^1)/Table24[[#This Row],[DENSITY]]*1000</f>
        <v>-1655.1190476190477</v>
      </c>
      <c r="AA223" s="103">
        <f>(7.01*10-1+7.75*10^2)/Table24[[#This Row],[DENSITY]]*1000</f>
        <v>2009.7619047619046</v>
      </c>
      <c r="AB223" s="73">
        <f>SUM(Table24[[#This Row],[A1toA3_GWP-biogenic]:[C1toC4_GWP-biogenic]])</f>
        <v>0</v>
      </c>
      <c r="AC223" s="73">
        <f>Table24[[#This Row],[GWP-biogenic]]*Table24[[#This Row],[DENSITY]]/1000</f>
        <v>0</v>
      </c>
      <c r="AD223" s="73">
        <f>(-765)/Table24[[#This Row],[DENSITY]]*1000</f>
        <v>-1821.4285714285713</v>
      </c>
      <c r="AE223" s="75">
        <f>(765)/Table24[[#This Row],[DENSITY]]*1000</f>
        <v>1821.4285714285713</v>
      </c>
      <c r="AF223" s="107"/>
      <c r="AG223" s="129"/>
      <c r="AH223" s="129"/>
      <c r="AI223" s="75"/>
      <c r="AJ223" s="385">
        <f ca="1">IF(OR($E223="Ecoinvent",$E223="Betonsortenrechner",$E223="KBOB",$V223&lt;=0,Table24[[#This Row],[VALID_TO]]&lt;=TODAY()),0,1)</f>
        <v>1</v>
      </c>
      <c r="AK223" s="199">
        <v>1</v>
      </c>
      <c r="AL223" s="199">
        <f ca="1">IF(AND(Table24[[#This Row],[ValidEPD]]&lt;&gt;0,Table24[[#This Row],[Man_Ausschluss]]&lt;&gt;0),1,0)</f>
        <v>1</v>
      </c>
      <c r="AM223" s="17" cm="1">
        <f t="array" aca="1" ref="AM223" ca="1">IF(Table24[[#This Row],[gültig]]&lt;&gt;0,
IF(
OR(
V223=MIN(_xlfn._xlws.FILTER($V$2:$V$298,($P$2:$P$298=P223)*($N$2:$N$298=N223)*($AL$2:$AL$298&lt;&gt;0))),
V223=MAX(_xlfn._xlws.FILTER($V$2:$V$298,($P$2:$P$298=P223)*($N$2:$N$298=N223)*($AL$2:$AL$298&lt;&gt;0))),
ROWS(_xlfn._xlws.FILTER($V$2:$V$298,($P$2:$P$298=P223)*($N$2:$N$298=N223)*($AL$2:$AL$298&lt;&gt;0)))&lt;=2
),1,0),0)</f>
        <v>1</v>
      </c>
      <c r="AN223" s="138"/>
      <c r="AO223" s="102"/>
      <c r="AP223" s="1"/>
    </row>
    <row r="224" spans="1:42" s="125" customFormat="1" ht="16" thickBot="1" x14ac:dyDescent="0.25">
      <c r="A224" s="112" t="s">
        <v>769</v>
      </c>
      <c r="B224" s="113" t="s">
        <v>519</v>
      </c>
      <c r="C224" s="105">
        <v>223</v>
      </c>
      <c r="D224" s="114" t="s">
        <v>770</v>
      </c>
      <c r="E224" s="241" t="s">
        <v>282</v>
      </c>
      <c r="F224" s="115"/>
      <c r="G224" s="116">
        <v>45805</v>
      </c>
      <c r="H224" s="116">
        <v>47630</v>
      </c>
      <c r="I224" s="117" t="s">
        <v>264</v>
      </c>
      <c r="J224" s="132" t="s">
        <v>264</v>
      </c>
      <c r="K224" s="244" t="s">
        <v>98</v>
      </c>
      <c r="L224" s="240" t="s">
        <v>326</v>
      </c>
      <c r="M224" s="305" t="s">
        <v>313</v>
      </c>
      <c r="N224" s="121" t="s">
        <v>319</v>
      </c>
      <c r="O224" s="114" t="s">
        <v>415</v>
      </c>
      <c r="P224" s="242" t="s">
        <v>536</v>
      </c>
      <c r="Q224" s="106">
        <f>AVERAGE(400,440)</f>
        <v>420</v>
      </c>
      <c r="R224" s="115" t="s">
        <v>415</v>
      </c>
      <c r="S224" s="115" t="s">
        <v>415</v>
      </c>
      <c r="T224" s="115" t="s">
        <v>415</v>
      </c>
      <c r="U224" s="122" t="s">
        <v>415</v>
      </c>
      <c r="V224" s="306">
        <f>SUM(Table24[[#This Row],[A1toA3_GWP]:[C1toC4_GWP]])</f>
        <v>354.64285714285688</v>
      </c>
      <c r="W224" s="123">
        <f>VLOOKUP(Table24[[#This Row],[Country PRODUCTION]],[2]Sheet1!$B$11:$F$30,4,FALSE)+Table24[[#This Row],[Total_GWP]]</f>
        <v>430.69285714285689</v>
      </c>
      <c r="X224" s="123">
        <f>VLOOKUP(Table24[[#This Row],[Country PRODUCTION]],[2]Sheet1!$B$11:$F$30,5,FALSE)+Table24[[#This Row],[Total_GWP]]</f>
        <v>362.44285714285689</v>
      </c>
      <c r="Y224" s="109">
        <f>Table24[[#This Row],[Total_GWP]]*Table24[[#This Row],[DENSITY]]/1000</f>
        <v>148.94999999999987</v>
      </c>
      <c r="Z224" s="306">
        <f>(-7.25*10^2+2.15*10^1+8.35*1^1)/Table24[[#This Row],[DENSITY]]*1000</f>
        <v>-1655.1190476190477</v>
      </c>
      <c r="AA224" s="108">
        <f>(7.01*10-1+7.75*10^2)/Table24[[#This Row],[DENSITY]]*1000</f>
        <v>2009.7619047619046</v>
      </c>
      <c r="AB224" s="109">
        <f>SUM(Table24[[#This Row],[A1toA3_GWP-biogenic]:[C1toC4_GWP-biogenic]])</f>
        <v>0</v>
      </c>
      <c r="AC224" s="109">
        <f>Table24[[#This Row],[GWP-biogenic]]*Table24[[#This Row],[DENSITY]]/1000</f>
        <v>0</v>
      </c>
      <c r="AD224" s="109">
        <f>(-765)/Table24[[#This Row],[DENSITY]]*1000</f>
        <v>-1821.4285714285713</v>
      </c>
      <c r="AE224" s="110">
        <f>(765)/Table24[[#This Row],[DENSITY]]*1000</f>
        <v>1821.4285714285713</v>
      </c>
      <c r="AF224" s="285"/>
      <c r="AG224" s="379"/>
      <c r="AH224" s="379"/>
      <c r="AI224" s="110"/>
      <c r="AJ224" s="288">
        <f ca="1">IF(OR($E224="Ecoinvent",$E224="Betonsortenrechner",$E224="KBOB",$V224&lt;=0,Table24[[#This Row],[VALID_TO]]&lt;=TODAY()),0,1)</f>
        <v>1</v>
      </c>
      <c r="AK224" s="271">
        <v>1</v>
      </c>
      <c r="AL224" s="271">
        <f ca="1">IF(AND(Table24[[#This Row],[ValidEPD]]&lt;&gt;0,Table24[[#This Row],[Man_Ausschluss]]&lt;&gt;0),1,0)</f>
        <v>1</v>
      </c>
      <c r="AM224" s="17" cm="1">
        <f t="array" aca="1" ref="AM224" ca="1">IF(Table24[[#This Row],[gültig]]&lt;&gt;0,
IF(
OR(
V224=MIN(_xlfn._xlws.FILTER($V$2:$V$298,($P$2:$P$298=P224)*($N$2:$N$298=N224)*($AL$2:$AL$298&lt;&gt;0))),
V224=MAX(_xlfn._xlws.FILTER($V$2:$V$298,($P$2:$P$298=P224)*($N$2:$N$298=N224)*($AL$2:$AL$298&lt;&gt;0))),
ROWS(_xlfn._xlws.FILTER($V$2:$V$298,($P$2:$P$298=P224)*($N$2:$N$298=N224)*($AL$2:$AL$298&lt;&gt;0)))&lt;=2
),1,0),0)</f>
        <v>1</v>
      </c>
      <c r="AN224" s="217"/>
      <c r="AO224" s="114"/>
      <c r="AP224" s="2"/>
    </row>
    <row r="225" spans="1:42" x14ac:dyDescent="0.2">
      <c r="A225" s="190" t="s">
        <v>360</v>
      </c>
      <c r="B225" s="49"/>
      <c r="C225" s="97">
        <v>224</v>
      </c>
      <c r="D225" s="8" t="s">
        <v>415</v>
      </c>
      <c r="E225" s="191" t="s">
        <v>952</v>
      </c>
      <c r="F225" s="381" t="s">
        <v>972</v>
      </c>
      <c r="G225" s="192"/>
      <c r="H225" s="192"/>
      <c r="I225" s="193" t="s">
        <v>51</v>
      </c>
      <c r="J225" s="202"/>
      <c r="K225" s="203" t="s">
        <v>778</v>
      </c>
      <c r="L225" s="258" t="s">
        <v>324</v>
      </c>
      <c r="M225" s="191" t="s">
        <v>316</v>
      </c>
      <c r="N225" s="259" t="s">
        <v>318</v>
      </c>
      <c r="O225" s="191" t="s">
        <v>415</v>
      </c>
      <c r="P225" s="393" t="s">
        <v>537</v>
      </c>
      <c r="Q225" s="193">
        <v>7850</v>
      </c>
      <c r="R225" s="191" t="s">
        <v>415</v>
      </c>
      <c r="S225" s="191" t="s">
        <v>415</v>
      </c>
      <c r="T225" s="191" t="s">
        <v>415</v>
      </c>
      <c r="U225" s="197" t="s">
        <v>415</v>
      </c>
      <c r="V225" s="199">
        <f>SUM(Table24[[#This Row],[A1toA3_GWP]:[C1toC4_GWP]])</f>
        <v>736.93</v>
      </c>
      <c r="W225" s="199"/>
      <c r="X225" s="199"/>
      <c r="Y225" s="199">
        <f>Table24[[#This Row],[Total_GWP]]*Table24[[#This Row],[DENSITY]]/1000</f>
        <v>5784.9004999999997</v>
      </c>
      <c r="Z225" s="199">
        <v>730</v>
      </c>
      <c r="AA225" s="139">
        <v>6.93</v>
      </c>
      <c r="AB225" s="138"/>
      <c r="AC225" s="138"/>
      <c r="AD225" s="138"/>
      <c r="AE225" s="200"/>
      <c r="AF225" s="198">
        <f>1290*1000</f>
        <v>1290000</v>
      </c>
      <c r="AG225" s="199">
        <f>Table24[[#This Row],[Total_UBP]]*Table24[[#This Row],[DENSITY]]/1000</f>
        <v>10126500</v>
      </c>
      <c r="AH225" s="199">
        <f>3.38*1000</f>
        <v>3380</v>
      </c>
      <c r="AI225" s="200">
        <f>Table24[[#This Row],[Graue_Energie]]*Table24[[#This Row],[DENSITY]]/1000</f>
        <v>26533</v>
      </c>
      <c r="AJ225" s="385">
        <f ca="1">IF(OR($E225="Ecoinvent",$E225="Betonsortenrechner",$E225="KBOB",$V225&lt;=0,Table24[[#This Row],[VALID_TO]]&lt;=TODAY()),0,1)</f>
        <v>0</v>
      </c>
      <c r="AK225" s="199">
        <v>1</v>
      </c>
      <c r="AL225" s="199">
        <f ca="1">IF(AND(Table24[[#This Row],[ValidEPD]]&lt;&gt;0,Table24[[#This Row],[Man_Ausschluss]]&lt;&gt;0),1,0)</f>
        <v>0</v>
      </c>
      <c r="AM225" s="17" cm="1">
        <f t="array" aca="1" ref="AM225" ca="1">IF(Table24[[#This Row],[gültig]]&lt;&gt;0,
IF(
OR(
V225=MIN(_xlfn._xlws.FILTER($V$2:$V$298,($P$2:$P$298=P225)*($N$2:$N$298=N225)*($AL$2:$AL$298&lt;&gt;0))),
V225=MAX(_xlfn._xlws.FILTER($V$2:$V$298,($P$2:$P$298=P225)*($N$2:$N$298=N225)*($AL$2:$AL$298&lt;&gt;0))),
ROWS(_xlfn._xlws.FILTER($V$2:$V$298,($P$2:$P$298=P225)*($N$2:$N$298=N225)*($AL$2:$AL$298&lt;&gt;0)))&lt;=2
),1,0),0)</f>
        <v>0</v>
      </c>
      <c r="AN225" s="138"/>
      <c r="AO225" s="50"/>
      <c r="AP225" s="50"/>
    </row>
    <row r="226" spans="1:42" x14ac:dyDescent="0.2">
      <c r="A226" s="161" t="s">
        <v>361</v>
      </c>
      <c r="B226" s="9" t="s">
        <v>502</v>
      </c>
      <c r="C226" s="100">
        <v>225</v>
      </c>
      <c r="D226" s="1" t="s">
        <v>124</v>
      </c>
      <c r="E226" s="162" t="s">
        <v>125</v>
      </c>
      <c r="F226" s="162"/>
      <c r="G226" s="163">
        <v>43398</v>
      </c>
      <c r="H226" s="163">
        <v>45223</v>
      </c>
      <c r="I226" s="84" t="s">
        <v>264</v>
      </c>
      <c r="J226" s="164" t="s">
        <v>612</v>
      </c>
      <c r="K226" s="165" t="s">
        <v>128</v>
      </c>
      <c r="L226" s="260" t="s">
        <v>324</v>
      </c>
      <c r="M226" s="162" t="s">
        <v>316</v>
      </c>
      <c r="N226" s="261" t="s">
        <v>318</v>
      </c>
      <c r="O226" s="162" t="s">
        <v>415</v>
      </c>
      <c r="P226" s="84" t="s">
        <v>537</v>
      </c>
      <c r="Q226" s="84">
        <v>7850</v>
      </c>
      <c r="R226" s="162" t="s">
        <v>415</v>
      </c>
      <c r="S226" s="162" t="s">
        <v>415</v>
      </c>
      <c r="T226" s="162" t="s">
        <v>415</v>
      </c>
      <c r="U226" s="168" t="s">
        <v>415</v>
      </c>
      <c r="V226" s="129">
        <f>SUM(Table24[[#This Row],[A1toA3_GWP]:[C1toC4_GWP]])</f>
        <v>1131.8399999999999</v>
      </c>
      <c r="W226" s="107">
        <f>VLOOKUP("FR",[2]Sheet1!$B$11:$F$30,4,FALSE)+Table24[[#This Row],[Total_GWP]]</f>
        <v>1202.04</v>
      </c>
      <c r="X226" s="107">
        <f>VLOOKUP("FR",[2]Sheet1!$B$11:$F$30,5,FALSE)+Table24[[#This Row],[Total_GWP]]</f>
        <v>1139.04</v>
      </c>
      <c r="Y226" s="129">
        <f>Table24[[#This Row],[Total_GWP]]*Table24[[#This Row],[DENSITY]]/1000</f>
        <v>8884.9439999999995</v>
      </c>
      <c r="Z226" s="231">
        <v>1130</v>
      </c>
      <c r="AA226" s="72">
        <v>1.84</v>
      </c>
      <c r="AB226" s="73"/>
      <c r="AC226" s="73"/>
      <c r="AD226" s="73"/>
      <c r="AE226" s="75"/>
      <c r="AF226" s="107"/>
      <c r="AG226" s="129"/>
      <c r="AH226" s="129"/>
      <c r="AI226" s="75"/>
      <c r="AJ226" s="385">
        <f ca="1">IF(OR($E226="Ecoinvent",$E226="Betonsortenrechner",$E226="KBOB",$V226&lt;=0,Table24[[#This Row],[VALID_TO]]&lt;=TODAY()),0,1)</f>
        <v>0</v>
      </c>
      <c r="AK226" s="199">
        <v>1</v>
      </c>
      <c r="AL226" s="199">
        <f ca="1">IF(AND(Table24[[#This Row],[ValidEPD]]&lt;&gt;0,Table24[[#This Row],[Man_Ausschluss]]&lt;&gt;0),1,0)</f>
        <v>0</v>
      </c>
      <c r="AM226" s="17" cm="1">
        <f t="array" aca="1" ref="AM226" ca="1">IF(Table24[[#This Row],[gültig]]&lt;&gt;0,
IF(
OR(
V226=MIN(_xlfn._xlws.FILTER($V$2:$V$298,($P$2:$P$298=P226)*($N$2:$N$298=N226)*($AL$2:$AL$298&lt;&gt;0))),
V226=MAX(_xlfn._xlws.FILTER($V$2:$V$298,($P$2:$P$298=P226)*($N$2:$N$298=N226)*($AL$2:$AL$298&lt;&gt;0))),
ROWS(_xlfn._xlws.FILTER($V$2:$V$298,($P$2:$P$298=P226)*($N$2:$N$298=N226)*($AL$2:$AL$298&lt;&gt;0)))&lt;=2
),1,0),0)</f>
        <v>0</v>
      </c>
      <c r="AN226" s="138"/>
      <c r="AO226" s="51"/>
      <c r="AP226" s="51"/>
    </row>
    <row r="227" spans="1:42" x14ac:dyDescent="0.2">
      <c r="A227" s="161" t="s">
        <v>361</v>
      </c>
      <c r="B227" s="9" t="s">
        <v>518</v>
      </c>
      <c r="C227" s="96">
        <v>226</v>
      </c>
      <c r="D227" s="1" t="s">
        <v>124</v>
      </c>
      <c r="E227" s="162" t="s">
        <v>125</v>
      </c>
      <c r="F227" s="162"/>
      <c r="G227" s="163">
        <v>43398</v>
      </c>
      <c r="H227" s="163">
        <v>45223</v>
      </c>
      <c r="I227" s="84" t="s">
        <v>264</v>
      </c>
      <c r="J227" s="164" t="s">
        <v>612</v>
      </c>
      <c r="K227" s="165" t="s">
        <v>128</v>
      </c>
      <c r="L227" s="228" t="s">
        <v>324</v>
      </c>
      <c r="M227" s="162" t="s">
        <v>316</v>
      </c>
      <c r="N227" s="167" t="s">
        <v>318</v>
      </c>
      <c r="O227" s="162" t="s">
        <v>415</v>
      </c>
      <c r="P227" s="84" t="s">
        <v>538</v>
      </c>
      <c r="Q227" s="84">
        <v>7850</v>
      </c>
      <c r="R227" s="162" t="s">
        <v>415</v>
      </c>
      <c r="S227" s="162" t="s">
        <v>415</v>
      </c>
      <c r="T227" s="162" t="s">
        <v>415</v>
      </c>
      <c r="U227" s="168" t="s">
        <v>415</v>
      </c>
      <c r="V227" s="129">
        <f>SUM(Table24[[#This Row],[A1toA3_GWP]:[C1toC4_GWP]])</f>
        <v>1131.8399999999999</v>
      </c>
      <c r="W227" s="107">
        <f>VLOOKUP("FR",[2]Sheet1!$B$11:$F$30,4,FALSE)+Table24[[#This Row],[Total_GWP]]</f>
        <v>1202.04</v>
      </c>
      <c r="X227" s="107">
        <f>VLOOKUP("FR",[2]Sheet1!$B$11:$F$30,5,FALSE)+Table24[[#This Row],[Total_GWP]]</f>
        <v>1139.04</v>
      </c>
      <c r="Y227" s="129">
        <f>Table24[[#This Row],[Total_GWP]]*Table24[[#This Row],[DENSITY]]/1000</f>
        <v>8884.9439999999995</v>
      </c>
      <c r="Z227" s="231">
        <v>1130</v>
      </c>
      <c r="AA227" s="72">
        <v>1.84</v>
      </c>
      <c r="AB227" s="73"/>
      <c r="AC227" s="73"/>
      <c r="AD227" s="73"/>
      <c r="AE227" s="75"/>
      <c r="AF227" s="107"/>
      <c r="AG227" s="129"/>
      <c r="AH227" s="129"/>
      <c r="AI227" s="75"/>
      <c r="AJ227" s="385">
        <f ca="1">IF(OR($E227="Ecoinvent",$E227="Betonsortenrechner",$E227="KBOB",$V227&lt;=0,Table24[[#This Row],[VALID_TO]]&lt;=TODAY()),0,1)</f>
        <v>0</v>
      </c>
      <c r="AK227" s="199">
        <v>1</v>
      </c>
      <c r="AL227" s="199">
        <f ca="1">IF(AND(Table24[[#This Row],[ValidEPD]]&lt;&gt;0,Table24[[#This Row],[Man_Ausschluss]]&lt;&gt;0),1,0)</f>
        <v>0</v>
      </c>
      <c r="AM227" s="17" cm="1">
        <f t="array" aca="1" ref="AM227" ca="1">IF(Table24[[#This Row],[gültig]]&lt;&gt;0,
IF(
OR(
V227=MIN(_xlfn._xlws.FILTER($V$2:$V$298,($P$2:$P$298=P227)*($N$2:$N$298=N227)*($AL$2:$AL$298&lt;&gt;0))),
V227=MAX(_xlfn._xlws.FILTER($V$2:$V$298,($P$2:$P$298=P227)*($N$2:$N$298=N227)*($AL$2:$AL$298&lt;&gt;0))),
ROWS(_xlfn._xlws.FILTER($V$2:$V$298,($P$2:$P$298=P227)*($N$2:$N$298=N227)*($AL$2:$AL$298&lt;&gt;0)))&lt;=2
),1,0),0)</f>
        <v>0</v>
      </c>
      <c r="AN227" s="138"/>
      <c r="AO227" s="51"/>
      <c r="AP227" s="51"/>
    </row>
    <row r="228" spans="1:42" x14ac:dyDescent="0.2">
      <c r="A228" s="161" t="s">
        <v>361</v>
      </c>
      <c r="B228" s="9" t="s">
        <v>519</v>
      </c>
      <c r="C228" s="100">
        <v>227</v>
      </c>
      <c r="D228" s="1" t="s">
        <v>124</v>
      </c>
      <c r="E228" s="162" t="s">
        <v>125</v>
      </c>
      <c r="F228" s="162"/>
      <c r="G228" s="163">
        <v>43398</v>
      </c>
      <c r="H228" s="163">
        <v>45223</v>
      </c>
      <c r="I228" s="84" t="s">
        <v>264</v>
      </c>
      <c r="J228" s="164" t="s">
        <v>612</v>
      </c>
      <c r="K228" s="165" t="s">
        <v>128</v>
      </c>
      <c r="L228" s="260" t="s">
        <v>324</v>
      </c>
      <c r="M228" s="162" t="s">
        <v>316</v>
      </c>
      <c r="N228" s="167" t="s">
        <v>318</v>
      </c>
      <c r="O228" s="162" t="s">
        <v>415</v>
      </c>
      <c r="P228" s="84" t="s">
        <v>539</v>
      </c>
      <c r="Q228" s="84">
        <v>7850</v>
      </c>
      <c r="R228" s="162" t="s">
        <v>415</v>
      </c>
      <c r="S228" s="162" t="s">
        <v>415</v>
      </c>
      <c r="T228" s="162" t="s">
        <v>415</v>
      </c>
      <c r="U228" s="168" t="s">
        <v>415</v>
      </c>
      <c r="V228" s="129">
        <f>SUM(Table24[[#This Row],[A1toA3_GWP]:[C1toC4_GWP]])</f>
        <v>1131.8399999999999</v>
      </c>
      <c r="W228" s="107">
        <f>VLOOKUP("FR",[2]Sheet1!$B$11:$F$30,4,FALSE)+Table24[[#This Row],[Total_GWP]]</f>
        <v>1202.04</v>
      </c>
      <c r="X228" s="107">
        <f>VLOOKUP("FR",[2]Sheet1!$B$11:$F$30,5,FALSE)+Table24[[#This Row],[Total_GWP]]</f>
        <v>1139.04</v>
      </c>
      <c r="Y228" s="129">
        <f>Table24[[#This Row],[Total_GWP]]*Table24[[#This Row],[DENSITY]]/1000</f>
        <v>8884.9439999999995</v>
      </c>
      <c r="Z228" s="231">
        <v>1130</v>
      </c>
      <c r="AA228" s="72">
        <v>1.84</v>
      </c>
      <c r="AB228" s="73"/>
      <c r="AC228" s="73"/>
      <c r="AD228" s="73"/>
      <c r="AE228" s="75"/>
      <c r="AF228" s="107"/>
      <c r="AG228" s="129"/>
      <c r="AH228" s="129"/>
      <c r="AI228" s="75"/>
      <c r="AJ228" s="385">
        <f ca="1">IF(OR($E228="Ecoinvent",$E228="Betonsortenrechner",$E228="KBOB",$V228&lt;=0,Table24[[#This Row],[VALID_TO]]&lt;=TODAY()),0,1)</f>
        <v>0</v>
      </c>
      <c r="AK228" s="199">
        <v>1</v>
      </c>
      <c r="AL228" s="199">
        <f ca="1">IF(AND(Table24[[#This Row],[ValidEPD]]&lt;&gt;0,Table24[[#This Row],[Man_Ausschluss]]&lt;&gt;0),1,0)</f>
        <v>0</v>
      </c>
      <c r="AM228" s="17" cm="1">
        <f t="array" aca="1" ref="AM228" ca="1">IF(Table24[[#This Row],[gültig]]&lt;&gt;0,
IF(
OR(
V228=MIN(_xlfn._xlws.FILTER($V$2:$V$298,($P$2:$P$298=P228)*($N$2:$N$298=N228)*($AL$2:$AL$298&lt;&gt;0))),
V228=MAX(_xlfn._xlws.FILTER($V$2:$V$298,($P$2:$P$298=P228)*($N$2:$N$298=N228)*($AL$2:$AL$298&lt;&gt;0))),
ROWS(_xlfn._xlws.FILTER($V$2:$V$298,($P$2:$P$298=P228)*($N$2:$N$298=N228)*($AL$2:$AL$298&lt;&gt;0)))&lt;=2
),1,0),0)</f>
        <v>0</v>
      </c>
      <c r="AN228" s="138"/>
      <c r="AO228" s="51"/>
      <c r="AP228" s="51"/>
    </row>
    <row r="229" spans="1:42" x14ac:dyDescent="0.2">
      <c r="A229" s="161" t="s">
        <v>361</v>
      </c>
      <c r="B229" s="9" t="s">
        <v>520</v>
      </c>
      <c r="C229" s="96">
        <v>228</v>
      </c>
      <c r="D229" s="1" t="s">
        <v>124</v>
      </c>
      <c r="E229" s="162" t="s">
        <v>125</v>
      </c>
      <c r="F229" s="162"/>
      <c r="G229" s="163">
        <v>43398</v>
      </c>
      <c r="H229" s="163">
        <v>45223</v>
      </c>
      <c r="I229" s="84" t="s">
        <v>264</v>
      </c>
      <c r="J229" s="164" t="s">
        <v>612</v>
      </c>
      <c r="K229" s="165" t="s">
        <v>128</v>
      </c>
      <c r="L229" s="228" t="s">
        <v>324</v>
      </c>
      <c r="M229" s="162" t="s">
        <v>316</v>
      </c>
      <c r="N229" s="167" t="s">
        <v>318</v>
      </c>
      <c r="O229" s="162" t="s">
        <v>415</v>
      </c>
      <c r="P229" s="84" t="s">
        <v>540</v>
      </c>
      <c r="Q229" s="84">
        <v>7850</v>
      </c>
      <c r="R229" s="162" t="s">
        <v>415</v>
      </c>
      <c r="S229" s="162" t="s">
        <v>415</v>
      </c>
      <c r="T229" s="162" t="s">
        <v>415</v>
      </c>
      <c r="U229" s="168" t="s">
        <v>415</v>
      </c>
      <c r="V229" s="129">
        <f>SUM(Table24[[#This Row],[A1toA3_GWP]:[C1toC4_GWP]])</f>
        <v>1131.8399999999999</v>
      </c>
      <c r="W229" s="107">
        <f>VLOOKUP("FR",[2]Sheet1!$B$11:$F$30,4,FALSE)+Table24[[#This Row],[Total_GWP]]</f>
        <v>1202.04</v>
      </c>
      <c r="X229" s="107">
        <f>VLOOKUP("FR",[2]Sheet1!$B$11:$F$30,5,FALSE)+Table24[[#This Row],[Total_GWP]]</f>
        <v>1139.04</v>
      </c>
      <c r="Y229" s="129">
        <f>Table24[[#This Row],[Total_GWP]]*Table24[[#This Row],[DENSITY]]/1000</f>
        <v>8884.9439999999995</v>
      </c>
      <c r="Z229" s="231">
        <v>1130</v>
      </c>
      <c r="AA229" s="72">
        <v>1.84</v>
      </c>
      <c r="AB229" s="73"/>
      <c r="AC229" s="73"/>
      <c r="AD229" s="73"/>
      <c r="AE229" s="75"/>
      <c r="AF229" s="107"/>
      <c r="AG229" s="129"/>
      <c r="AH229" s="129"/>
      <c r="AI229" s="75"/>
      <c r="AJ229" s="385">
        <f ca="1">IF(OR($E229="Ecoinvent",$E229="Betonsortenrechner",$E229="KBOB",$V229&lt;=0,Table24[[#This Row],[VALID_TO]]&lt;=TODAY()),0,1)</f>
        <v>0</v>
      </c>
      <c r="AK229" s="199">
        <v>1</v>
      </c>
      <c r="AL229" s="199">
        <f ca="1">IF(AND(Table24[[#This Row],[ValidEPD]]&lt;&gt;0,Table24[[#This Row],[Man_Ausschluss]]&lt;&gt;0),1,0)</f>
        <v>0</v>
      </c>
      <c r="AM229" s="17" cm="1">
        <f t="array" aca="1" ref="AM229" ca="1">IF(Table24[[#This Row],[gültig]]&lt;&gt;0,
IF(
OR(
V229=MIN(_xlfn._xlws.FILTER($V$2:$V$298,($P$2:$P$298=P229)*($N$2:$N$298=N229)*($AL$2:$AL$298&lt;&gt;0))),
V229=MAX(_xlfn._xlws.FILTER($V$2:$V$298,($P$2:$P$298=P229)*($N$2:$N$298=N229)*($AL$2:$AL$298&lt;&gt;0))),
ROWS(_xlfn._xlws.FILTER($V$2:$V$298,($P$2:$P$298=P229)*($N$2:$N$298=N229)*($AL$2:$AL$298&lt;&gt;0)))&lt;=2
),1,0),0)</f>
        <v>0</v>
      </c>
      <c r="AN229" s="138"/>
      <c r="AO229" s="51"/>
      <c r="AP229" s="51"/>
    </row>
    <row r="230" spans="1:42" x14ac:dyDescent="0.2">
      <c r="A230" s="161" t="s">
        <v>362</v>
      </c>
      <c r="B230" s="9"/>
      <c r="C230" s="100">
        <v>229</v>
      </c>
      <c r="D230" s="1" t="s">
        <v>126</v>
      </c>
      <c r="E230" s="162" t="s">
        <v>127</v>
      </c>
      <c r="F230" s="162"/>
      <c r="G230" s="163">
        <v>41803</v>
      </c>
      <c r="H230" s="163">
        <v>43628</v>
      </c>
      <c r="I230" s="84" t="s">
        <v>51</v>
      </c>
      <c r="J230" s="164" t="s">
        <v>51</v>
      </c>
      <c r="K230" s="165" t="s">
        <v>128</v>
      </c>
      <c r="L230" s="228" t="s">
        <v>324</v>
      </c>
      <c r="M230" s="162" t="s">
        <v>316</v>
      </c>
      <c r="N230" s="167" t="s">
        <v>318</v>
      </c>
      <c r="O230" s="162" t="s">
        <v>415</v>
      </c>
      <c r="P230" s="84" t="s">
        <v>415</v>
      </c>
      <c r="Q230" s="84">
        <v>7850</v>
      </c>
      <c r="R230" s="162" t="s">
        <v>415</v>
      </c>
      <c r="S230" s="162" t="s">
        <v>415</v>
      </c>
      <c r="T230" s="162" t="s">
        <v>415</v>
      </c>
      <c r="U230" s="168" t="s">
        <v>415</v>
      </c>
      <c r="V230" s="129">
        <f>SUM(Table24[[#This Row],[A1toA3_GWP]:[C1toC4_GWP]])</f>
        <v>728</v>
      </c>
      <c r="W230" s="129">
        <f>VLOOKUP(Table24[[#This Row],[Country PRODUCTION]],[2]Sheet1!$B$11:$F$30,4,FALSE)+Table24[[#This Row],[Total_GWP]]</f>
        <v>732.68</v>
      </c>
      <c r="X230" s="129">
        <f>VLOOKUP(Table24[[#This Row],[Country PRODUCTION]],[2]Sheet1!$B$11:$F$30,5,FALSE)+Table24[[#This Row],[Total_GWP]]</f>
        <v>728.48</v>
      </c>
      <c r="Y230" s="129">
        <f>Table24[[#This Row],[Total_GWP]]*Table24[[#This Row],[DENSITY]]/1000</f>
        <v>5714.8</v>
      </c>
      <c r="Z230" s="231">
        <f>0.728*1000</f>
        <v>728</v>
      </c>
      <c r="AA230" s="72">
        <v>0</v>
      </c>
      <c r="AB230" s="73"/>
      <c r="AC230" s="73"/>
      <c r="AD230" s="73"/>
      <c r="AE230" s="75"/>
      <c r="AF230" s="107"/>
      <c r="AG230" s="129"/>
      <c r="AH230" s="129"/>
      <c r="AI230" s="75"/>
      <c r="AJ230" s="385">
        <f ca="1">IF(OR($E230="Ecoinvent",$E230="Betonsortenrechner",$E230="KBOB",$V230&lt;=0,Table24[[#This Row],[VALID_TO]]&lt;=TODAY()),0,1)</f>
        <v>0</v>
      </c>
      <c r="AK230" s="199">
        <v>1</v>
      </c>
      <c r="AL230" s="199">
        <f ca="1">IF(AND(Table24[[#This Row],[ValidEPD]]&lt;&gt;0,Table24[[#This Row],[Man_Ausschluss]]&lt;&gt;0),1,0)</f>
        <v>0</v>
      </c>
      <c r="AM230" s="17" cm="1">
        <f t="array" aca="1" ref="AM230" ca="1">IF(Table24[[#This Row],[gültig]]&lt;&gt;0,
IF(
OR(
V230=MIN(_xlfn._xlws.FILTER($V$2:$V$298,($P$2:$P$298=P230)*($N$2:$N$298=N230)*($AL$2:$AL$298&lt;&gt;0))),
V230=MAX(_xlfn._xlws.FILTER($V$2:$V$298,($P$2:$P$298=P230)*($N$2:$N$298=N230)*($AL$2:$AL$298&lt;&gt;0))),
ROWS(_xlfn._xlws.FILTER($V$2:$V$298,($P$2:$P$298=P230)*($N$2:$N$298=N230)*($AL$2:$AL$298&lt;&gt;0)))&lt;=2
),1,0),0)</f>
        <v>0</v>
      </c>
      <c r="AN230" s="138"/>
      <c r="AO230" s="51"/>
      <c r="AP230" s="51"/>
    </row>
    <row r="231" spans="1:42" x14ac:dyDescent="0.2">
      <c r="A231" s="161" t="s">
        <v>363</v>
      </c>
      <c r="B231" s="9" t="s">
        <v>502</v>
      </c>
      <c r="C231" s="96">
        <v>230</v>
      </c>
      <c r="D231" s="1" t="s">
        <v>129</v>
      </c>
      <c r="E231" s="162" t="s">
        <v>130</v>
      </c>
      <c r="F231" s="162"/>
      <c r="G231" s="163">
        <v>45362</v>
      </c>
      <c r="H231" s="163">
        <v>47190</v>
      </c>
      <c r="I231" s="84" t="s">
        <v>264</v>
      </c>
      <c r="J231" s="164" t="s">
        <v>613</v>
      </c>
      <c r="K231" s="165" t="s">
        <v>134</v>
      </c>
      <c r="L231" s="228" t="s">
        <v>324</v>
      </c>
      <c r="M231" s="162" t="s">
        <v>316</v>
      </c>
      <c r="N231" s="167" t="s">
        <v>318</v>
      </c>
      <c r="O231" s="162" t="s">
        <v>415</v>
      </c>
      <c r="P231" s="84" t="s">
        <v>537</v>
      </c>
      <c r="Q231" s="84">
        <v>7850</v>
      </c>
      <c r="R231" s="162" t="s">
        <v>415</v>
      </c>
      <c r="S231" s="162" t="s">
        <v>415</v>
      </c>
      <c r="T231" s="162" t="s">
        <v>415</v>
      </c>
      <c r="U231" s="168" t="s">
        <v>415</v>
      </c>
      <c r="V231" s="129">
        <f>SUM(Table24[[#This Row],[A1toA3_GWP]:[C1toC4_GWP]])</f>
        <v>352.01</v>
      </c>
      <c r="W231" s="107">
        <f>VLOOKUP("AT",[2]Sheet1!$B$11:$F$30,4,FALSE)+Table24[[#This Row],[Total_GWP]]</f>
        <v>422.21</v>
      </c>
      <c r="X231" s="107">
        <f>VLOOKUP("AT",[2]Sheet1!$B$11:$F$30,5,FALSE)+Table24[[#This Row],[Total_GWP]]</f>
        <v>359.21</v>
      </c>
      <c r="Y231" s="129">
        <f>Table24[[#This Row],[Total_GWP]]*Table24[[#This Row],[DENSITY]]/1000</f>
        <v>2763.2784999999999</v>
      </c>
      <c r="Z231" s="231">
        <v>335</v>
      </c>
      <c r="AA231" s="72">
        <f>2.51+14.5</f>
        <v>17.009999999999998</v>
      </c>
      <c r="AB231" s="73"/>
      <c r="AC231" s="73"/>
      <c r="AD231" s="73"/>
      <c r="AE231" s="75"/>
      <c r="AF231" s="107"/>
      <c r="AG231" s="129"/>
      <c r="AH231" s="129"/>
      <c r="AI231" s="75"/>
      <c r="AJ231" s="385">
        <f ca="1">IF(OR($E231="Ecoinvent",$E231="Betonsortenrechner",$E231="KBOB",$V231&lt;=0,Table24[[#This Row],[VALID_TO]]&lt;=TODAY()),0,1)</f>
        <v>1</v>
      </c>
      <c r="AK231" s="199">
        <v>1</v>
      </c>
      <c r="AL231" s="199">
        <f ca="1">IF(AND(Table24[[#This Row],[ValidEPD]]&lt;&gt;0,Table24[[#This Row],[Man_Ausschluss]]&lt;&gt;0),1,0)</f>
        <v>1</v>
      </c>
      <c r="AM231" s="17" cm="1">
        <f t="array" aca="1" ref="AM231" ca="1">IF(Table24[[#This Row],[gültig]]&lt;&gt;0,
IF(
OR(
V231=MIN(_xlfn._xlws.FILTER($V$2:$V$298,($P$2:$P$298=P231)*($N$2:$N$298=N231)*($AL$2:$AL$298&lt;&gt;0))),
V231=MAX(_xlfn._xlws.FILTER($V$2:$V$298,($P$2:$P$298=P231)*($N$2:$N$298=N231)*($AL$2:$AL$298&lt;&gt;0))),
ROWS(_xlfn._xlws.FILTER($V$2:$V$298,($P$2:$P$298=P231)*($N$2:$N$298=N231)*($AL$2:$AL$298&lt;&gt;0)))&lt;=2
),1,0),0)</f>
        <v>0</v>
      </c>
      <c r="AN231" s="138"/>
      <c r="AO231" s="51"/>
      <c r="AP231" s="51"/>
    </row>
    <row r="232" spans="1:42" x14ac:dyDescent="0.2">
      <c r="A232" s="161" t="s">
        <v>363</v>
      </c>
      <c r="B232" s="9" t="s">
        <v>518</v>
      </c>
      <c r="C232" s="100">
        <v>231</v>
      </c>
      <c r="D232" s="1" t="s">
        <v>129</v>
      </c>
      <c r="E232" s="162" t="s">
        <v>130</v>
      </c>
      <c r="F232" s="162"/>
      <c r="G232" s="163">
        <v>45362</v>
      </c>
      <c r="H232" s="163">
        <v>47190</v>
      </c>
      <c r="I232" s="84" t="s">
        <v>264</v>
      </c>
      <c r="J232" s="164" t="s">
        <v>613</v>
      </c>
      <c r="K232" s="165" t="s">
        <v>134</v>
      </c>
      <c r="L232" s="228" t="s">
        <v>324</v>
      </c>
      <c r="M232" s="162" t="s">
        <v>316</v>
      </c>
      <c r="N232" s="167" t="s">
        <v>318</v>
      </c>
      <c r="O232" s="162" t="s">
        <v>415</v>
      </c>
      <c r="P232" s="84" t="s">
        <v>538</v>
      </c>
      <c r="Q232" s="84">
        <v>7850</v>
      </c>
      <c r="R232" s="162" t="s">
        <v>415</v>
      </c>
      <c r="S232" s="162" t="s">
        <v>415</v>
      </c>
      <c r="T232" s="162" t="s">
        <v>415</v>
      </c>
      <c r="U232" s="168" t="s">
        <v>415</v>
      </c>
      <c r="V232" s="129">
        <f>SUM(Table24[[#This Row],[A1toA3_GWP]:[C1toC4_GWP]])</f>
        <v>352.01</v>
      </c>
      <c r="W232" s="107">
        <f>VLOOKUP("AT",[2]Sheet1!$B$11:$F$30,4,FALSE)+Table24[[#This Row],[Total_GWP]]</f>
        <v>422.21</v>
      </c>
      <c r="X232" s="107">
        <f>VLOOKUP("AT",[2]Sheet1!$B$11:$F$30,5,FALSE)+Table24[[#This Row],[Total_GWP]]</f>
        <v>359.21</v>
      </c>
      <c r="Y232" s="129">
        <f>Table24[[#This Row],[Total_GWP]]*Table24[[#This Row],[DENSITY]]/1000</f>
        <v>2763.2784999999999</v>
      </c>
      <c r="Z232" s="231">
        <v>335</v>
      </c>
      <c r="AA232" s="72">
        <f>2.51+14.5</f>
        <v>17.009999999999998</v>
      </c>
      <c r="AB232" s="73"/>
      <c r="AC232" s="73"/>
      <c r="AD232" s="73"/>
      <c r="AE232" s="75"/>
      <c r="AF232" s="107"/>
      <c r="AG232" s="129"/>
      <c r="AH232" s="129"/>
      <c r="AI232" s="75"/>
      <c r="AJ232" s="385">
        <f ca="1">IF(OR($E232="Ecoinvent",$E232="Betonsortenrechner",$E232="KBOB",$V232&lt;=0,Table24[[#This Row],[VALID_TO]]&lt;=TODAY()),0,1)</f>
        <v>1</v>
      </c>
      <c r="AK232" s="199">
        <v>1</v>
      </c>
      <c r="AL232" s="199">
        <f ca="1">IF(AND(Table24[[#This Row],[ValidEPD]]&lt;&gt;0,Table24[[#This Row],[Man_Ausschluss]]&lt;&gt;0),1,0)</f>
        <v>1</v>
      </c>
      <c r="AM232" s="17" cm="1">
        <f t="array" aca="1" ref="AM232" ca="1">IF(Table24[[#This Row],[gültig]]&lt;&gt;0,
IF(
OR(
V232=MIN(_xlfn._xlws.FILTER($V$2:$V$298,($P$2:$P$298=P232)*($N$2:$N$298=N232)*($AL$2:$AL$298&lt;&gt;0))),
V232=MAX(_xlfn._xlws.FILTER($V$2:$V$298,($P$2:$P$298=P232)*($N$2:$N$298=N232)*($AL$2:$AL$298&lt;&gt;0))),
ROWS(_xlfn._xlws.FILTER($V$2:$V$298,($P$2:$P$298=P232)*($N$2:$N$298=N232)*($AL$2:$AL$298&lt;&gt;0)))&lt;=2
),1,0),0)</f>
        <v>1</v>
      </c>
      <c r="AN232" s="138"/>
      <c r="AO232" s="51"/>
      <c r="AP232" s="51"/>
    </row>
    <row r="233" spans="1:42" x14ac:dyDescent="0.2">
      <c r="A233" s="161" t="s">
        <v>363</v>
      </c>
      <c r="B233" s="9" t="s">
        <v>519</v>
      </c>
      <c r="C233" s="96">
        <v>232</v>
      </c>
      <c r="D233" s="1" t="s">
        <v>129</v>
      </c>
      <c r="E233" s="162" t="s">
        <v>130</v>
      </c>
      <c r="F233" s="162"/>
      <c r="G233" s="163">
        <v>45362</v>
      </c>
      <c r="H233" s="163">
        <v>47190</v>
      </c>
      <c r="I233" s="84" t="s">
        <v>264</v>
      </c>
      <c r="J233" s="164" t="s">
        <v>613</v>
      </c>
      <c r="K233" s="165" t="s">
        <v>134</v>
      </c>
      <c r="L233" s="228" t="s">
        <v>324</v>
      </c>
      <c r="M233" s="162" t="s">
        <v>316</v>
      </c>
      <c r="N233" s="167" t="s">
        <v>318</v>
      </c>
      <c r="O233" s="162" t="s">
        <v>415</v>
      </c>
      <c r="P233" s="84" t="s">
        <v>539</v>
      </c>
      <c r="Q233" s="84">
        <v>7850</v>
      </c>
      <c r="R233" s="162" t="s">
        <v>415</v>
      </c>
      <c r="S233" s="162" t="s">
        <v>415</v>
      </c>
      <c r="T233" s="162" t="s">
        <v>415</v>
      </c>
      <c r="U233" s="168" t="s">
        <v>415</v>
      </c>
      <c r="V233" s="129">
        <f>SUM(Table24[[#This Row],[A1toA3_GWP]:[C1toC4_GWP]])</f>
        <v>352.01</v>
      </c>
      <c r="W233" s="107">
        <f>VLOOKUP("AT",[2]Sheet1!$B$11:$F$30,4,FALSE)+Table24[[#This Row],[Total_GWP]]</f>
        <v>422.21</v>
      </c>
      <c r="X233" s="107">
        <f>VLOOKUP("AT",[2]Sheet1!$B$11:$F$30,5,FALSE)+Table24[[#This Row],[Total_GWP]]</f>
        <v>359.21</v>
      </c>
      <c r="Y233" s="129">
        <f>Table24[[#This Row],[Total_GWP]]*Table24[[#This Row],[DENSITY]]/1000</f>
        <v>2763.2784999999999</v>
      </c>
      <c r="Z233" s="231">
        <v>335</v>
      </c>
      <c r="AA233" s="72">
        <f>2.51+14.5</f>
        <v>17.009999999999998</v>
      </c>
      <c r="AB233" s="73"/>
      <c r="AC233" s="73"/>
      <c r="AD233" s="73"/>
      <c r="AE233" s="75"/>
      <c r="AF233" s="107"/>
      <c r="AG233" s="129"/>
      <c r="AH233" s="129"/>
      <c r="AI233" s="75"/>
      <c r="AJ233" s="385">
        <f ca="1">IF(OR($E233="Ecoinvent",$E233="Betonsortenrechner",$E233="KBOB",$V233&lt;=0,Table24[[#This Row],[VALID_TO]]&lt;=TODAY()),0,1)</f>
        <v>1</v>
      </c>
      <c r="AK233" s="199">
        <v>1</v>
      </c>
      <c r="AL233" s="199">
        <f ca="1">IF(AND(Table24[[#This Row],[ValidEPD]]&lt;&gt;0,Table24[[#This Row],[Man_Ausschluss]]&lt;&gt;0),1,0)</f>
        <v>1</v>
      </c>
      <c r="AM233" s="17" cm="1">
        <f t="array" aca="1" ref="AM233" ca="1">IF(Table24[[#This Row],[gültig]]&lt;&gt;0,
IF(
OR(
V233=MIN(_xlfn._xlws.FILTER($V$2:$V$298,($P$2:$P$298=P233)*($N$2:$N$298=N233)*($AL$2:$AL$298&lt;&gt;0))),
V233=MAX(_xlfn._xlws.FILTER($V$2:$V$298,($P$2:$P$298=P233)*($N$2:$N$298=N233)*($AL$2:$AL$298&lt;&gt;0))),
ROWS(_xlfn._xlws.FILTER($V$2:$V$298,($P$2:$P$298=P233)*($N$2:$N$298=N233)*($AL$2:$AL$298&lt;&gt;0)))&lt;=2
),1,0),0)</f>
        <v>1</v>
      </c>
      <c r="AN233" s="138"/>
      <c r="AO233" s="51"/>
      <c r="AP233" s="51"/>
    </row>
    <row r="234" spans="1:42" x14ac:dyDescent="0.2">
      <c r="A234" s="161" t="s">
        <v>364</v>
      </c>
      <c r="B234" s="9"/>
      <c r="C234" s="100">
        <v>233</v>
      </c>
      <c r="D234" s="1" t="s">
        <v>131</v>
      </c>
      <c r="E234" s="162" t="s">
        <v>132</v>
      </c>
      <c r="F234" s="162"/>
      <c r="G234" s="226">
        <v>44396</v>
      </c>
      <c r="H234" s="163">
        <v>46221</v>
      </c>
      <c r="I234" s="84" t="s">
        <v>595</v>
      </c>
      <c r="J234" s="164" t="s">
        <v>614</v>
      </c>
      <c r="K234" s="165" t="s">
        <v>133</v>
      </c>
      <c r="L234" s="228" t="s">
        <v>324</v>
      </c>
      <c r="M234" s="162" t="s">
        <v>316</v>
      </c>
      <c r="N234" s="167" t="s">
        <v>318</v>
      </c>
      <c r="O234" s="162" t="s">
        <v>415</v>
      </c>
      <c r="P234" s="84" t="s">
        <v>415</v>
      </c>
      <c r="Q234" s="84">
        <v>7850</v>
      </c>
      <c r="R234" s="162" t="s">
        <v>415</v>
      </c>
      <c r="S234" s="162" t="s">
        <v>415</v>
      </c>
      <c r="T234" s="162" t="s">
        <v>415</v>
      </c>
      <c r="U234" s="168" t="s">
        <v>415</v>
      </c>
      <c r="V234" s="129">
        <f>SUM(Table24[[#This Row],[A1toA3_GWP]:[C1toC4_GWP]])</f>
        <v>348.9</v>
      </c>
      <c r="W234" s="107">
        <f>VLOOKUP("LU",[2]Sheet1!$B$11:$F$30,4,FALSE)+Table24[[#This Row],[Total_GWP]]</f>
        <v>407.4</v>
      </c>
      <c r="X234" s="107">
        <f>VLOOKUP("LU",[2]Sheet1!$B$11:$F$30,5,FALSE)+Table24[[#This Row],[Total_GWP]]</f>
        <v>354.9</v>
      </c>
      <c r="Y234" s="129">
        <f>Table24[[#This Row],[Total_GWP]]*Table24[[#This Row],[DENSITY]]/1000</f>
        <v>2738.8649999999998</v>
      </c>
      <c r="Z234" s="231">
        <v>333</v>
      </c>
      <c r="AA234" s="72">
        <f>1.6+14.3</f>
        <v>15.9</v>
      </c>
      <c r="AB234" s="73"/>
      <c r="AC234" s="73"/>
      <c r="AD234" s="73"/>
      <c r="AE234" s="75"/>
      <c r="AF234" s="107"/>
      <c r="AG234" s="129"/>
      <c r="AH234" s="129"/>
      <c r="AI234" s="75"/>
      <c r="AJ234" s="385">
        <f ca="1">IF(OR($E234="Ecoinvent",$E234="Betonsortenrechner",$E234="KBOB",$V234&lt;=0,Table24[[#This Row],[VALID_TO]]&lt;=TODAY()),0,1)</f>
        <v>0</v>
      </c>
      <c r="AK234" s="199">
        <v>1</v>
      </c>
      <c r="AL234" s="199">
        <f ca="1">IF(AND(Table24[[#This Row],[ValidEPD]]&lt;&gt;0,Table24[[#This Row],[Man_Ausschluss]]&lt;&gt;0),1,0)</f>
        <v>0</v>
      </c>
      <c r="AM234" s="17" cm="1">
        <f t="array" aca="1" ref="AM234" ca="1">IF(Table24[[#This Row],[gültig]]&lt;&gt;0,
IF(
OR(
V234=MIN(_xlfn._xlws.FILTER($V$2:$V$298,($P$2:$P$298=P234)*($N$2:$N$298=N234)*($AL$2:$AL$298&lt;&gt;0))),
V234=MAX(_xlfn._xlws.FILTER($V$2:$V$298,($P$2:$P$298=P234)*($N$2:$N$298=N234)*($AL$2:$AL$298&lt;&gt;0))),
ROWS(_xlfn._xlws.FILTER($V$2:$V$298,($P$2:$P$298=P234)*($N$2:$N$298=N234)*($AL$2:$AL$298&lt;&gt;0)))&lt;=2
),1,0),0)</f>
        <v>0</v>
      </c>
      <c r="AN234" s="138"/>
      <c r="AO234" s="51"/>
      <c r="AP234" s="51"/>
    </row>
    <row r="235" spans="1:42" x14ac:dyDescent="0.2">
      <c r="A235" s="161" t="s">
        <v>365</v>
      </c>
      <c r="B235" s="9" t="s">
        <v>502</v>
      </c>
      <c r="C235" s="96">
        <v>234</v>
      </c>
      <c r="D235" s="1" t="s">
        <v>135</v>
      </c>
      <c r="E235" s="162" t="s">
        <v>136</v>
      </c>
      <c r="F235" s="162"/>
      <c r="G235" s="163">
        <v>45205</v>
      </c>
      <c r="H235" s="163">
        <v>47031</v>
      </c>
      <c r="I235" s="84" t="s">
        <v>264</v>
      </c>
      <c r="J235" s="164" t="s">
        <v>615</v>
      </c>
      <c r="K235" s="165" t="s">
        <v>128</v>
      </c>
      <c r="L235" s="228" t="s">
        <v>324</v>
      </c>
      <c r="M235" s="162" t="s">
        <v>316</v>
      </c>
      <c r="N235" s="167" t="s">
        <v>318</v>
      </c>
      <c r="O235" s="162" t="s">
        <v>415</v>
      </c>
      <c r="P235" s="84" t="s">
        <v>537</v>
      </c>
      <c r="Q235" s="84">
        <v>7850</v>
      </c>
      <c r="R235" s="162" t="s">
        <v>415</v>
      </c>
      <c r="S235" s="162" t="s">
        <v>415</v>
      </c>
      <c r="T235" s="162" t="s">
        <v>415</v>
      </c>
      <c r="U235" s="168" t="s">
        <v>415</v>
      </c>
      <c r="V235" s="129">
        <f>SUM(Table24[[#This Row],[A1toA3_GWP]:[C1toC4_GWP]])</f>
        <v>564.70000000000005</v>
      </c>
      <c r="W235" s="107">
        <f>VLOOKUP("DE",[2]Sheet1!$B$11:$F$30,4,FALSE)+Table24[[#This Row],[Total_GWP]]</f>
        <v>640.75</v>
      </c>
      <c r="X235" s="107">
        <f>VLOOKUP("DE",[2]Sheet1!$B$11:$F$30,5,FALSE)+Table24[[#This Row],[Total_GWP]]</f>
        <v>572.5</v>
      </c>
      <c r="Y235" s="129">
        <f>Table24[[#This Row],[Total_GWP]]*Table24[[#This Row],[DENSITY]]/1000</f>
        <v>4432.8950000000004</v>
      </c>
      <c r="Z235" s="231">
        <v>560</v>
      </c>
      <c r="AA235" s="72">
        <f>2.19+2.51</f>
        <v>4.6999999999999993</v>
      </c>
      <c r="AB235" s="73"/>
      <c r="AC235" s="73"/>
      <c r="AD235" s="73"/>
      <c r="AE235" s="75"/>
      <c r="AF235" s="107"/>
      <c r="AG235" s="129"/>
      <c r="AH235" s="129"/>
      <c r="AI235" s="75"/>
      <c r="AJ235" s="385">
        <f ca="1">IF(OR($E235="Ecoinvent",$E235="Betonsortenrechner",$E235="KBOB",$V235&lt;=0,Table24[[#This Row],[VALID_TO]]&lt;=TODAY()),0,1)</f>
        <v>1</v>
      </c>
      <c r="AK235" s="199">
        <v>1</v>
      </c>
      <c r="AL235" s="199">
        <f ca="1">IF(AND(Table24[[#This Row],[ValidEPD]]&lt;&gt;0,Table24[[#This Row],[Man_Ausschluss]]&lt;&gt;0),1,0)</f>
        <v>1</v>
      </c>
      <c r="AM235" s="17" cm="1">
        <f t="array" aca="1" ref="AM235" ca="1">IF(Table24[[#This Row],[gültig]]&lt;&gt;0,
IF(
OR(
V235=MIN(_xlfn._xlws.FILTER($V$2:$V$298,($P$2:$P$298=P235)*($N$2:$N$298=N235)*($AL$2:$AL$298&lt;&gt;0))),
V235=MAX(_xlfn._xlws.FILTER($V$2:$V$298,($P$2:$P$298=P235)*($N$2:$N$298=N235)*($AL$2:$AL$298&lt;&gt;0))),
ROWS(_xlfn._xlws.FILTER($V$2:$V$298,($P$2:$P$298=P235)*($N$2:$N$298=N235)*($AL$2:$AL$298&lt;&gt;0)))&lt;=2
),1,0),0)</f>
        <v>0</v>
      </c>
      <c r="AN235" s="138"/>
      <c r="AO235" s="51"/>
      <c r="AP235" s="51"/>
    </row>
    <row r="236" spans="1:42" x14ac:dyDescent="0.2">
      <c r="A236" s="161" t="s">
        <v>365</v>
      </c>
      <c r="B236" s="9" t="s">
        <v>518</v>
      </c>
      <c r="C236" s="100">
        <v>235</v>
      </c>
      <c r="D236" s="1" t="s">
        <v>135</v>
      </c>
      <c r="E236" s="162" t="s">
        <v>136</v>
      </c>
      <c r="F236" s="162"/>
      <c r="G236" s="163">
        <v>45205</v>
      </c>
      <c r="H236" s="163">
        <v>47031</v>
      </c>
      <c r="I236" s="84" t="s">
        <v>264</v>
      </c>
      <c r="J236" s="164" t="s">
        <v>615</v>
      </c>
      <c r="K236" s="165" t="s">
        <v>128</v>
      </c>
      <c r="L236" s="260" t="s">
        <v>324</v>
      </c>
      <c r="M236" s="162" t="s">
        <v>316</v>
      </c>
      <c r="N236" s="261" t="s">
        <v>318</v>
      </c>
      <c r="O236" s="162" t="s">
        <v>415</v>
      </c>
      <c r="P236" s="84" t="s">
        <v>538</v>
      </c>
      <c r="Q236" s="84">
        <v>7850</v>
      </c>
      <c r="R236" s="162" t="s">
        <v>415</v>
      </c>
      <c r="S236" s="162" t="s">
        <v>415</v>
      </c>
      <c r="T236" s="162" t="s">
        <v>415</v>
      </c>
      <c r="U236" s="168" t="s">
        <v>415</v>
      </c>
      <c r="V236" s="129">
        <f>SUM(Table24[[#This Row],[A1toA3_GWP]:[C1toC4_GWP]])</f>
        <v>564.70000000000005</v>
      </c>
      <c r="W236" s="107">
        <f>VLOOKUP("DE",[2]Sheet1!$B$11:$F$30,4,FALSE)+Table24[[#This Row],[Total_GWP]]</f>
        <v>640.75</v>
      </c>
      <c r="X236" s="107">
        <f>VLOOKUP("DE",[2]Sheet1!$B$11:$F$30,5,FALSE)+Table24[[#This Row],[Total_GWP]]</f>
        <v>572.5</v>
      </c>
      <c r="Y236" s="129">
        <f>Table24[[#This Row],[Total_GWP]]*Table24[[#This Row],[DENSITY]]/1000</f>
        <v>4432.8950000000004</v>
      </c>
      <c r="Z236" s="231">
        <v>560</v>
      </c>
      <c r="AA236" s="72">
        <f>2.19+2.51</f>
        <v>4.6999999999999993</v>
      </c>
      <c r="AB236" s="73"/>
      <c r="AC236" s="73"/>
      <c r="AD236" s="73"/>
      <c r="AE236" s="75"/>
      <c r="AF236" s="107"/>
      <c r="AG236" s="129"/>
      <c r="AH236" s="129"/>
      <c r="AI236" s="75"/>
      <c r="AJ236" s="385">
        <f ca="1">IF(OR($E236="Ecoinvent",$E236="Betonsortenrechner",$E236="KBOB",$V236&lt;=0,Table24[[#This Row],[VALID_TO]]&lt;=TODAY()),0,1)</f>
        <v>1</v>
      </c>
      <c r="AK236" s="199">
        <v>1</v>
      </c>
      <c r="AL236" s="199">
        <f ca="1">IF(AND(Table24[[#This Row],[ValidEPD]]&lt;&gt;0,Table24[[#This Row],[Man_Ausschluss]]&lt;&gt;0),1,0)</f>
        <v>1</v>
      </c>
      <c r="AM236" s="17" cm="1">
        <f t="array" aca="1" ref="AM236" ca="1">IF(Table24[[#This Row],[gültig]]&lt;&gt;0,
IF(
OR(
V236=MIN(_xlfn._xlws.FILTER($V$2:$V$298,($P$2:$P$298=P236)*($N$2:$N$298=N236)*($AL$2:$AL$298&lt;&gt;0))),
V236=MAX(_xlfn._xlws.FILTER($V$2:$V$298,($P$2:$P$298=P236)*($N$2:$N$298=N236)*($AL$2:$AL$298&lt;&gt;0))),
ROWS(_xlfn._xlws.FILTER($V$2:$V$298,($P$2:$P$298=P236)*($N$2:$N$298=N236)*($AL$2:$AL$298&lt;&gt;0)))&lt;=2
),1,0),0)</f>
        <v>0</v>
      </c>
      <c r="AN236" s="138"/>
      <c r="AO236" s="51"/>
      <c r="AP236" s="51"/>
    </row>
    <row r="237" spans="1:42" x14ac:dyDescent="0.2">
      <c r="A237" s="161" t="s">
        <v>365</v>
      </c>
      <c r="B237" s="9" t="s">
        <v>519</v>
      </c>
      <c r="C237" s="96">
        <v>236</v>
      </c>
      <c r="D237" s="1" t="s">
        <v>135</v>
      </c>
      <c r="E237" s="162" t="s">
        <v>136</v>
      </c>
      <c r="F237" s="162"/>
      <c r="G237" s="163">
        <v>45205</v>
      </c>
      <c r="H237" s="163">
        <v>47031</v>
      </c>
      <c r="I237" s="84" t="s">
        <v>264</v>
      </c>
      <c r="J237" s="164" t="s">
        <v>615</v>
      </c>
      <c r="K237" s="165" t="s">
        <v>128</v>
      </c>
      <c r="L237" s="260" t="s">
        <v>324</v>
      </c>
      <c r="M237" s="162" t="s">
        <v>316</v>
      </c>
      <c r="N237" s="261" t="s">
        <v>318</v>
      </c>
      <c r="O237" s="162" t="s">
        <v>415</v>
      </c>
      <c r="P237" s="84" t="s">
        <v>539</v>
      </c>
      <c r="Q237" s="84">
        <v>7850</v>
      </c>
      <c r="R237" s="162" t="s">
        <v>415</v>
      </c>
      <c r="S237" s="162" t="s">
        <v>415</v>
      </c>
      <c r="T237" s="162" t="s">
        <v>415</v>
      </c>
      <c r="U237" s="168" t="s">
        <v>415</v>
      </c>
      <c r="V237" s="129">
        <f>SUM(Table24[[#This Row],[A1toA3_GWP]:[C1toC4_GWP]])</f>
        <v>564.70000000000005</v>
      </c>
      <c r="W237" s="107">
        <f>VLOOKUP("DE",[2]Sheet1!$B$11:$F$30,4,FALSE)+Table24[[#This Row],[Total_GWP]]</f>
        <v>640.75</v>
      </c>
      <c r="X237" s="107">
        <f>VLOOKUP("DE",[2]Sheet1!$B$11:$F$30,5,FALSE)+Table24[[#This Row],[Total_GWP]]</f>
        <v>572.5</v>
      </c>
      <c r="Y237" s="129">
        <f>Table24[[#This Row],[Total_GWP]]*Table24[[#This Row],[DENSITY]]/1000</f>
        <v>4432.8950000000004</v>
      </c>
      <c r="Z237" s="231">
        <v>560</v>
      </c>
      <c r="AA237" s="72">
        <f>2.19+2.51</f>
        <v>4.6999999999999993</v>
      </c>
      <c r="AB237" s="73"/>
      <c r="AC237" s="73"/>
      <c r="AD237" s="73"/>
      <c r="AE237" s="75"/>
      <c r="AF237" s="107"/>
      <c r="AG237" s="129"/>
      <c r="AH237" s="129"/>
      <c r="AI237" s="75"/>
      <c r="AJ237" s="385">
        <f ca="1">IF(OR($E237="Ecoinvent",$E237="Betonsortenrechner",$E237="KBOB",$V237&lt;=0,Table24[[#This Row],[VALID_TO]]&lt;=TODAY()),0,1)</f>
        <v>1</v>
      </c>
      <c r="AK237" s="199">
        <v>1</v>
      </c>
      <c r="AL237" s="199">
        <f ca="1">IF(AND(Table24[[#This Row],[ValidEPD]]&lt;&gt;0,Table24[[#This Row],[Man_Ausschluss]]&lt;&gt;0),1,0)</f>
        <v>1</v>
      </c>
      <c r="AM237" s="17" cm="1">
        <f t="array" aca="1" ref="AM237" ca="1">IF(Table24[[#This Row],[gültig]]&lt;&gt;0,
IF(
OR(
V237=MIN(_xlfn._xlws.FILTER($V$2:$V$298,($P$2:$P$298=P237)*($N$2:$N$298=N237)*($AL$2:$AL$298&lt;&gt;0))),
V237=MAX(_xlfn._xlws.FILTER($V$2:$V$298,($P$2:$P$298=P237)*($N$2:$N$298=N237)*($AL$2:$AL$298&lt;&gt;0))),
ROWS(_xlfn._xlws.FILTER($V$2:$V$298,($P$2:$P$298=P237)*($N$2:$N$298=N237)*($AL$2:$AL$298&lt;&gt;0)))&lt;=2
),1,0),0)</f>
        <v>1</v>
      </c>
      <c r="AN237" s="138"/>
      <c r="AO237" s="51"/>
      <c r="AP237" s="51"/>
    </row>
    <row r="238" spans="1:42" x14ac:dyDescent="0.2">
      <c r="A238" s="161" t="s">
        <v>365</v>
      </c>
      <c r="B238" s="9" t="s">
        <v>520</v>
      </c>
      <c r="C238" s="100">
        <v>237</v>
      </c>
      <c r="D238" s="1" t="s">
        <v>135</v>
      </c>
      <c r="E238" s="162" t="s">
        <v>136</v>
      </c>
      <c r="F238" s="162"/>
      <c r="G238" s="163">
        <v>45205</v>
      </c>
      <c r="H238" s="163">
        <v>47031</v>
      </c>
      <c r="I238" s="84" t="s">
        <v>264</v>
      </c>
      <c r="J238" s="164" t="s">
        <v>615</v>
      </c>
      <c r="K238" s="165" t="s">
        <v>128</v>
      </c>
      <c r="L238" s="260" t="s">
        <v>324</v>
      </c>
      <c r="M238" s="162" t="s">
        <v>316</v>
      </c>
      <c r="N238" s="261" t="s">
        <v>318</v>
      </c>
      <c r="O238" s="162" t="s">
        <v>415</v>
      </c>
      <c r="P238" s="84" t="s">
        <v>541</v>
      </c>
      <c r="Q238" s="84">
        <v>7850</v>
      </c>
      <c r="R238" s="162" t="s">
        <v>415</v>
      </c>
      <c r="S238" s="162" t="s">
        <v>415</v>
      </c>
      <c r="T238" s="162" t="s">
        <v>415</v>
      </c>
      <c r="U238" s="168" t="s">
        <v>415</v>
      </c>
      <c r="V238" s="129">
        <f>SUM(Table24[[#This Row],[A1toA3_GWP]:[C1toC4_GWP]])</f>
        <v>564.70000000000005</v>
      </c>
      <c r="W238" s="107">
        <f>VLOOKUP("DE",[2]Sheet1!$B$11:$F$30,4,FALSE)+Table24[[#This Row],[Total_GWP]]</f>
        <v>640.75</v>
      </c>
      <c r="X238" s="107">
        <f>VLOOKUP("DE",[2]Sheet1!$B$11:$F$30,5,FALSE)+Table24[[#This Row],[Total_GWP]]</f>
        <v>572.5</v>
      </c>
      <c r="Y238" s="129">
        <f>Table24[[#This Row],[Total_GWP]]*Table24[[#This Row],[DENSITY]]/1000</f>
        <v>4432.8950000000004</v>
      </c>
      <c r="Z238" s="231">
        <v>560</v>
      </c>
      <c r="AA238" s="72">
        <f>2.19+2.51</f>
        <v>4.6999999999999993</v>
      </c>
      <c r="AB238" s="73"/>
      <c r="AC238" s="73"/>
      <c r="AD238" s="73"/>
      <c r="AE238" s="75"/>
      <c r="AF238" s="107"/>
      <c r="AG238" s="129"/>
      <c r="AH238" s="129"/>
      <c r="AI238" s="75"/>
      <c r="AJ238" s="385">
        <f ca="1">IF(OR($E238="Ecoinvent",$E238="Betonsortenrechner",$E238="KBOB",$V238&lt;=0,Table24[[#This Row],[VALID_TO]]&lt;=TODAY()),0,1)</f>
        <v>1</v>
      </c>
      <c r="AK238" s="199">
        <v>1</v>
      </c>
      <c r="AL238" s="199">
        <f ca="1">IF(AND(Table24[[#This Row],[ValidEPD]]&lt;&gt;0,Table24[[#This Row],[Man_Ausschluss]]&lt;&gt;0),1,0)</f>
        <v>1</v>
      </c>
      <c r="AM238" s="17" cm="1">
        <f t="array" aca="1" ref="AM238" ca="1">IF(Table24[[#This Row],[gültig]]&lt;&gt;0,
IF(
OR(
V238=MIN(_xlfn._xlws.FILTER($V$2:$V$298,($P$2:$P$298=P238)*($N$2:$N$298=N238)*($AL$2:$AL$298&lt;&gt;0))),
V238=MAX(_xlfn._xlws.FILTER($V$2:$V$298,($P$2:$P$298=P238)*($N$2:$N$298=N238)*($AL$2:$AL$298&lt;&gt;0))),
ROWS(_xlfn._xlws.FILTER($V$2:$V$298,($P$2:$P$298=P238)*($N$2:$N$298=N238)*($AL$2:$AL$298&lt;&gt;0)))&lt;=2
),1,0),0)</f>
        <v>1</v>
      </c>
      <c r="AN238" s="138"/>
      <c r="AO238" s="51"/>
      <c r="AP238" s="51"/>
    </row>
    <row r="239" spans="1:42" x14ac:dyDescent="0.2">
      <c r="A239" s="161" t="s">
        <v>366</v>
      </c>
      <c r="B239" s="9" t="s">
        <v>502</v>
      </c>
      <c r="C239" s="96">
        <v>238</v>
      </c>
      <c r="D239" s="1" t="s">
        <v>138</v>
      </c>
      <c r="E239" s="162" t="s">
        <v>137</v>
      </c>
      <c r="F239" s="162"/>
      <c r="G239" s="163">
        <v>43455</v>
      </c>
      <c r="H239" s="163">
        <v>45280</v>
      </c>
      <c r="I239" s="84" t="s">
        <v>264</v>
      </c>
      <c r="J239" s="164" t="s">
        <v>612</v>
      </c>
      <c r="K239" s="165" t="s">
        <v>139</v>
      </c>
      <c r="L239" s="260" t="s">
        <v>324</v>
      </c>
      <c r="M239" s="162" t="s">
        <v>316</v>
      </c>
      <c r="N239" s="261" t="s">
        <v>318</v>
      </c>
      <c r="O239" s="162" t="s">
        <v>415</v>
      </c>
      <c r="P239" s="84" t="s">
        <v>537</v>
      </c>
      <c r="Q239" s="84">
        <v>7850</v>
      </c>
      <c r="R239" s="162" t="s">
        <v>415</v>
      </c>
      <c r="S239" s="162" t="s">
        <v>415</v>
      </c>
      <c r="T239" s="162" t="s">
        <v>415</v>
      </c>
      <c r="U239" s="168" t="s">
        <v>415</v>
      </c>
      <c r="V239" s="129">
        <f>SUM(Table24[[#This Row],[A1toA3_GWP]:[C1toC4_GWP]])</f>
        <v>1322.21</v>
      </c>
      <c r="W239" s="107">
        <f>VLOOKUP("FR",[2]Sheet1!$B$11:$F$30,4,FALSE)+Table24[[#This Row],[Total_GWP]]</f>
        <v>1392.41</v>
      </c>
      <c r="X239" s="107">
        <f>VLOOKUP("FR",[2]Sheet1!$B$11:$F$30,5,FALSE)+Table24[[#This Row],[Total_GWP]]</f>
        <v>1329.41</v>
      </c>
      <c r="Y239" s="129">
        <f>Table24[[#This Row],[Total_GWP]]*Table24[[#This Row],[DENSITY]]/1000</f>
        <v>10379.3485</v>
      </c>
      <c r="Z239" s="231">
        <v>1320</v>
      </c>
      <c r="AA239" s="72">
        <v>2.21</v>
      </c>
      <c r="AB239" s="73"/>
      <c r="AC239" s="73"/>
      <c r="AD239" s="73"/>
      <c r="AE239" s="75"/>
      <c r="AF239" s="107"/>
      <c r="AG239" s="129"/>
      <c r="AH239" s="129"/>
      <c r="AI239" s="75"/>
      <c r="AJ239" s="385">
        <f ca="1">IF(OR($E239="Ecoinvent",$E239="Betonsortenrechner",$E239="KBOB",$V239&lt;=0,Table24[[#This Row],[VALID_TO]]&lt;=TODAY()),0,1)</f>
        <v>0</v>
      </c>
      <c r="AK239" s="199">
        <v>1</v>
      </c>
      <c r="AL239" s="199">
        <f ca="1">IF(AND(Table24[[#This Row],[ValidEPD]]&lt;&gt;0,Table24[[#This Row],[Man_Ausschluss]]&lt;&gt;0),1,0)</f>
        <v>0</v>
      </c>
      <c r="AM239" s="17" cm="1">
        <f t="array" aca="1" ref="AM239" ca="1">IF(Table24[[#This Row],[gültig]]&lt;&gt;0,
IF(
OR(
V239=MIN(_xlfn._xlws.FILTER($V$2:$V$298,($P$2:$P$298=P239)*($N$2:$N$298=N239)*($AL$2:$AL$298&lt;&gt;0))),
V239=MAX(_xlfn._xlws.FILTER($V$2:$V$298,($P$2:$P$298=P239)*($N$2:$N$298=N239)*($AL$2:$AL$298&lt;&gt;0))),
ROWS(_xlfn._xlws.FILTER($V$2:$V$298,($P$2:$P$298=P239)*($N$2:$N$298=N239)*($AL$2:$AL$298&lt;&gt;0)))&lt;=2
),1,0),0)</f>
        <v>0</v>
      </c>
      <c r="AN239" s="138"/>
      <c r="AO239" s="51"/>
      <c r="AP239" s="51"/>
    </row>
    <row r="240" spans="1:42" x14ac:dyDescent="0.2">
      <c r="A240" s="161" t="s">
        <v>366</v>
      </c>
      <c r="B240" s="9" t="s">
        <v>518</v>
      </c>
      <c r="C240" s="100">
        <v>239</v>
      </c>
      <c r="D240" s="1" t="s">
        <v>138</v>
      </c>
      <c r="E240" s="162" t="s">
        <v>137</v>
      </c>
      <c r="F240" s="162"/>
      <c r="G240" s="163">
        <v>43455</v>
      </c>
      <c r="H240" s="163">
        <v>45280</v>
      </c>
      <c r="I240" s="84" t="s">
        <v>264</v>
      </c>
      <c r="J240" s="164" t="s">
        <v>612</v>
      </c>
      <c r="K240" s="165" t="s">
        <v>139</v>
      </c>
      <c r="L240" s="260" t="s">
        <v>324</v>
      </c>
      <c r="M240" s="162" t="s">
        <v>316</v>
      </c>
      <c r="N240" s="261" t="s">
        <v>318</v>
      </c>
      <c r="O240" s="162" t="s">
        <v>415</v>
      </c>
      <c r="P240" s="84" t="s">
        <v>538</v>
      </c>
      <c r="Q240" s="84">
        <v>7850</v>
      </c>
      <c r="R240" s="162" t="s">
        <v>415</v>
      </c>
      <c r="S240" s="162" t="s">
        <v>415</v>
      </c>
      <c r="T240" s="162" t="s">
        <v>415</v>
      </c>
      <c r="U240" s="168" t="s">
        <v>415</v>
      </c>
      <c r="V240" s="129">
        <f>SUM(Table24[[#This Row],[A1toA3_GWP]:[C1toC4_GWP]])</f>
        <v>1322.21</v>
      </c>
      <c r="W240" s="107">
        <f>VLOOKUP("FR",[2]Sheet1!$B$11:$F$30,4,FALSE)+Table24[[#This Row],[Total_GWP]]</f>
        <v>1392.41</v>
      </c>
      <c r="X240" s="107">
        <f>VLOOKUP("FR",[2]Sheet1!$B$11:$F$30,5,FALSE)+Table24[[#This Row],[Total_GWP]]</f>
        <v>1329.41</v>
      </c>
      <c r="Y240" s="129">
        <f>Table24[[#This Row],[Total_GWP]]*Table24[[#This Row],[DENSITY]]/1000</f>
        <v>10379.3485</v>
      </c>
      <c r="Z240" s="231">
        <v>1320</v>
      </c>
      <c r="AA240" s="72">
        <v>2.21</v>
      </c>
      <c r="AB240" s="73"/>
      <c r="AC240" s="73"/>
      <c r="AD240" s="73"/>
      <c r="AE240" s="75"/>
      <c r="AF240" s="107"/>
      <c r="AG240" s="129"/>
      <c r="AH240" s="129"/>
      <c r="AI240" s="75"/>
      <c r="AJ240" s="385">
        <f ca="1">IF(OR($E240="Ecoinvent",$E240="Betonsortenrechner",$E240="KBOB",$V240&lt;=0,Table24[[#This Row],[VALID_TO]]&lt;=TODAY()),0,1)</f>
        <v>0</v>
      </c>
      <c r="AK240" s="199">
        <v>1</v>
      </c>
      <c r="AL240" s="199">
        <f ca="1">IF(AND(Table24[[#This Row],[ValidEPD]]&lt;&gt;0,Table24[[#This Row],[Man_Ausschluss]]&lt;&gt;0),1,0)</f>
        <v>0</v>
      </c>
      <c r="AM240" s="17" cm="1">
        <f t="array" aca="1" ref="AM240" ca="1">IF(Table24[[#This Row],[gültig]]&lt;&gt;0,
IF(
OR(
V240=MIN(_xlfn._xlws.FILTER($V$2:$V$298,($P$2:$P$298=P240)*($N$2:$N$298=N240)*($AL$2:$AL$298&lt;&gt;0))),
V240=MAX(_xlfn._xlws.FILTER($V$2:$V$298,($P$2:$P$298=P240)*($N$2:$N$298=N240)*($AL$2:$AL$298&lt;&gt;0))),
ROWS(_xlfn._xlws.FILTER($V$2:$V$298,($P$2:$P$298=P240)*($N$2:$N$298=N240)*($AL$2:$AL$298&lt;&gt;0)))&lt;=2
),1,0),0)</f>
        <v>0</v>
      </c>
      <c r="AN240" s="138"/>
      <c r="AO240" s="51"/>
      <c r="AP240" s="51"/>
    </row>
    <row r="241" spans="1:42" x14ac:dyDescent="0.2">
      <c r="A241" s="161" t="s">
        <v>366</v>
      </c>
      <c r="B241" s="9" t="s">
        <v>519</v>
      </c>
      <c r="C241" s="100">
        <v>240</v>
      </c>
      <c r="D241" s="1" t="s">
        <v>138</v>
      </c>
      <c r="E241" s="162" t="s">
        <v>137</v>
      </c>
      <c r="F241" s="162"/>
      <c r="G241" s="163">
        <v>43455</v>
      </c>
      <c r="H241" s="163">
        <v>45280</v>
      </c>
      <c r="I241" s="84" t="s">
        <v>264</v>
      </c>
      <c r="J241" s="164" t="s">
        <v>612</v>
      </c>
      <c r="K241" s="165" t="s">
        <v>139</v>
      </c>
      <c r="L241" s="260" t="s">
        <v>324</v>
      </c>
      <c r="M241" s="162" t="s">
        <v>316</v>
      </c>
      <c r="N241" s="261" t="s">
        <v>318</v>
      </c>
      <c r="O241" s="162" t="s">
        <v>415</v>
      </c>
      <c r="P241" s="84" t="s">
        <v>539</v>
      </c>
      <c r="Q241" s="84">
        <v>7850</v>
      </c>
      <c r="R241" s="162" t="s">
        <v>415</v>
      </c>
      <c r="S241" s="162" t="s">
        <v>415</v>
      </c>
      <c r="T241" s="162" t="s">
        <v>415</v>
      </c>
      <c r="U241" s="168" t="s">
        <v>415</v>
      </c>
      <c r="V241" s="129">
        <f>SUM(Table24[[#This Row],[A1toA3_GWP]:[C1toC4_GWP]])</f>
        <v>1322.21</v>
      </c>
      <c r="W241" s="107">
        <f>VLOOKUP("FR",[2]Sheet1!$B$11:$F$30,4,FALSE)+Table24[[#This Row],[Total_GWP]]</f>
        <v>1392.41</v>
      </c>
      <c r="X241" s="107">
        <f>VLOOKUP("FR",[2]Sheet1!$B$11:$F$30,5,FALSE)+Table24[[#This Row],[Total_GWP]]</f>
        <v>1329.41</v>
      </c>
      <c r="Y241" s="129">
        <f>Table24[[#This Row],[Total_GWP]]*Table24[[#This Row],[DENSITY]]/1000</f>
        <v>10379.3485</v>
      </c>
      <c r="Z241" s="231">
        <v>1320</v>
      </c>
      <c r="AA241" s="72">
        <v>2.21</v>
      </c>
      <c r="AB241" s="73"/>
      <c r="AC241" s="73"/>
      <c r="AD241" s="73"/>
      <c r="AE241" s="75"/>
      <c r="AF241" s="107"/>
      <c r="AG241" s="129"/>
      <c r="AH241" s="129"/>
      <c r="AI241" s="75"/>
      <c r="AJ241" s="385">
        <f ca="1">IF(OR($E241="Ecoinvent",$E241="Betonsortenrechner",$E241="KBOB",$V241&lt;=0,Table24[[#This Row],[VALID_TO]]&lt;=TODAY()),0,1)</f>
        <v>0</v>
      </c>
      <c r="AK241" s="199">
        <v>1</v>
      </c>
      <c r="AL241" s="199">
        <f ca="1">IF(AND(Table24[[#This Row],[ValidEPD]]&lt;&gt;0,Table24[[#This Row],[Man_Ausschluss]]&lt;&gt;0),1,0)</f>
        <v>0</v>
      </c>
      <c r="AM241" s="17" cm="1">
        <f t="array" aca="1" ref="AM241" ca="1">IF(Table24[[#This Row],[gültig]]&lt;&gt;0,
IF(
OR(
V241=MIN(_xlfn._xlws.FILTER($V$2:$V$298,($P$2:$P$298=P241)*($N$2:$N$298=N241)*($AL$2:$AL$298&lt;&gt;0))),
V241=MAX(_xlfn._xlws.FILTER($V$2:$V$298,($P$2:$P$298=P241)*($N$2:$N$298=N241)*($AL$2:$AL$298&lt;&gt;0))),
ROWS(_xlfn._xlws.FILTER($V$2:$V$298,($P$2:$P$298=P241)*($N$2:$N$298=N241)*($AL$2:$AL$298&lt;&gt;0)))&lt;=2
),1,0),0)</f>
        <v>0</v>
      </c>
      <c r="AN241" s="138"/>
      <c r="AO241" s="51"/>
      <c r="AP241" s="51"/>
    </row>
    <row r="242" spans="1:42" s="7" customFormat="1" x14ac:dyDescent="0.2">
      <c r="A242" s="82" t="s">
        <v>366</v>
      </c>
      <c r="B242" s="9" t="s">
        <v>520</v>
      </c>
      <c r="C242" s="100">
        <v>241</v>
      </c>
      <c r="D242" s="1" t="s">
        <v>138</v>
      </c>
      <c r="E242" s="162" t="s">
        <v>137</v>
      </c>
      <c r="F242" s="9"/>
      <c r="G242" s="163">
        <v>43455</v>
      </c>
      <c r="H242" s="163">
        <v>45280</v>
      </c>
      <c r="I242" s="84" t="s">
        <v>264</v>
      </c>
      <c r="J242" s="164" t="s">
        <v>612</v>
      </c>
      <c r="K242" s="165" t="s">
        <v>139</v>
      </c>
      <c r="L242" s="228" t="s">
        <v>324</v>
      </c>
      <c r="M242" s="1" t="s">
        <v>316</v>
      </c>
      <c r="N242" s="167" t="s">
        <v>318</v>
      </c>
      <c r="O242" s="1" t="s">
        <v>415</v>
      </c>
      <c r="P242" s="84" t="s">
        <v>540</v>
      </c>
      <c r="Q242" s="84">
        <v>7850</v>
      </c>
      <c r="R242" s="162" t="s">
        <v>415</v>
      </c>
      <c r="S242" s="162" t="s">
        <v>415</v>
      </c>
      <c r="T242" s="162" t="s">
        <v>415</v>
      </c>
      <c r="U242" s="168" t="s">
        <v>415</v>
      </c>
      <c r="V242" s="107">
        <f>SUM(Table24[[#This Row],[A1toA3_GWP]:[C1toC4_GWP]])</f>
        <v>1322.21</v>
      </c>
      <c r="W242" s="107">
        <f>VLOOKUP("FR",[2]Sheet1!$B$11:$F$30,4,FALSE)+Table24[[#This Row],[Total_GWP]]</f>
        <v>1392.41</v>
      </c>
      <c r="X242" s="107">
        <f>VLOOKUP("FR",[2]Sheet1!$B$11:$F$30,5,FALSE)+Table24[[#This Row],[Total_GWP]]</f>
        <v>1329.41</v>
      </c>
      <c r="Y242" s="107">
        <f>Table24[[#This Row],[Total_GWP]]*Table24[[#This Row],[DENSITY]]/1000</f>
        <v>10379.3485</v>
      </c>
      <c r="Z242" s="231">
        <v>1320</v>
      </c>
      <c r="AA242" s="72">
        <v>2.21</v>
      </c>
      <c r="AB242" s="73"/>
      <c r="AC242" s="73"/>
      <c r="AD242" s="73"/>
      <c r="AE242" s="75"/>
      <c r="AF242" s="107"/>
      <c r="AG242" s="129"/>
      <c r="AH242" s="129"/>
      <c r="AI242" s="75"/>
      <c r="AJ242" s="385">
        <f ca="1">IF(OR($E242="Ecoinvent",$E242="Betonsortenrechner",$E242="KBOB",$V242&lt;=0,Table24[[#This Row],[VALID_TO]]&lt;=TODAY()),0,1)</f>
        <v>0</v>
      </c>
      <c r="AK242" s="199">
        <v>1</v>
      </c>
      <c r="AL242" s="199">
        <f ca="1">IF(AND(Table24[[#This Row],[ValidEPD]]&lt;&gt;0,Table24[[#This Row],[Man_Ausschluss]]&lt;&gt;0),1,0)</f>
        <v>0</v>
      </c>
      <c r="AM242" s="17" cm="1">
        <f t="array" aca="1" ref="AM242" ca="1">IF(Table24[[#This Row],[gültig]]&lt;&gt;0,
IF(
OR(
V242=MIN(_xlfn._xlws.FILTER($V$2:$V$298,($P$2:$P$298=P242)*($N$2:$N$298=N242)*($AL$2:$AL$298&lt;&gt;0))),
V242=MAX(_xlfn._xlws.FILTER($V$2:$V$298,($P$2:$P$298=P242)*($N$2:$N$298=N242)*($AL$2:$AL$298&lt;&gt;0))),
ROWS(_xlfn._xlws.FILTER($V$2:$V$298,($P$2:$P$298=P242)*($N$2:$N$298=N242)*($AL$2:$AL$298&lt;&gt;0)))&lt;=2
),1,0),0)</f>
        <v>0</v>
      </c>
      <c r="AN242" s="138"/>
      <c r="AO242" s="51"/>
      <c r="AP242" s="51"/>
    </row>
    <row r="243" spans="1:42" x14ac:dyDescent="0.2">
      <c r="A243" s="82" t="s">
        <v>429</v>
      </c>
      <c r="B243" s="262" t="s">
        <v>502</v>
      </c>
      <c r="C243" s="96">
        <v>242</v>
      </c>
      <c r="D243" s="1" t="s">
        <v>432</v>
      </c>
      <c r="E243" s="162" t="s">
        <v>430</v>
      </c>
      <c r="F243" s="162"/>
      <c r="G243" s="163">
        <v>44498</v>
      </c>
      <c r="H243" s="163">
        <v>46323</v>
      </c>
      <c r="I243" s="84" t="s">
        <v>238</v>
      </c>
      <c r="J243" s="164" t="s">
        <v>238</v>
      </c>
      <c r="K243" s="165" t="s">
        <v>128</v>
      </c>
      <c r="L243" s="228" t="s">
        <v>324</v>
      </c>
      <c r="M243" s="1" t="s">
        <v>431</v>
      </c>
      <c r="N243" s="167" t="s">
        <v>318</v>
      </c>
      <c r="O243" s="1" t="s">
        <v>415</v>
      </c>
      <c r="P243" s="84" t="s">
        <v>537</v>
      </c>
      <c r="Q243" s="84">
        <v>7850</v>
      </c>
      <c r="R243" s="162" t="s">
        <v>415</v>
      </c>
      <c r="S243" s="162" t="s">
        <v>415</v>
      </c>
      <c r="T243" s="162" t="s">
        <v>415</v>
      </c>
      <c r="U243" s="168" t="s">
        <v>415</v>
      </c>
      <c r="V243" s="73">
        <f>SUM(Table24[[#This Row],[A1toA3_GWP]:[C1toC4_GWP]])</f>
        <v>996.27</v>
      </c>
      <c r="W243" s="73">
        <f>VLOOKUP(Table24[[#This Row],[Country PRODUCTION]],[2]Sheet1!$B$11:$F$30,4,FALSE)+Table24[[#This Row],[Total_GWP]]</f>
        <v>1265.3699999999999</v>
      </c>
      <c r="X243" s="73">
        <f>VLOOKUP(Table24[[#This Row],[Country PRODUCTION]],[2]Sheet1!$B$11:$F$30,5,FALSE)+Table24[[#This Row],[Total_GWP]]</f>
        <v>1023.87</v>
      </c>
      <c r="Y243" s="73">
        <f>Table24[[#This Row],[Total_GWP]]*Table24[[#This Row],[DENSITY]]/1000</f>
        <v>7820.7195000000002</v>
      </c>
      <c r="Z243" s="111">
        <f>0.964*1000</f>
        <v>964</v>
      </c>
      <c r="AA243" s="72">
        <f>(0.003+0.00827+0.021)*1000</f>
        <v>32.270000000000003</v>
      </c>
      <c r="AB243" s="73"/>
      <c r="AC243" s="73"/>
      <c r="AD243" s="73"/>
      <c r="AE243" s="75"/>
      <c r="AF243" s="107"/>
      <c r="AG243" s="129"/>
      <c r="AH243" s="129"/>
      <c r="AI243" s="75"/>
      <c r="AJ243" s="385">
        <f ca="1">IF(OR($E243="Ecoinvent",$E243="Betonsortenrechner",$E243="KBOB",$V243&lt;=0,Table24[[#This Row],[VALID_TO]]&lt;=TODAY()),0,1)</f>
        <v>1</v>
      </c>
      <c r="AK243" s="199">
        <v>1</v>
      </c>
      <c r="AL243" s="199">
        <f ca="1">IF(AND(Table24[[#This Row],[ValidEPD]]&lt;&gt;0,Table24[[#This Row],[Man_Ausschluss]]&lt;&gt;0),1,0)</f>
        <v>1</v>
      </c>
      <c r="AM243" s="17" cm="1">
        <f t="array" aca="1" ref="AM243" ca="1">IF(Table24[[#This Row],[gültig]]&lt;&gt;0,
IF(
OR(
V243=MIN(_xlfn._xlws.FILTER($V$2:$V$298,($P$2:$P$298=P243)*($N$2:$N$298=N243)*($AL$2:$AL$298&lt;&gt;0))),
V243=MAX(_xlfn._xlws.FILTER($V$2:$V$298,($P$2:$P$298=P243)*($N$2:$N$298=N243)*($AL$2:$AL$298&lt;&gt;0))),
ROWS(_xlfn._xlws.FILTER($V$2:$V$298,($P$2:$P$298=P243)*($N$2:$N$298=N243)*($AL$2:$AL$298&lt;&gt;0)))&lt;=2
),1,0),0)</f>
        <v>1</v>
      </c>
      <c r="AN243" s="138"/>
      <c r="AO243" s="1" t="s">
        <v>544</v>
      </c>
      <c r="AP243" s="1"/>
    </row>
    <row r="244" spans="1:42" x14ac:dyDescent="0.2">
      <c r="A244" s="82" t="s">
        <v>429</v>
      </c>
      <c r="B244" s="262" t="s">
        <v>518</v>
      </c>
      <c r="C244" s="100">
        <v>243</v>
      </c>
      <c r="D244" s="1" t="s">
        <v>432</v>
      </c>
      <c r="E244" s="162" t="s">
        <v>430</v>
      </c>
      <c r="F244" s="162"/>
      <c r="G244" s="163">
        <v>44498</v>
      </c>
      <c r="H244" s="163">
        <v>46323</v>
      </c>
      <c r="I244" s="84" t="s">
        <v>238</v>
      </c>
      <c r="J244" s="164" t="s">
        <v>238</v>
      </c>
      <c r="K244" s="165" t="s">
        <v>128</v>
      </c>
      <c r="L244" s="228" t="s">
        <v>324</v>
      </c>
      <c r="M244" s="1" t="s">
        <v>431</v>
      </c>
      <c r="N244" s="167" t="s">
        <v>318</v>
      </c>
      <c r="O244" s="1" t="s">
        <v>415</v>
      </c>
      <c r="P244" s="84" t="s">
        <v>538</v>
      </c>
      <c r="Q244" s="84">
        <v>7850</v>
      </c>
      <c r="R244" s="162" t="s">
        <v>415</v>
      </c>
      <c r="S244" s="162" t="s">
        <v>415</v>
      </c>
      <c r="T244" s="162" t="s">
        <v>415</v>
      </c>
      <c r="U244" s="168" t="s">
        <v>415</v>
      </c>
      <c r="V244" s="73">
        <f>SUM(Table24[[#This Row],[A1toA3_GWP]:[C1toC4_GWP]])</f>
        <v>996.27</v>
      </c>
      <c r="W244" s="73">
        <f>VLOOKUP(Table24[[#This Row],[Country PRODUCTION]],[2]Sheet1!$B$11:$F$30,4,FALSE)+Table24[[#This Row],[Total_GWP]]</f>
        <v>1265.3699999999999</v>
      </c>
      <c r="X244" s="73">
        <f>VLOOKUP(Table24[[#This Row],[Country PRODUCTION]],[2]Sheet1!$B$11:$F$30,5,FALSE)+Table24[[#This Row],[Total_GWP]]</f>
        <v>1023.87</v>
      </c>
      <c r="Y244" s="73">
        <f>Table24[[#This Row],[Total_GWP]]*Table24[[#This Row],[DENSITY]]/1000</f>
        <v>7820.7195000000002</v>
      </c>
      <c r="Z244" s="111">
        <f>0.964*1000</f>
        <v>964</v>
      </c>
      <c r="AA244" s="72">
        <f>(0.003+0.00827+0.021)*1000</f>
        <v>32.270000000000003</v>
      </c>
      <c r="AB244" s="73"/>
      <c r="AC244" s="73"/>
      <c r="AD244" s="73"/>
      <c r="AE244" s="75"/>
      <c r="AF244" s="107"/>
      <c r="AG244" s="129"/>
      <c r="AH244" s="129"/>
      <c r="AI244" s="75"/>
      <c r="AJ244" s="385">
        <f ca="1">IF(OR($E244="Ecoinvent",$E244="Betonsortenrechner",$E244="KBOB",$V244&lt;=0,Table24[[#This Row],[VALID_TO]]&lt;=TODAY()),0,1)</f>
        <v>1</v>
      </c>
      <c r="AK244" s="199">
        <v>1</v>
      </c>
      <c r="AL244" s="199">
        <f ca="1">IF(AND(Table24[[#This Row],[ValidEPD]]&lt;&gt;0,Table24[[#This Row],[Man_Ausschluss]]&lt;&gt;0),1,0)</f>
        <v>1</v>
      </c>
      <c r="AM244" s="17" cm="1">
        <f t="array" aca="1" ref="AM244" ca="1">IF(Table24[[#This Row],[gültig]]&lt;&gt;0,
IF(
OR(
V244=MIN(_xlfn._xlws.FILTER($V$2:$V$298,($P$2:$P$298=P244)*($N$2:$N$298=N244)*($AL$2:$AL$298&lt;&gt;0))),
V244=MAX(_xlfn._xlws.FILTER($V$2:$V$298,($P$2:$P$298=P244)*($N$2:$N$298=N244)*($AL$2:$AL$298&lt;&gt;0))),
ROWS(_xlfn._xlws.FILTER($V$2:$V$298,($P$2:$P$298=P244)*($N$2:$N$298=N244)*($AL$2:$AL$298&lt;&gt;0)))&lt;=2
),1,0),0)</f>
        <v>1</v>
      </c>
      <c r="AN244" s="138"/>
      <c r="AO244" s="1" t="s">
        <v>544</v>
      </c>
      <c r="AP244" s="1"/>
    </row>
    <row r="245" spans="1:42" x14ac:dyDescent="0.2">
      <c r="A245" s="82" t="s">
        <v>433</v>
      </c>
      <c r="B245" s="9" t="s">
        <v>502</v>
      </c>
      <c r="C245" s="96">
        <v>244</v>
      </c>
      <c r="D245" s="1" t="s">
        <v>135</v>
      </c>
      <c r="E245" s="162" t="s">
        <v>125</v>
      </c>
      <c r="F245" s="162"/>
      <c r="G245" s="163">
        <v>45205</v>
      </c>
      <c r="H245" s="163">
        <v>47031</v>
      </c>
      <c r="I245" s="84" t="s">
        <v>264</v>
      </c>
      <c r="J245" s="164" t="s">
        <v>616</v>
      </c>
      <c r="K245" s="165" t="s">
        <v>128</v>
      </c>
      <c r="L245" s="228" t="s">
        <v>324</v>
      </c>
      <c r="M245" s="1" t="s">
        <v>431</v>
      </c>
      <c r="N245" s="167" t="s">
        <v>318</v>
      </c>
      <c r="O245" s="1" t="s">
        <v>415</v>
      </c>
      <c r="P245" s="84" t="s">
        <v>537</v>
      </c>
      <c r="Q245" s="84">
        <v>7850</v>
      </c>
      <c r="R245" s="162" t="s">
        <v>415</v>
      </c>
      <c r="S245" s="162" t="s">
        <v>415</v>
      </c>
      <c r="T245" s="162" t="s">
        <v>415</v>
      </c>
      <c r="U245" s="168" t="s">
        <v>415</v>
      </c>
      <c r="V245" s="73">
        <f>SUM(Table24[[#This Row],[A1toA3_GWP]:[C1toC4_GWP]])</f>
        <v>560</v>
      </c>
      <c r="W245" s="107">
        <f>VLOOKUP("DE",[2]Sheet1!$B$11:$F$30,4,FALSE)+Table24[[#This Row],[Total_GWP]]</f>
        <v>636.04999999999995</v>
      </c>
      <c r="X245" s="107">
        <f>VLOOKUP("DE",[2]Sheet1!$B$11:$F$30,5,FALSE)+Table24[[#This Row],[Total_GWP]]</f>
        <v>567.79999999999995</v>
      </c>
      <c r="Y245" s="73">
        <f>Table24[[#This Row],[Total_GWP]]*Table24[[#This Row],[DENSITY]]/1000</f>
        <v>4396</v>
      </c>
      <c r="Z245" s="111">
        <v>560</v>
      </c>
      <c r="AA245" s="72">
        <v>0</v>
      </c>
      <c r="AB245" s="73"/>
      <c r="AC245" s="73"/>
      <c r="AD245" s="73"/>
      <c r="AE245" s="75"/>
      <c r="AF245" s="107"/>
      <c r="AG245" s="129"/>
      <c r="AH245" s="129"/>
      <c r="AI245" s="75"/>
      <c r="AJ245" s="385">
        <f ca="1">IF(OR($E245="Ecoinvent",$E245="Betonsortenrechner",$E245="KBOB",$V245&lt;=0,Table24[[#This Row],[VALID_TO]]&lt;=TODAY()),0,1)</f>
        <v>1</v>
      </c>
      <c r="AK245" s="199">
        <v>1</v>
      </c>
      <c r="AL245" s="199">
        <f ca="1">IF(AND(Table24[[#This Row],[ValidEPD]]&lt;&gt;0,Table24[[#This Row],[Man_Ausschluss]]&lt;&gt;0),1,0)</f>
        <v>1</v>
      </c>
      <c r="AM245" s="17" cm="1">
        <f t="array" aca="1" ref="AM245" ca="1">IF(Table24[[#This Row],[gültig]]&lt;&gt;0,
IF(
OR(
V245=MIN(_xlfn._xlws.FILTER($V$2:$V$298,($P$2:$P$298=P245)*($N$2:$N$298=N245)*($AL$2:$AL$298&lt;&gt;0))),
V245=MAX(_xlfn._xlws.FILTER($V$2:$V$298,($P$2:$P$298=P245)*($N$2:$N$298=N245)*($AL$2:$AL$298&lt;&gt;0))),
ROWS(_xlfn._xlws.FILTER($V$2:$V$298,($P$2:$P$298=P245)*($N$2:$N$298=N245)*($AL$2:$AL$298&lt;&gt;0)))&lt;=2
),1,0),0)</f>
        <v>0</v>
      </c>
      <c r="AN245" s="138"/>
      <c r="AO245" s="51"/>
      <c r="AP245" s="51"/>
    </row>
    <row r="246" spans="1:42" x14ac:dyDescent="0.2">
      <c r="A246" s="82" t="s">
        <v>433</v>
      </c>
      <c r="B246" s="9" t="s">
        <v>518</v>
      </c>
      <c r="C246" s="100">
        <v>245</v>
      </c>
      <c r="D246" s="1" t="s">
        <v>135</v>
      </c>
      <c r="E246" s="162" t="s">
        <v>125</v>
      </c>
      <c r="F246" s="162"/>
      <c r="G246" s="163">
        <v>45205</v>
      </c>
      <c r="H246" s="163">
        <v>47031</v>
      </c>
      <c r="I246" s="84" t="s">
        <v>264</v>
      </c>
      <c r="J246" s="164" t="s">
        <v>616</v>
      </c>
      <c r="K246" s="165" t="s">
        <v>128</v>
      </c>
      <c r="L246" s="228" t="s">
        <v>324</v>
      </c>
      <c r="M246" s="1" t="s">
        <v>431</v>
      </c>
      <c r="N246" s="167" t="s">
        <v>318</v>
      </c>
      <c r="O246" s="1" t="s">
        <v>415</v>
      </c>
      <c r="P246" s="84" t="s">
        <v>538</v>
      </c>
      <c r="Q246" s="84">
        <v>7850</v>
      </c>
      <c r="R246" s="162" t="s">
        <v>415</v>
      </c>
      <c r="S246" s="162" t="s">
        <v>415</v>
      </c>
      <c r="T246" s="162" t="s">
        <v>415</v>
      </c>
      <c r="U246" s="168" t="s">
        <v>415</v>
      </c>
      <c r="V246" s="73">
        <f>SUM(Table24[[#This Row],[A1toA3_GWP]:[C1toC4_GWP]])</f>
        <v>560</v>
      </c>
      <c r="W246" s="107">
        <f>VLOOKUP("DE",[2]Sheet1!$B$11:$F$30,4,FALSE)+Table24[[#This Row],[Total_GWP]]</f>
        <v>636.04999999999995</v>
      </c>
      <c r="X246" s="107">
        <f>VLOOKUP("DE",[2]Sheet1!$B$11:$F$30,5,FALSE)+Table24[[#This Row],[Total_GWP]]</f>
        <v>567.79999999999995</v>
      </c>
      <c r="Y246" s="73">
        <f>Table24[[#This Row],[Total_GWP]]*Table24[[#This Row],[DENSITY]]/1000</f>
        <v>4396</v>
      </c>
      <c r="Z246" s="111">
        <v>560</v>
      </c>
      <c r="AA246" s="72">
        <v>0</v>
      </c>
      <c r="AB246" s="73"/>
      <c r="AC246" s="73"/>
      <c r="AD246" s="73"/>
      <c r="AE246" s="75"/>
      <c r="AF246" s="107"/>
      <c r="AG246" s="129"/>
      <c r="AH246" s="129"/>
      <c r="AI246" s="75"/>
      <c r="AJ246" s="385">
        <f ca="1">IF(OR($E246="Ecoinvent",$E246="Betonsortenrechner",$E246="KBOB",$V246&lt;=0,Table24[[#This Row],[VALID_TO]]&lt;=TODAY()),0,1)</f>
        <v>1</v>
      </c>
      <c r="AK246" s="199">
        <v>1</v>
      </c>
      <c r="AL246" s="199">
        <f ca="1">IF(AND(Table24[[#This Row],[ValidEPD]]&lt;&gt;0,Table24[[#This Row],[Man_Ausschluss]]&lt;&gt;0),1,0)</f>
        <v>1</v>
      </c>
      <c r="AM246" s="17" cm="1">
        <f t="array" aca="1" ref="AM246" ca="1">IF(Table24[[#This Row],[gültig]]&lt;&gt;0,
IF(
OR(
V246=MIN(_xlfn._xlws.FILTER($V$2:$V$298,($P$2:$P$298=P246)*($N$2:$N$298=N246)*($AL$2:$AL$298&lt;&gt;0))),
V246=MAX(_xlfn._xlws.FILTER($V$2:$V$298,($P$2:$P$298=P246)*($N$2:$N$298=N246)*($AL$2:$AL$298&lt;&gt;0))),
ROWS(_xlfn._xlws.FILTER($V$2:$V$298,($P$2:$P$298=P246)*($N$2:$N$298=N246)*($AL$2:$AL$298&lt;&gt;0)))&lt;=2
),1,0),0)</f>
        <v>0</v>
      </c>
      <c r="AN246" s="138"/>
      <c r="AO246" s="51"/>
      <c r="AP246" s="51"/>
    </row>
    <row r="247" spans="1:42" x14ac:dyDescent="0.2">
      <c r="A247" s="82" t="s">
        <v>433</v>
      </c>
      <c r="B247" s="9" t="s">
        <v>519</v>
      </c>
      <c r="C247" s="96">
        <v>246</v>
      </c>
      <c r="D247" s="1" t="s">
        <v>135</v>
      </c>
      <c r="E247" s="162" t="s">
        <v>125</v>
      </c>
      <c r="F247" s="162"/>
      <c r="G247" s="163">
        <v>45205</v>
      </c>
      <c r="H247" s="163">
        <v>47031</v>
      </c>
      <c r="I247" s="84" t="s">
        <v>264</v>
      </c>
      <c r="J247" s="164" t="s">
        <v>616</v>
      </c>
      <c r="K247" s="165" t="s">
        <v>128</v>
      </c>
      <c r="L247" s="228" t="s">
        <v>324</v>
      </c>
      <c r="M247" s="1" t="s">
        <v>431</v>
      </c>
      <c r="N247" s="167" t="s">
        <v>318</v>
      </c>
      <c r="O247" s="1" t="s">
        <v>415</v>
      </c>
      <c r="P247" s="84" t="s">
        <v>539</v>
      </c>
      <c r="Q247" s="84">
        <v>7850</v>
      </c>
      <c r="R247" s="162" t="s">
        <v>415</v>
      </c>
      <c r="S247" s="162" t="s">
        <v>415</v>
      </c>
      <c r="T247" s="162" t="s">
        <v>415</v>
      </c>
      <c r="U247" s="168" t="s">
        <v>415</v>
      </c>
      <c r="V247" s="73">
        <f>SUM(Table24[[#This Row],[A1toA3_GWP]:[C1toC4_GWP]])</f>
        <v>560</v>
      </c>
      <c r="W247" s="107">
        <f>VLOOKUP("DE",[2]Sheet1!$B$11:$F$30,4,FALSE)+Table24[[#This Row],[Total_GWP]]</f>
        <v>636.04999999999995</v>
      </c>
      <c r="X247" s="107">
        <f>VLOOKUP("DE",[2]Sheet1!$B$11:$F$30,5,FALSE)+Table24[[#This Row],[Total_GWP]]</f>
        <v>567.79999999999995</v>
      </c>
      <c r="Y247" s="73">
        <f>Table24[[#This Row],[Total_GWP]]*Table24[[#This Row],[DENSITY]]/1000</f>
        <v>4396</v>
      </c>
      <c r="Z247" s="111">
        <v>560</v>
      </c>
      <c r="AA247" s="72">
        <v>0</v>
      </c>
      <c r="AB247" s="73"/>
      <c r="AC247" s="73"/>
      <c r="AD247" s="73"/>
      <c r="AE247" s="75"/>
      <c r="AF247" s="107"/>
      <c r="AG247" s="129"/>
      <c r="AH247" s="129"/>
      <c r="AI247" s="75"/>
      <c r="AJ247" s="385">
        <f ca="1">IF(OR($E247="Ecoinvent",$E247="Betonsortenrechner",$E247="KBOB",$V247&lt;=0,Table24[[#This Row],[VALID_TO]]&lt;=TODAY()),0,1)</f>
        <v>1</v>
      </c>
      <c r="AK247" s="199">
        <v>1</v>
      </c>
      <c r="AL247" s="199">
        <f ca="1">IF(AND(Table24[[#This Row],[ValidEPD]]&lt;&gt;0,Table24[[#This Row],[Man_Ausschluss]]&lt;&gt;0),1,0)</f>
        <v>1</v>
      </c>
      <c r="AM247" s="17" cm="1">
        <f t="array" aca="1" ref="AM247" ca="1">IF(Table24[[#This Row],[gültig]]&lt;&gt;0,
IF(
OR(
V247=MIN(_xlfn._xlws.FILTER($V$2:$V$298,($P$2:$P$298=P247)*($N$2:$N$298=N247)*($AL$2:$AL$298&lt;&gt;0))),
V247=MAX(_xlfn._xlws.FILTER($V$2:$V$298,($P$2:$P$298=P247)*($N$2:$N$298=N247)*($AL$2:$AL$298&lt;&gt;0))),
ROWS(_xlfn._xlws.FILTER($V$2:$V$298,($P$2:$P$298=P247)*($N$2:$N$298=N247)*($AL$2:$AL$298&lt;&gt;0)))&lt;=2
),1,0),0)</f>
        <v>0</v>
      </c>
      <c r="AN247" s="138"/>
      <c r="AO247" s="51"/>
      <c r="AP247" s="51"/>
    </row>
    <row r="248" spans="1:42" x14ac:dyDescent="0.2">
      <c r="A248" s="82" t="s">
        <v>433</v>
      </c>
      <c r="B248" s="9" t="s">
        <v>520</v>
      </c>
      <c r="C248" s="100">
        <v>247</v>
      </c>
      <c r="D248" s="1" t="s">
        <v>135</v>
      </c>
      <c r="E248" s="162" t="s">
        <v>125</v>
      </c>
      <c r="F248" s="162"/>
      <c r="G248" s="163">
        <v>45205</v>
      </c>
      <c r="H248" s="163">
        <v>47031</v>
      </c>
      <c r="I248" s="84" t="s">
        <v>264</v>
      </c>
      <c r="J248" s="164" t="s">
        <v>616</v>
      </c>
      <c r="K248" s="165" t="s">
        <v>128</v>
      </c>
      <c r="L248" s="228" t="s">
        <v>324</v>
      </c>
      <c r="M248" s="1" t="s">
        <v>431</v>
      </c>
      <c r="N248" s="167" t="s">
        <v>318</v>
      </c>
      <c r="O248" s="1" t="s">
        <v>415</v>
      </c>
      <c r="P248" s="84" t="s">
        <v>541</v>
      </c>
      <c r="Q248" s="84">
        <v>7850</v>
      </c>
      <c r="R248" s="162" t="s">
        <v>415</v>
      </c>
      <c r="S248" s="162" t="s">
        <v>415</v>
      </c>
      <c r="T248" s="162" t="s">
        <v>415</v>
      </c>
      <c r="U248" s="168" t="s">
        <v>415</v>
      </c>
      <c r="V248" s="73">
        <f>SUM(Table24[[#This Row],[A1toA3_GWP]:[C1toC4_GWP]])</f>
        <v>560</v>
      </c>
      <c r="W248" s="107">
        <f>VLOOKUP("DE",[2]Sheet1!$B$11:$F$30,4,FALSE)+Table24[[#This Row],[Total_GWP]]</f>
        <v>636.04999999999995</v>
      </c>
      <c r="X248" s="107">
        <f>VLOOKUP("DE",[2]Sheet1!$B$11:$F$30,5,FALSE)+Table24[[#This Row],[Total_GWP]]</f>
        <v>567.79999999999995</v>
      </c>
      <c r="Y248" s="73">
        <f>Table24[[#This Row],[Total_GWP]]*Table24[[#This Row],[DENSITY]]/1000</f>
        <v>4396</v>
      </c>
      <c r="Z248" s="111">
        <v>560</v>
      </c>
      <c r="AA248" s="72">
        <v>0</v>
      </c>
      <c r="AB248" s="73"/>
      <c r="AC248" s="73"/>
      <c r="AD248" s="73"/>
      <c r="AE248" s="75"/>
      <c r="AF248" s="107"/>
      <c r="AG248" s="129"/>
      <c r="AH248" s="129"/>
      <c r="AI248" s="75"/>
      <c r="AJ248" s="385">
        <f ca="1">IF(OR($E248="Ecoinvent",$E248="Betonsortenrechner",$E248="KBOB",$V248&lt;=0,Table24[[#This Row],[VALID_TO]]&lt;=TODAY()),0,1)</f>
        <v>1</v>
      </c>
      <c r="AK248" s="199">
        <v>1</v>
      </c>
      <c r="AL248" s="199">
        <f ca="1">IF(AND(Table24[[#This Row],[ValidEPD]]&lt;&gt;0,Table24[[#This Row],[Man_Ausschluss]]&lt;&gt;0),1,0)</f>
        <v>1</v>
      </c>
      <c r="AM248" s="17" cm="1">
        <f t="array" aca="1" ref="AM248" ca="1">IF(Table24[[#This Row],[gültig]]&lt;&gt;0,
IF(
OR(
V248=MIN(_xlfn._xlws.FILTER($V$2:$V$298,($P$2:$P$298=P248)*($N$2:$N$298=N248)*($AL$2:$AL$298&lt;&gt;0))),
V248=MAX(_xlfn._xlws.FILTER($V$2:$V$298,($P$2:$P$298=P248)*($N$2:$N$298=N248)*($AL$2:$AL$298&lt;&gt;0))),
ROWS(_xlfn._xlws.FILTER($V$2:$V$298,($P$2:$P$298=P248)*($N$2:$N$298=N248)*($AL$2:$AL$298&lt;&gt;0)))&lt;=2
),1,0),0)</f>
        <v>1</v>
      </c>
      <c r="AN248" s="138"/>
      <c r="AO248" s="51"/>
      <c r="AP248" s="51"/>
    </row>
    <row r="249" spans="1:42" x14ac:dyDescent="0.2">
      <c r="A249" s="82" t="s">
        <v>436</v>
      </c>
      <c r="B249" s="9" t="s">
        <v>502</v>
      </c>
      <c r="C249" s="96">
        <v>248</v>
      </c>
      <c r="D249" s="1" t="s">
        <v>434</v>
      </c>
      <c r="E249" s="162" t="s">
        <v>435</v>
      </c>
      <c r="F249" s="162"/>
      <c r="G249" s="163">
        <v>43758</v>
      </c>
      <c r="H249" s="163">
        <v>45584</v>
      </c>
      <c r="I249" s="84" t="s">
        <v>292</v>
      </c>
      <c r="J249" s="164" t="s">
        <v>606</v>
      </c>
      <c r="K249" s="165" t="s">
        <v>128</v>
      </c>
      <c r="L249" s="228" t="s">
        <v>324</v>
      </c>
      <c r="M249" s="1" t="s">
        <v>431</v>
      </c>
      <c r="N249" s="167" t="s">
        <v>318</v>
      </c>
      <c r="O249" s="1" t="s">
        <v>415</v>
      </c>
      <c r="P249" s="84" t="s">
        <v>537</v>
      </c>
      <c r="Q249" s="84">
        <v>7850</v>
      </c>
      <c r="R249" s="162" t="s">
        <v>415</v>
      </c>
      <c r="S249" s="162" t="s">
        <v>415</v>
      </c>
      <c r="T249" s="162" t="s">
        <v>415</v>
      </c>
      <c r="U249" s="168" t="s">
        <v>415</v>
      </c>
      <c r="V249" s="73">
        <f>SUM(Table24[[#This Row],[A1toA3_GWP]:[C1toC4_GWP]])</f>
        <v>780</v>
      </c>
      <c r="W249" s="107">
        <f>VLOOKUP("FR",[2]Sheet1!$B$11:$F$30,4,FALSE)+Table24[[#This Row],[Total_GWP]]</f>
        <v>850.2</v>
      </c>
      <c r="X249" s="107">
        <f>VLOOKUP("FR",[2]Sheet1!$B$11:$F$30,5,FALSE)+Table24[[#This Row],[Total_GWP]]</f>
        <v>787.2</v>
      </c>
      <c r="Y249" s="73">
        <f>Table24[[#This Row],[Total_GWP]]*Table24[[#This Row],[DENSITY]]/1000</f>
        <v>6123</v>
      </c>
      <c r="Z249" s="111">
        <v>780</v>
      </c>
      <c r="AA249" s="72" t="s">
        <v>294</v>
      </c>
      <c r="AB249" s="73"/>
      <c r="AC249" s="73"/>
      <c r="AD249" s="73"/>
      <c r="AE249" s="75"/>
      <c r="AF249" s="107"/>
      <c r="AG249" s="129"/>
      <c r="AH249" s="129"/>
      <c r="AI249" s="75"/>
      <c r="AJ249" s="385">
        <f ca="1">IF(OR($E249="Ecoinvent",$E249="Betonsortenrechner",$E249="KBOB",$V249&lt;=0,Table24[[#This Row],[VALID_TO]]&lt;=TODAY()),0,1)</f>
        <v>0</v>
      </c>
      <c r="AK249" s="199">
        <v>1</v>
      </c>
      <c r="AL249" s="199">
        <f ca="1">IF(AND(Table24[[#This Row],[ValidEPD]]&lt;&gt;0,Table24[[#This Row],[Man_Ausschluss]]&lt;&gt;0),1,0)</f>
        <v>0</v>
      </c>
      <c r="AM249" s="17" cm="1">
        <f t="array" aca="1" ref="AM249" ca="1">IF(Table24[[#This Row],[gültig]]&lt;&gt;0,
IF(
OR(
V249=MIN(_xlfn._xlws.FILTER($V$2:$V$298,($P$2:$P$298=P249)*($N$2:$N$298=N249)*($AL$2:$AL$298&lt;&gt;0))),
V249=MAX(_xlfn._xlws.FILTER($V$2:$V$298,($P$2:$P$298=P249)*($N$2:$N$298=N249)*($AL$2:$AL$298&lt;&gt;0))),
ROWS(_xlfn._xlws.FILTER($V$2:$V$298,($P$2:$P$298=P249)*($N$2:$N$298=N249)*($AL$2:$AL$298&lt;&gt;0)))&lt;=2
),1,0),0)</f>
        <v>0</v>
      </c>
      <c r="AN249" s="138"/>
      <c r="AO249" s="1" t="s">
        <v>546</v>
      </c>
      <c r="AP249" s="1"/>
    </row>
    <row r="250" spans="1:42" x14ac:dyDescent="0.2">
      <c r="A250" s="82" t="s">
        <v>436</v>
      </c>
      <c r="B250" s="9" t="s">
        <v>518</v>
      </c>
      <c r="C250" s="100">
        <v>249</v>
      </c>
      <c r="D250" s="1" t="s">
        <v>434</v>
      </c>
      <c r="E250" s="162" t="s">
        <v>435</v>
      </c>
      <c r="F250" s="162"/>
      <c r="G250" s="163">
        <v>43758</v>
      </c>
      <c r="H250" s="163">
        <v>45584</v>
      </c>
      <c r="I250" s="84" t="s">
        <v>292</v>
      </c>
      <c r="J250" s="164" t="s">
        <v>606</v>
      </c>
      <c r="K250" s="165" t="s">
        <v>128</v>
      </c>
      <c r="L250" s="228" t="s">
        <v>324</v>
      </c>
      <c r="M250" s="1" t="s">
        <v>431</v>
      </c>
      <c r="N250" s="167" t="s">
        <v>318</v>
      </c>
      <c r="O250" s="1" t="s">
        <v>415</v>
      </c>
      <c r="P250" s="84" t="s">
        <v>545</v>
      </c>
      <c r="Q250" s="84">
        <v>7850</v>
      </c>
      <c r="R250" s="162" t="s">
        <v>415</v>
      </c>
      <c r="S250" s="162" t="s">
        <v>415</v>
      </c>
      <c r="T250" s="162" t="s">
        <v>415</v>
      </c>
      <c r="U250" s="168" t="s">
        <v>415</v>
      </c>
      <c r="V250" s="73">
        <f>SUM(Table24[[#This Row],[A1toA3_GWP]:[C1toC4_GWP]])</f>
        <v>780</v>
      </c>
      <c r="W250" s="107">
        <f>VLOOKUP("FR",[2]Sheet1!$B$11:$F$30,4,FALSE)+Table24[[#This Row],[Total_GWP]]</f>
        <v>850.2</v>
      </c>
      <c r="X250" s="107">
        <f>VLOOKUP("FR",[2]Sheet1!$B$11:$F$30,5,FALSE)+Table24[[#This Row],[Total_GWP]]</f>
        <v>787.2</v>
      </c>
      <c r="Y250" s="73">
        <f>Table24[[#This Row],[Total_GWP]]*Table24[[#This Row],[DENSITY]]/1000</f>
        <v>6123</v>
      </c>
      <c r="Z250" s="111">
        <v>780</v>
      </c>
      <c r="AA250" s="72" t="s">
        <v>294</v>
      </c>
      <c r="AB250" s="73"/>
      <c r="AC250" s="73"/>
      <c r="AD250" s="73"/>
      <c r="AE250" s="75"/>
      <c r="AF250" s="107"/>
      <c r="AG250" s="129"/>
      <c r="AH250" s="129"/>
      <c r="AI250" s="75"/>
      <c r="AJ250" s="385">
        <f ca="1">IF(OR($E250="Ecoinvent",$E250="Betonsortenrechner",$E250="KBOB",$V250&lt;=0,Table24[[#This Row],[VALID_TO]]&lt;=TODAY()),0,1)</f>
        <v>0</v>
      </c>
      <c r="AK250" s="199">
        <v>1</v>
      </c>
      <c r="AL250" s="199">
        <f ca="1">IF(AND(Table24[[#This Row],[ValidEPD]]&lt;&gt;0,Table24[[#This Row],[Man_Ausschluss]]&lt;&gt;0),1,0)</f>
        <v>0</v>
      </c>
      <c r="AM250" s="17" cm="1">
        <f t="array" aca="1" ref="AM250" ca="1">IF(Table24[[#This Row],[gültig]]&lt;&gt;0,
IF(
OR(
V250=MIN(_xlfn._xlws.FILTER($V$2:$V$298,($P$2:$P$298=P250)*($N$2:$N$298=N250)*($AL$2:$AL$298&lt;&gt;0))),
V250=MAX(_xlfn._xlws.FILTER($V$2:$V$298,($P$2:$P$298=P250)*($N$2:$N$298=N250)*($AL$2:$AL$298&lt;&gt;0))),
ROWS(_xlfn._xlws.FILTER($V$2:$V$298,($P$2:$P$298=P250)*($N$2:$N$298=N250)*($AL$2:$AL$298&lt;&gt;0)))&lt;=2
),1,0),0)</f>
        <v>0</v>
      </c>
      <c r="AN250" s="138"/>
      <c r="AO250" s="1" t="s">
        <v>546</v>
      </c>
      <c r="AP250" s="1"/>
    </row>
    <row r="251" spans="1:42" x14ac:dyDescent="0.2">
      <c r="A251" s="82" t="s">
        <v>436</v>
      </c>
      <c r="B251" s="9" t="s">
        <v>519</v>
      </c>
      <c r="C251" s="96">
        <v>250</v>
      </c>
      <c r="D251" s="1" t="s">
        <v>434</v>
      </c>
      <c r="E251" s="162" t="s">
        <v>435</v>
      </c>
      <c r="F251" s="162"/>
      <c r="G251" s="163">
        <v>43758</v>
      </c>
      <c r="H251" s="163">
        <v>45584</v>
      </c>
      <c r="I251" s="84" t="s">
        <v>292</v>
      </c>
      <c r="J251" s="164" t="s">
        <v>606</v>
      </c>
      <c r="K251" s="165" t="s">
        <v>128</v>
      </c>
      <c r="L251" s="228" t="s">
        <v>324</v>
      </c>
      <c r="M251" s="1" t="s">
        <v>431</v>
      </c>
      <c r="N251" s="167" t="s">
        <v>318</v>
      </c>
      <c r="O251" s="1" t="s">
        <v>415</v>
      </c>
      <c r="P251" s="84" t="s">
        <v>538</v>
      </c>
      <c r="Q251" s="84">
        <v>7850</v>
      </c>
      <c r="R251" s="162" t="s">
        <v>415</v>
      </c>
      <c r="S251" s="162" t="s">
        <v>415</v>
      </c>
      <c r="T251" s="162" t="s">
        <v>415</v>
      </c>
      <c r="U251" s="168" t="s">
        <v>415</v>
      </c>
      <c r="V251" s="73">
        <f>SUM(Table24[[#This Row],[A1toA3_GWP]:[C1toC4_GWP]])</f>
        <v>780</v>
      </c>
      <c r="W251" s="107">
        <f>VLOOKUP("FR",[2]Sheet1!$B$11:$F$30,4,FALSE)+Table24[[#This Row],[Total_GWP]]</f>
        <v>850.2</v>
      </c>
      <c r="X251" s="107">
        <f>VLOOKUP("FR",[2]Sheet1!$B$11:$F$30,5,FALSE)+Table24[[#This Row],[Total_GWP]]</f>
        <v>787.2</v>
      </c>
      <c r="Y251" s="73">
        <f>Table24[[#This Row],[Total_GWP]]*Table24[[#This Row],[DENSITY]]/1000</f>
        <v>6123</v>
      </c>
      <c r="Z251" s="111">
        <v>780</v>
      </c>
      <c r="AA251" s="72" t="s">
        <v>294</v>
      </c>
      <c r="AB251" s="73"/>
      <c r="AC251" s="73"/>
      <c r="AD251" s="73"/>
      <c r="AE251" s="75"/>
      <c r="AF251" s="107"/>
      <c r="AG251" s="129"/>
      <c r="AH251" s="129"/>
      <c r="AI251" s="75"/>
      <c r="AJ251" s="385">
        <f ca="1">IF(OR($E251="Ecoinvent",$E251="Betonsortenrechner",$E251="KBOB",$V251&lt;=0,Table24[[#This Row],[VALID_TO]]&lt;=TODAY()),0,1)</f>
        <v>0</v>
      </c>
      <c r="AK251" s="199">
        <v>1</v>
      </c>
      <c r="AL251" s="199">
        <f ca="1">IF(AND(Table24[[#This Row],[ValidEPD]]&lt;&gt;0,Table24[[#This Row],[Man_Ausschluss]]&lt;&gt;0),1,0)</f>
        <v>0</v>
      </c>
      <c r="AM251" s="17" cm="1">
        <f t="array" aca="1" ref="AM251" ca="1">IF(Table24[[#This Row],[gültig]]&lt;&gt;0,
IF(
OR(
V251=MIN(_xlfn._xlws.FILTER($V$2:$V$298,($P$2:$P$298=P251)*($N$2:$N$298=N251)*($AL$2:$AL$298&lt;&gt;0))),
V251=MAX(_xlfn._xlws.FILTER($V$2:$V$298,($P$2:$P$298=P251)*($N$2:$N$298=N251)*($AL$2:$AL$298&lt;&gt;0))),
ROWS(_xlfn._xlws.FILTER($V$2:$V$298,($P$2:$P$298=P251)*($N$2:$N$298=N251)*($AL$2:$AL$298&lt;&gt;0)))&lt;=2
),1,0),0)</f>
        <v>0</v>
      </c>
      <c r="AN251" s="138"/>
      <c r="AO251" s="1" t="s">
        <v>546</v>
      </c>
      <c r="AP251" s="1"/>
    </row>
    <row r="252" spans="1:42" x14ac:dyDescent="0.2">
      <c r="A252" s="82" t="s">
        <v>437</v>
      </c>
      <c r="B252" s="9" t="s">
        <v>502</v>
      </c>
      <c r="C252" s="100">
        <v>251</v>
      </c>
      <c r="D252" s="1" t="s">
        <v>439</v>
      </c>
      <c r="E252" s="162" t="s">
        <v>46</v>
      </c>
      <c r="F252" s="162"/>
      <c r="G252" s="163">
        <v>44627</v>
      </c>
      <c r="H252" s="163">
        <v>46404</v>
      </c>
      <c r="I252" s="84" t="s">
        <v>51</v>
      </c>
      <c r="J252" s="164" t="s">
        <v>606</v>
      </c>
      <c r="K252" s="165" t="s">
        <v>128</v>
      </c>
      <c r="L252" s="228" t="s">
        <v>324</v>
      </c>
      <c r="M252" s="1" t="s">
        <v>431</v>
      </c>
      <c r="N252" s="167" t="s">
        <v>318</v>
      </c>
      <c r="O252" s="1" t="s">
        <v>415</v>
      </c>
      <c r="P252" s="84" t="s">
        <v>537</v>
      </c>
      <c r="Q252" s="84">
        <v>7850</v>
      </c>
      <c r="R252" s="162" t="s">
        <v>415</v>
      </c>
      <c r="S252" s="162" t="s">
        <v>415</v>
      </c>
      <c r="T252" s="162" t="s">
        <v>415</v>
      </c>
      <c r="U252" s="168" t="s">
        <v>415</v>
      </c>
      <c r="V252" s="73">
        <f>SUM(Table24[[#This Row],[A1toA3_GWP]:[C1toC4_GWP]])</f>
        <v>614.54</v>
      </c>
      <c r="W252" s="107">
        <f>VLOOKUP("FR",[2]Sheet1!$B$11:$F$30,4,FALSE)+Table24[[#This Row],[Total_GWP]]</f>
        <v>684.74</v>
      </c>
      <c r="X252" s="107">
        <f>VLOOKUP("FR",[2]Sheet1!$B$11:$F$30,5,FALSE)+Table24[[#This Row],[Total_GWP]]</f>
        <v>621.74</v>
      </c>
      <c r="Y252" s="73">
        <f>Table24[[#This Row],[Total_GWP]]*Table24[[#This Row],[DENSITY]]/1000</f>
        <v>4824.1390000000001</v>
      </c>
      <c r="Z252" s="111">
        <f>215+18.9+301</f>
        <v>534.9</v>
      </c>
      <c r="AA252" s="72">
        <f>51+26+2.64</f>
        <v>79.64</v>
      </c>
      <c r="AB252" s="73"/>
      <c r="AC252" s="73"/>
      <c r="AD252" s="73"/>
      <c r="AE252" s="75"/>
      <c r="AF252" s="107"/>
      <c r="AG252" s="129"/>
      <c r="AH252" s="129"/>
      <c r="AI252" s="75"/>
      <c r="AJ252" s="385">
        <f ca="1">IF(OR($E252="Ecoinvent",$E252="Betonsortenrechner",$E252="KBOB",$V252&lt;=0,Table24[[#This Row],[VALID_TO]]&lt;=TODAY()),0,1)</f>
        <v>1</v>
      </c>
      <c r="AK252" s="199">
        <v>1</v>
      </c>
      <c r="AL252" s="199">
        <f ca="1">IF(AND(Table24[[#This Row],[ValidEPD]]&lt;&gt;0,Table24[[#This Row],[Man_Ausschluss]]&lt;&gt;0),1,0)</f>
        <v>1</v>
      </c>
      <c r="AM252" s="17" cm="1">
        <f t="array" aca="1" ref="AM252" ca="1">IF(Table24[[#This Row],[gültig]]&lt;&gt;0,
IF(
OR(
V252=MIN(_xlfn._xlws.FILTER($V$2:$V$298,($P$2:$P$298=P252)*($N$2:$N$298=N252)*($AL$2:$AL$298&lt;&gt;0))),
V252=MAX(_xlfn._xlws.FILTER($V$2:$V$298,($P$2:$P$298=P252)*($N$2:$N$298=N252)*($AL$2:$AL$298&lt;&gt;0))),
ROWS(_xlfn._xlws.FILTER($V$2:$V$298,($P$2:$P$298=P252)*($N$2:$N$298=N252)*($AL$2:$AL$298&lt;&gt;0)))&lt;=2
),1,0),0)</f>
        <v>0</v>
      </c>
      <c r="AN252" s="138"/>
      <c r="AO252" s="1" t="s">
        <v>546</v>
      </c>
      <c r="AP252" s="1"/>
    </row>
    <row r="253" spans="1:42" x14ac:dyDescent="0.2">
      <c r="A253" s="82" t="s">
        <v>437</v>
      </c>
      <c r="B253" s="9" t="s">
        <v>518</v>
      </c>
      <c r="C253" s="96">
        <v>252</v>
      </c>
      <c r="D253" s="1" t="s">
        <v>439</v>
      </c>
      <c r="E253" s="162" t="s">
        <v>46</v>
      </c>
      <c r="F253" s="162"/>
      <c r="G253" s="163">
        <v>44627</v>
      </c>
      <c r="H253" s="163">
        <v>46404</v>
      </c>
      <c r="I253" s="84" t="s">
        <v>51</v>
      </c>
      <c r="J253" s="164" t="s">
        <v>606</v>
      </c>
      <c r="K253" s="165" t="s">
        <v>128</v>
      </c>
      <c r="L253" s="228" t="s">
        <v>324</v>
      </c>
      <c r="M253" s="1" t="s">
        <v>431</v>
      </c>
      <c r="N253" s="167" t="s">
        <v>318</v>
      </c>
      <c r="O253" s="1" t="s">
        <v>415</v>
      </c>
      <c r="P253" s="84" t="s">
        <v>545</v>
      </c>
      <c r="Q253" s="84">
        <v>7850</v>
      </c>
      <c r="R253" s="162" t="s">
        <v>415</v>
      </c>
      <c r="S253" s="162" t="s">
        <v>415</v>
      </c>
      <c r="T253" s="162" t="s">
        <v>415</v>
      </c>
      <c r="U253" s="168" t="s">
        <v>415</v>
      </c>
      <c r="V253" s="73">
        <f>SUM(Table24[[#This Row],[A1toA3_GWP]:[C1toC4_GWP]])</f>
        <v>614.54</v>
      </c>
      <c r="W253" s="107">
        <f>VLOOKUP("FR",[2]Sheet1!$B$11:$F$30,4,FALSE)+Table24[[#This Row],[Total_GWP]]</f>
        <v>684.74</v>
      </c>
      <c r="X253" s="107">
        <f>VLOOKUP("FR",[2]Sheet1!$B$11:$F$30,5,FALSE)+Table24[[#This Row],[Total_GWP]]</f>
        <v>621.74</v>
      </c>
      <c r="Y253" s="73">
        <f>Table24[[#This Row],[Total_GWP]]*Table24[[#This Row],[DENSITY]]/1000</f>
        <v>4824.1390000000001</v>
      </c>
      <c r="Z253" s="111">
        <f>215+18.9+301</f>
        <v>534.9</v>
      </c>
      <c r="AA253" s="72">
        <f>51+26+2.64</f>
        <v>79.64</v>
      </c>
      <c r="AB253" s="73"/>
      <c r="AC253" s="73"/>
      <c r="AD253" s="73"/>
      <c r="AE253" s="75"/>
      <c r="AF253" s="107"/>
      <c r="AG253" s="129"/>
      <c r="AH253" s="129"/>
      <c r="AI253" s="75"/>
      <c r="AJ253" s="385">
        <f ca="1">IF(OR($E253="Ecoinvent",$E253="Betonsortenrechner",$E253="KBOB",$V253&lt;=0,Table24[[#This Row],[VALID_TO]]&lt;=TODAY()),0,1)</f>
        <v>1</v>
      </c>
      <c r="AK253" s="199">
        <v>1</v>
      </c>
      <c r="AL253" s="199">
        <f ca="1">IF(AND(Table24[[#This Row],[ValidEPD]]&lt;&gt;0,Table24[[#This Row],[Man_Ausschluss]]&lt;&gt;0),1,0)</f>
        <v>1</v>
      </c>
      <c r="AM253" s="17" cm="1">
        <f t="array" aca="1" ref="AM253" ca="1">IF(Table24[[#This Row],[gültig]]&lt;&gt;0,
IF(
OR(
V253=MIN(_xlfn._xlws.FILTER($V$2:$V$298,($P$2:$P$298=P253)*($N$2:$N$298=N253)*($AL$2:$AL$298&lt;&gt;0))),
V253=MAX(_xlfn._xlws.FILTER($V$2:$V$298,($P$2:$P$298=P253)*($N$2:$N$298=N253)*($AL$2:$AL$298&lt;&gt;0))),
ROWS(_xlfn._xlws.FILTER($V$2:$V$298,($P$2:$P$298=P253)*($N$2:$N$298=N253)*($AL$2:$AL$298&lt;&gt;0)))&lt;=2
),1,0),0)</f>
        <v>1</v>
      </c>
      <c r="AN253" s="138"/>
      <c r="AO253" s="1" t="s">
        <v>546</v>
      </c>
      <c r="AP253" s="1"/>
    </row>
    <row r="254" spans="1:42" x14ac:dyDescent="0.2">
      <c r="A254" s="82" t="s">
        <v>437</v>
      </c>
      <c r="B254" s="9" t="s">
        <v>519</v>
      </c>
      <c r="C254" s="100">
        <v>253</v>
      </c>
      <c r="D254" s="1" t="s">
        <v>439</v>
      </c>
      <c r="E254" s="162" t="s">
        <v>46</v>
      </c>
      <c r="F254" s="162"/>
      <c r="G254" s="163">
        <v>44627</v>
      </c>
      <c r="H254" s="163">
        <v>46404</v>
      </c>
      <c r="I254" s="84" t="s">
        <v>51</v>
      </c>
      <c r="J254" s="164" t="s">
        <v>606</v>
      </c>
      <c r="K254" s="165" t="s">
        <v>128</v>
      </c>
      <c r="L254" s="228" t="s">
        <v>324</v>
      </c>
      <c r="M254" s="1" t="s">
        <v>431</v>
      </c>
      <c r="N254" s="167" t="s">
        <v>318</v>
      </c>
      <c r="O254" s="1" t="s">
        <v>415</v>
      </c>
      <c r="P254" s="84" t="s">
        <v>538</v>
      </c>
      <c r="Q254" s="84">
        <v>7850</v>
      </c>
      <c r="R254" s="162" t="s">
        <v>415</v>
      </c>
      <c r="S254" s="162" t="s">
        <v>415</v>
      </c>
      <c r="T254" s="162" t="s">
        <v>415</v>
      </c>
      <c r="U254" s="168" t="s">
        <v>415</v>
      </c>
      <c r="V254" s="73">
        <f>SUM(Table24[[#This Row],[A1toA3_GWP]:[C1toC4_GWP]])</f>
        <v>614.54</v>
      </c>
      <c r="W254" s="107">
        <f>VLOOKUP("FR",[2]Sheet1!$B$11:$F$30,4,FALSE)+Table24[[#This Row],[Total_GWP]]</f>
        <v>684.74</v>
      </c>
      <c r="X254" s="107">
        <f>VLOOKUP("FR",[2]Sheet1!$B$11:$F$30,5,FALSE)+Table24[[#This Row],[Total_GWP]]</f>
        <v>621.74</v>
      </c>
      <c r="Y254" s="73">
        <f>Table24[[#This Row],[Total_GWP]]*Table24[[#This Row],[DENSITY]]/1000</f>
        <v>4824.1390000000001</v>
      </c>
      <c r="Z254" s="111">
        <f>215+18.9+301</f>
        <v>534.9</v>
      </c>
      <c r="AA254" s="72">
        <f>51+26+2.64</f>
        <v>79.64</v>
      </c>
      <c r="AB254" s="73"/>
      <c r="AC254" s="73"/>
      <c r="AD254" s="73"/>
      <c r="AE254" s="75"/>
      <c r="AF254" s="107"/>
      <c r="AG254" s="129"/>
      <c r="AH254" s="129"/>
      <c r="AI254" s="75"/>
      <c r="AJ254" s="385">
        <f ca="1">IF(OR($E254="Ecoinvent",$E254="Betonsortenrechner",$E254="KBOB",$V254&lt;=0,Table24[[#This Row],[VALID_TO]]&lt;=TODAY()),0,1)</f>
        <v>1</v>
      </c>
      <c r="AK254" s="199">
        <v>1</v>
      </c>
      <c r="AL254" s="199">
        <f ca="1">IF(AND(Table24[[#This Row],[ValidEPD]]&lt;&gt;0,Table24[[#This Row],[Man_Ausschluss]]&lt;&gt;0),1,0)</f>
        <v>1</v>
      </c>
      <c r="AM254" s="17" cm="1">
        <f t="array" aca="1" ref="AM254" ca="1">IF(Table24[[#This Row],[gültig]]&lt;&gt;0,
IF(
OR(
V254=MIN(_xlfn._xlws.FILTER($V$2:$V$298,($P$2:$P$298=P254)*($N$2:$N$298=N254)*($AL$2:$AL$298&lt;&gt;0))),
V254=MAX(_xlfn._xlws.FILTER($V$2:$V$298,($P$2:$P$298=P254)*($N$2:$N$298=N254)*($AL$2:$AL$298&lt;&gt;0))),
ROWS(_xlfn._xlws.FILTER($V$2:$V$298,($P$2:$P$298=P254)*($N$2:$N$298=N254)*($AL$2:$AL$298&lt;&gt;0)))&lt;=2
),1,0),0)</f>
        <v>0</v>
      </c>
      <c r="AN254" s="138"/>
      <c r="AO254" s="1" t="s">
        <v>546</v>
      </c>
      <c r="AP254" s="1"/>
    </row>
    <row r="255" spans="1:42" x14ac:dyDescent="0.2">
      <c r="A255" s="82" t="s">
        <v>438</v>
      </c>
      <c r="B255" s="262"/>
      <c r="C255" s="96">
        <v>254</v>
      </c>
      <c r="D255" s="1" t="s">
        <v>441</v>
      </c>
      <c r="E255" s="162" t="s">
        <v>440</v>
      </c>
      <c r="F255" s="162"/>
      <c r="G255" s="163">
        <v>45134</v>
      </c>
      <c r="H255" s="163">
        <v>46960</v>
      </c>
      <c r="I255" s="84" t="s">
        <v>264</v>
      </c>
      <c r="J255" s="164" t="s">
        <v>264</v>
      </c>
      <c r="K255" s="165" t="s">
        <v>128</v>
      </c>
      <c r="L255" s="228" t="s">
        <v>324</v>
      </c>
      <c r="M255" s="1" t="s">
        <v>431</v>
      </c>
      <c r="N255" s="167" t="s">
        <v>318</v>
      </c>
      <c r="O255" s="1" t="s">
        <v>415</v>
      </c>
      <c r="P255" s="84" t="s">
        <v>415</v>
      </c>
      <c r="Q255" s="84">
        <v>7850</v>
      </c>
      <c r="R255" s="162" t="s">
        <v>415</v>
      </c>
      <c r="S255" s="162" t="s">
        <v>415</v>
      </c>
      <c r="T255" s="162" t="s">
        <v>415</v>
      </c>
      <c r="U255" s="168" t="s">
        <v>415</v>
      </c>
      <c r="V255" s="73">
        <f>SUM(Table24[[#This Row],[A1toA3_GWP]:[C1toC4_GWP]])</f>
        <v>838.41</v>
      </c>
      <c r="W255" s="73">
        <f>VLOOKUP(Table24[[#This Row],[Country PRODUCTION]],[2]Sheet1!$B$11:$F$30,4,FALSE)+Table24[[#This Row],[Total_GWP]]</f>
        <v>914.46</v>
      </c>
      <c r="X255" s="73">
        <f>VLOOKUP(Table24[[#This Row],[Country PRODUCTION]],[2]Sheet1!$B$11:$F$30,5,FALSE)+Table24[[#This Row],[Total_GWP]]</f>
        <v>846.20999999999992</v>
      </c>
      <c r="Y255" s="73">
        <f>Table24[[#This Row],[Total_GWP]]*Table24[[#This Row],[DENSITY]]/1000</f>
        <v>6581.5185000000001</v>
      </c>
      <c r="Z255" s="111">
        <v>688</v>
      </c>
      <c r="AA255" s="72">
        <f>5.41+145</f>
        <v>150.41</v>
      </c>
      <c r="AB255" s="73"/>
      <c r="AC255" s="73"/>
      <c r="AD255" s="73"/>
      <c r="AE255" s="75"/>
      <c r="AF255" s="107"/>
      <c r="AG255" s="129"/>
      <c r="AH255" s="129"/>
      <c r="AI255" s="75"/>
      <c r="AJ255" s="385">
        <f ca="1">IF(OR($E255="Ecoinvent",$E255="Betonsortenrechner",$E255="KBOB",$V255&lt;=0,Table24[[#This Row],[VALID_TO]]&lt;=TODAY()),0,1)</f>
        <v>1</v>
      </c>
      <c r="AK255" s="199">
        <v>1</v>
      </c>
      <c r="AL255" s="199">
        <f ca="1">IF(AND(Table24[[#This Row],[ValidEPD]]&lt;&gt;0,Table24[[#This Row],[Man_Ausschluss]]&lt;&gt;0),1,0)</f>
        <v>1</v>
      </c>
      <c r="AM255" s="17" cm="1">
        <f t="array" aca="1" ref="AM255" ca="1">IF(Table24[[#This Row],[gültig]]&lt;&gt;0,
IF(
OR(
V255=MIN(_xlfn._xlws.FILTER($V$2:$V$298,($P$2:$P$298=P255)*($N$2:$N$298=N255)*($AL$2:$AL$298&lt;&gt;0))),
V255=MAX(_xlfn._xlws.FILTER($V$2:$V$298,($P$2:$P$298=P255)*($N$2:$N$298=N255)*($AL$2:$AL$298&lt;&gt;0))),
ROWS(_xlfn._xlws.FILTER($V$2:$V$298,($P$2:$P$298=P255)*($N$2:$N$298=N255)*($AL$2:$AL$298&lt;&gt;0)))&lt;=2
),1,0),0)</f>
        <v>1</v>
      </c>
      <c r="AN255" s="138"/>
      <c r="AO255" s="1"/>
      <c r="AP255" s="1"/>
    </row>
    <row r="256" spans="1:42" x14ac:dyDescent="0.2">
      <c r="A256" s="82" t="s">
        <v>442</v>
      </c>
      <c r="B256" s="9" t="s">
        <v>502</v>
      </c>
      <c r="C256" s="100">
        <v>255</v>
      </c>
      <c r="D256" s="1" t="s">
        <v>447</v>
      </c>
      <c r="E256" s="162" t="s">
        <v>446</v>
      </c>
      <c r="F256" s="162"/>
      <c r="G256" s="163">
        <v>45133</v>
      </c>
      <c r="H256" s="163">
        <v>46228</v>
      </c>
      <c r="I256" s="84" t="s">
        <v>596</v>
      </c>
      <c r="J256" s="164" t="s">
        <v>596</v>
      </c>
      <c r="K256" s="165" t="s">
        <v>128</v>
      </c>
      <c r="L256" s="228" t="s">
        <v>324</v>
      </c>
      <c r="M256" s="1" t="s">
        <v>431</v>
      </c>
      <c r="N256" s="167" t="s">
        <v>318</v>
      </c>
      <c r="O256" s="1" t="s">
        <v>415</v>
      </c>
      <c r="P256" s="84" t="s">
        <v>537</v>
      </c>
      <c r="Q256" s="84">
        <v>7850</v>
      </c>
      <c r="R256" s="162" t="s">
        <v>415</v>
      </c>
      <c r="S256" s="162" t="s">
        <v>415</v>
      </c>
      <c r="T256" s="162" t="s">
        <v>415</v>
      </c>
      <c r="U256" s="168" t="s">
        <v>415</v>
      </c>
      <c r="V256" s="73">
        <f>SUM(Table24[[#This Row],[A1toA3_GWP]:[C1toC4_GWP]])</f>
        <v>1201.78</v>
      </c>
      <c r="W256" s="73">
        <f>VLOOKUP(Table24[[#This Row],[Country PRODUCTION]],[2]Sheet1!$B$11:$F$30,4,FALSE)+Table24[[#This Row],[Total_GWP]]</f>
        <v>1470.88</v>
      </c>
      <c r="X256" s="73">
        <f>VLOOKUP(Table24[[#This Row],[Country PRODUCTION]],[2]Sheet1!$B$11:$F$30,5,FALSE)+Table24[[#This Row],[Total_GWP]]</f>
        <v>1229.3799999999999</v>
      </c>
      <c r="Y256" s="73">
        <f>Table24[[#This Row],[Total_GWP]]*Table24[[#This Row],[DENSITY]]/1000</f>
        <v>9433.973</v>
      </c>
      <c r="Z256" s="111">
        <v>1160</v>
      </c>
      <c r="AA256" s="72">
        <f>40.6+1.18</f>
        <v>41.78</v>
      </c>
      <c r="AB256" s="73"/>
      <c r="AC256" s="73"/>
      <c r="AD256" s="73"/>
      <c r="AE256" s="75"/>
      <c r="AF256" s="107"/>
      <c r="AG256" s="129"/>
      <c r="AH256" s="129"/>
      <c r="AI256" s="75"/>
      <c r="AJ256" s="385">
        <f ca="1">IF(OR($E256="Ecoinvent",$E256="Betonsortenrechner",$E256="KBOB",$V256&lt;=0,Table24[[#This Row],[VALID_TO]]&lt;=TODAY()),0,1)</f>
        <v>0</v>
      </c>
      <c r="AK256" s="199">
        <v>1</v>
      </c>
      <c r="AL256" s="199">
        <f ca="1">IF(AND(Table24[[#This Row],[ValidEPD]]&lt;&gt;0,Table24[[#This Row],[Man_Ausschluss]]&lt;&gt;0),1,0)</f>
        <v>0</v>
      </c>
      <c r="AM256" s="17" cm="1">
        <f t="array" aca="1" ref="AM256" ca="1">IF(Table24[[#This Row],[gültig]]&lt;&gt;0,
IF(
OR(
V256=MIN(_xlfn._xlws.FILTER($V$2:$V$298,($P$2:$P$298=P256)*($N$2:$N$298=N256)*($AL$2:$AL$298&lt;&gt;0))),
V256=MAX(_xlfn._xlws.FILTER($V$2:$V$298,($P$2:$P$298=P256)*($N$2:$N$298=N256)*($AL$2:$AL$298&lt;&gt;0))),
ROWS(_xlfn._xlws.FILTER($V$2:$V$298,($P$2:$P$298=P256)*($N$2:$N$298=N256)*($AL$2:$AL$298&lt;&gt;0)))&lt;=2
),1,0),0)</f>
        <v>0</v>
      </c>
      <c r="AN256" s="138"/>
      <c r="AO256" s="1"/>
      <c r="AP256" s="1"/>
    </row>
    <row r="257" spans="1:42" x14ac:dyDescent="0.2">
      <c r="A257" s="82" t="s">
        <v>442</v>
      </c>
      <c r="B257" s="9" t="s">
        <v>518</v>
      </c>
      <c r="C257" s="96">
        <v>256</v>
      </c>
      <c r="D257" s="1" t="s">
        <v>447</v>
      </c>
      <c r="E257" s="162" t="s">
        <v>446</v>
      </c>
      <c r="F257" s="162"/>
      <c r="G257" s="163">
        <v>45133</v>
      </c>
      <c r="H257" s="163">
        <v>46228</v>
      </c>
      <c r="I257" s="84" t="s">
        <v>596</v>
      </c>
      <c r="J257" s="164" t="s">
        <v>596</v>
      </c>
      <c r="K257" s="165" t="s">
        <v>128</v>
      </c>
      <c r="L257" s="228" t="s">
        <v>324</v>
      </c>
      <c r="M257" s="1" t="s">
        <v>431</v>
      </c>
      <c r="N257" s="167" t="s">
        <v>318</v>
      </c>
      <c r="O257" s="1" t="s">
        <v>415</v>
      </c>
      <c r="P257" s="84" t="s">
        <v>538</v>
      </c>
      <c r="Q257" s="84">
        <v>7850</v>
      </c>
      <c r="R257" s="162" t="s">
        <v>415</v>
      </c>
      <c r="S257" s="162" t="s">
        <v>415</v>
      </c>
      <c r="T257" s="162" t="s">
        <v>415</v>
      </c>
      <c r="U257" s="168" t="s">
        <v>415</v>
      </c>
      <c r="V257" s="73">
        <f>SUM(Table24[[#This Row],[A1toA3_GWP]:[C1toC4_GWP]])</f>
        <v>1201.78</v>
      </c>
      <c r="W257" s="73">
        <f>VLOOKUP(Table24[[#This Row],[Country PRODUCTION]],[2]Sheet1!$B$11:$F$30,4,FALSE)+Table24[[#This Row],[Total_GWP]]</f>
        <v>1470.88</v>
      </c>
      <c r="X257" s="73">
        <f>VLOOKUP(Table24[[#This Row],[Country PRODUCTION]],[2]Sheet1!$B$11:$F$30,5,FALSE)+Table24[[#This Row],[Total_GWP]]</f>
        <v>1229.3799999999999</v>
      </c>
      <c r="Y257" s="73">
        <f>Table24[[#This Row],[Total_GWP]]*Table24[[#This Row],[DENSITY]]/1000</f>
        <v>9433.973</v>
      </c>
      <c r="Z257" s="111">
        <v>1160</v>
      </c>
      <c r="AA257" s="72">
        <f>40.6+1.18</f>
        <v>41.78</v>
      </c>
      <c r="AB257" s="73"/>
      <c r="AC257" s="73"/>
      <c r="AD257" s="73"/>
      <c r="AE257" s="75"/>
      <c r="AF257" s="107"/>
      <c r="AG257" s="129"/>
      <c r="AH257" s="129"/>
      <c r="AI257" s="75"/>
      <c r="AJ257" s="385">
        <f ca="1">IF(OR($E257="Ecoinvent",$E257="Betonsortenrechner",$E257="KBOB",$V257&lt;=0,Table24[[#This Row],[VALID_TO]]&lt;=TODAY()),0,1)</f>
        <v>0</v>
      </c>
      <c r="AK257" s="199">
        <v>1</v>
      </c>
      <c r="AL257" s="199">
        <f ca="1">IF(AND(Table24[[#This Row],[ValidEPD]]&lt;&gt;0,Table24[[#This Row],[Man_Ausschluss]]&lt;&gt;0),1,0)</f>
        <v>0</v>
      </c>
      <c r="AM257" s="17" cm="1">
        <f t="array" aca="1" ref="AM257" ca="1">IF(Table24[[#This Row],[gültig]]&lt;&gt;0,
IF(
OR(
V257=MIN(_xlfn._xlws.FILTER($V$2:$V$298,($P$2:$P$298=P257)*($N$2:$N$298=N257)*($AL$2:$AL$298&lt;&gt;0))),
V257=MAX(_xlfn._xlws.FILTER($V$2:$V$298,($P$2:$P$298=P257)*($N$2:$N$298=N257)*($AL$2:$AL$298&lt;&gt;0))),
ROWS(_xlfn._xlws.FILTER($V$2:$V$298,($P$2:$P$298=P257)*($N$2:$N$298=N257)*($AL$2:$AL$298&lt;&gt;0)))&lt;=2
),1,0),0)</f>
        <v>0</v>
      </c>
      <c r="AN257" s="138"/>
      <c r="AO257" s="1"/>
      <c r="AP257" s="1"/>
    </row>
    <row r="258" spans="1:42" x14ac:dyDescent="0.2">
      <c r="A258" s="82" t="s">
        <v>442</v>
      </c>
      <c r="B258" s="9" t="s">
        <v>519</v>
      </c>
      <c r="C258" s="100">
        <v>257</v>
      </c>
      <c r="D258" s="1" t="s">
        <v>447</v>
      </c>
      <c r="E258" s="162" t="s">
        <v>446</v>
      </c>
      <c r="F258" s="162"/>
      <c r="G258" s="163">
        <v>45133</v>
      </c>
      <c r="H258" s="163">
        <v>46228</v>
      </c>
      <c r="I258" s="84" t="s">
        <v>596</v>
      </c>
      <c r="J258" s="164" t="s">
        <v>596</v>
      </c>
      <c r="K258" s="165" t="s">
        <v>128</v>
      </c>
      <c r="L258" s="228" t="s">
        <v>324</v>
      </c>
      <c r="M258" s="1" t="s">
        <v>431</v>
      </c>
      <c r="N258" s="167" t="s">
        <v>318</v>
      </c>
      <c r="O258" s="1" t="s">
        <v>415</v>
      </c>
      <c r="P258" s="84" t="s">
        <v>539</v>
      </c>
      <c r="Q258" s="84">
        <v>7850</v>
      </c>
      <c r="R258" s="162" t="s">
        <v>415</v>
      </c>
      <c r="S258" s="162" t="s">
        <v>415</v>
      </c>
      <c r="T258" s="162" t="s">
        <v>415</v>
      </c>
      <c r="U258" s="168" t="s">
        <v>415</v>
      </c>
      <c r="V258" s="73">
        <f>SUM(Table24[[#This Row],[A1toA3_GWP]:[C1toC4_GWP]])</f>
        <v>1201.78</v>
      </c>
      <c r="W258" s="73">
        <f>VLOOKUP(Table24[[#This Row],[Country PRODUCTION]],[2]Sheet1!$B$11:$F$30,4,FALSE)+Table24[[#This Row],[Total_GWP]]</f>
        <v>1470.88</v>
      </c>
      <c r="X258" s="73">
        <f>VLOOKUP(Table24[[#This Row],[Country PRODUCTION]],[2]Sheet1!$B$11:$F$30,5,FALSE)+Table24[[#This Row],[Total_GWP]]</f>
        <v>1229.3799999999999</v>
      </c>
      <c r="Y258" s="73">
        <f>Table24[[#This Row],[Total_GWP]]*Table24[[#This Row],[DENSITY]]/1000</f>
        <v>9433.973</v>
      </c>
      <c r="Z258" s="111">
        <v>1160</v>
      </c>
      <c r="AA258" s="72">
        <f>40.6+1.18</f>
        <v>41.78</v>
      </c>
      <c r="AB258" s="73"/>
      <c r="AC258" s="73"/>
      <c r="AD258" s="73"/>
      <c r="AE258" s="75"/>
      <c r="AF258" s="107"/>
      <c r="AG258" s="129"/>
      <c r="AH258" s="129"/>
      <c r="AI258" s="75"/>
      <c r="AJ258" s="385">
        <f ca="1">IF(OR($E258="Ecoinvent",$E258="Betonsortenrechner",$E258="KBOB",$V258&lt;=0,Table24[[#This Row],[VALID_TO]]&lt;=TODAY()),0,1)</f>
        <v>0</v>
      </c>
      <c r="AK258" s="199">
        <v>1</v>
      </c>
      <c r="AL258" s="199">
        <f ca="1">IF(AND(Table24[[#This Row],[ValidEPD]]&lt;&gt;0,Table24[[#This Row],[Man_Ausschluss]]&lt;&gt;0),1,0)</f>
        <v>0</v>
      </c>
      <c r="AM258" s="17" cm="1">
        <f t="array" aca="1" ref="AM258" ca="1">IF(Table24[[#This Row],[gültig]]&lt;&gt;0,
IF(
OR(
V258=MIN(_xlfn._xlws.FILTER($V$2:$V$298,($P$2:$P$298=P258)*($N$2:$N$298=N258)*($AL$2:$AL$298&lt;&gt;0))),
V258=MAX(_xlfn._xlws.FILTER($V$2:$V$298,($P$2:$P$298=P258)*($N$2:$N$298=N258)*($AL$2:$AL$298&lt;&gt;0))),
ROWS(_xlfn._xlws.FILTER($V$2:$V$298,($P$2:$P$298=P258)*($N$2:$N$298=N258)*($AL$2:$AL$298&lt;&gt;0)))&lt;=2
),1,0),0)</f>
        <v>0</v>
      </c>
      <c r="AN258" s="138"/>
      <c r="AO258" s="1"/>
      <c r="AP258" s="1"/>
    </row>
    <row r="259" spans="1:42" x14ac:dyDescent="0.2">
      <c r="A259" s="82" t="s">
        <v>443</v>
      </c>
      <c r="B259" s="262"/>
      <c r="C259" s="96">
        <v>258</v>
      </c>
      <c r="D259" s="1" t="s">
        <v>449</v>
      </c>
      <c r="E259" s="162" t="s">
        <v>448</v>
      </c>
      <c r="F259" s="162"/>
      <c r="G259" s="163">
        <v>45041</v>
      </c>
      <c r="H259" s="163">
        <v>46863</v>
      </c>
      <c r="I259" s="84" t="s">
        <v>169</v>
      </c>
      <c r="J259" s="164" t="s">
        <v>169</v>
      </c>
      <c r="K259" s="165" t="s">
        <v>128</v>
      </c>
      <c r="L259" s="228" t="s">
        <v>324</v>
      </c>
      <c r="M259" s="1" t="s">
        <v>431</v>
      </c>
      <c r="N259" s="167" t="s">
        <v>318</v>
      </c>
      <c r="O259" s="1" t="s">
        <v>415</v>
      </c>
      <c r="P259" s="84" t="s">
        <v>537</v>
      </c>
      <c r="Q259" s="84">
        <v>7850</v>
      </c>
      <c r="R259" s="162" t="s">
        <v>415</v>
      </c>
      <c r="S259" s="162" t="s">
        <v>415</v>
      </c>
      <c r="T259" s="162" t="s">
        <v>415</v>
      </c>
      <c r="U259" s="168" t="s">
        <v>415</v>
      </c>
      <c r="V259" s="73">
        <f>SUM(Table24[[#This Row],[A1toA3_GWP]:[C1toC4_GWP]])</f>
        <v>293.67</v>
      </c>
      <c r="W259" s="73">
        <f>VLOOKUP(Table24[[#This Row],[Country PRODUCTION]],[2]Sheet1!$B$11:$F$30,4,FALSE)+Table24[[#This Row],[Total_GWP]]</f>
        <v>445.77000000000004</v>
      </c>
      <c r="X259" s="73">
        <f>VLOOKUP(Table24[[#This Row],[Country PRODUCTION]],[2]Sheet1!$B$11:$F$30,5,FALSE)+Table24[[#This Row],[Total_GWP]]</f>
        <v>309.27000000000004</v>
      </c>
      <c r="Y259" s="73">
        <f>Table24[[#This Row],[Total_GWP]]*Table24[[#This Row],[DENSITY]]/1000</f>
        <v>2305.3094999999998</v>
      </c>
      <c r="Z259" s="111">
        <v>223</v>
      </c>
      <c r="AA259" s="72">
        <f>61.9+8.32+0.45</f>
        <v>70.67</v>
      </c>
      <c r="AB259" s="73"/>
      <c r="AC259" s="73"/>
      <c r="AD259" s="73"/>
      <c r="AE259" s="75"/>
      <c r="AF259" s="107"/>
      <c r="AG259" s="129"/>
      <c r="AH259" s="129"/>
      <c r="AI259" s="75"/>
      <c r="AJ259" s="385">
        <f ca="1">IF(OR($E259="Ecoinvent",$E259="Betonsortenrechner",$E259="KBOB",$V259&lt;=0,Table24[[#This Row],[VALID_TO]]&lt;=TODAY()),0,1)</f>
        <v>1</v>
      </c>
      <c r="AK259" s="199">
        <v>1</v>
      </c>
      <c r="AL259" s="199">
        <f ca="1">IF(AND(Table24[[#This Row],[ValidEPD]]&lt;&gt;0,Table24[[#This Row],[Man_Ausschluss]]&lt;&gt;0),1,0)</f>
        <v>1</v>
      </c>
      <c r="AM259" s="17" cm="1">
        <f t="array" aca="1" ref="AM259" ca="1">IF(Table24[[#This Row],[gültig]]&lt;&gt;0,
IF(
OR(
V259=MIN(_xlfn._xlws.FILTER($V$2:$V$298,($P$2:$P$298=P259)*($N$2:$N$298=N259)*($AL$2:$AL$298&lt;&gt;0))),
V259=MAX(_xlfn._xlws.FILTER($V$2:$V$298,($P$2:$P$298=P259)*($N$2:$N$298=N259)*($AL$2:$AL$298&lt;&gt;0))),
ROWS(_xlfn._xlws.FILTER($V$2:$V$298,($P$2:$P$298=P259)*($N$2:$N$298=N259)*($AL$2:$AL$298&lt;&gt;0)))&lt;=2
),1,0),0)</f>
        <v>1</v>
      </c>
      <c r="AN259" s="138"/>
      <c r="AO259" s="1" t="s">
        <v>543</v>
      </c>
      <c r="AP259" s="1"/>
    </row>
    <row r="260" spans="1:42" x14ac:dyDescent="0.2">
      <c r="A260" s="82" t="s">
        <v>444</v>
      </c>
      <c r="B260" s="262"/>
      <c r="C260" s="100">
        <v>259</v>
      </c>
      <c r="D260" s="1" t="s">
        <v>451</v>
      </c>
      <c r="E260" s="162" t="s">
        <v>450</v>
      </c>
      <c r="F260" s="162"/>
      <c r="G260" s="163">
        <v>45209</v>
      </c>
      <c r="H260" s="163">
        <v>47036</v>
      </c>
      <c r="I260" s="84" t="s">
        <v>238</v>
      </c>
      <c r="J260" s="164" t="s">
        <v>617</v>
      </c>
      <c r="K260" s="165" t="s">
        <v>128</v>
      </c>
      <c r="L260" s="228" t="s">
        <v>324</v>
      </c>
      <c r="M260" s="1" t="s">
        <v>431</v>
      </c>
      <c r="N260" s="167" t="s">
        <v>318</v>
      </c>
      <c r="O260" s="1" t="s">
        <v>415</v>
      </c>
      <c r="P260" s="84" t="s">
        <v>538</v>
      </c>
      <c r="Q260" s="84">
        <v>7850</v>
      </c>
      <c r="R260" s="162" t="s">
        <v>415</v>
      </c>
      <c r="S260" s="162" t="s">
        <v>415</v>
      </c>
      <c r="T260" s="162" t="s">
        <v>415</v>
      </c>
      <c r="U260" s="168" t="s">
        <v>415</v>
      </c>
      <c r="V260" s="73">
        <f>SUM(Table24[[#This Row],[A1toA3_GWP]:[C1toC4_GWP]])</f>
        <v>2447.48</v>
      </c>
      <c r="W260" s="107">
        <f>VLOOKUP("DE",[2]Sheet1!$B$11:$F$30,4,FALSE)+Table24[[#This Row],[Total_GWP]]</f>
        <v>2523.5300000000002</v>
      </c>
      <c r="X260" s="107">
        <f>VLOOKUP("DE",[2]Sheet1!$B$11:$F$30,5,FALSE)+Table24[[#This Row],[Total_GWP]]</f>
        <v>2455.2800000000002</v>
      </c>
      <c r="Y260" s="73">
        <f>Table24[[#This Row],[Total_GWP]]*Table24[[#This Row],[DENSITY]]/1000</f>
        <v>19212.718000000001</v>
      </c>
      <c r="Z260" s="111">
        <v>2410</v>
      </c>
      <c r="AA260" s="72">
        <f>1.1+9.68+26.7</f>
        <v>37.479999999999997</v>
      </c>
      <c r="AB260" s="73"/>
      <c r="AC260" s="73"/>
      <c r="AD260" s="73"/>
      <c r="AE260" s="75"/>
      <c r="AF260" s="107"/>
      <c r="AG260" s="129"/>
      <c r="AH260" s="129"/>
      <c r="AI260" s="75"/>
      <c r="AJ260" s="385">
        <f ca="1">IF(OR($E260="Ecoinvent",$E260="Betonsortenrechner",$E260="KBOB",$V260&lt;=0,Table24[[#This Row],[VALID_TO]]&lt;=TODAY()),0,1)</f>
        <v>1</v>
      </c>
      <c r="AK260" s="199">
        <v>0</v>
      </c>
      <c r="AL260" s="199">
        <f ca="1">IF(AND(Table24[[#This Row],[ValidEPD]]&lt;&gt;0,Table24[[#This Row],[Man_Ausschluss]]&lt;&gt;0),1,0)</f>
        <v>0</v>
      </c>
      <c r="AM260" s="17" cm="1">
        <f t="array" aca="1" ref="AM260" ca="1">IF(Table24[[#This Row],[gültig]]&lt;&gt;0,
IF(
OR(
V260=MIN(_xlfn._xlws.FILTER($V$2:$V$298,($P$2:$P$298=P260)*($N$2:$N$298=N260)*($AL$2:$AL$298&lt;&gt;0))),
V260=MAX(_xlfn._xlws.FILTER($V$2:$V$298,($P$2:$P$298=P260)*($N$2:$N$298=N260)*($AL$2:$AL$298&lt;&gt;0))),
ROWS(_xlfn._xlws.FILTER($V$2:$V$298,($P$2:$P$298=P260)*($N$2:$N$298=N260)*($AL$2:$AL$298&lt;&gt;0)))&lt;=2
),1,0),0)</f>
        <v>0</v>
      </c>
      <c r="AN260" s="138"/>
      <c r="AO260" s="69" t="s">
        <v>542</v>
      </c>
      <c r="AP260" s="51"/>
    </row>
    <row r="261" spans="1:42" x14ac:dyDescent="0.2">
      <c r="A261" s="82" t="s">
        <v>445</v>
      </c>
      <c r="B261" s="9" t="s">
        <v>502</v>
      </c>
      <c r="C261" s="96">
        <v>260</v>
      </c>
      <c r="D261" s="1" t="s">
        <v>456</v>
      </c>
      <c r="E261" s="162" t="s">
        <v>457</v>
      </c>
      <c r="F261" s="162"/>
      <c r="G261" s="163">
        <v>44249</v>
      </c>
      <c r="H261" s="163">
        <v>46075</v>
      </c>
      <c r="I261" s="163" t="s">
        <v>275</v>
      </c>
      <c r="J261" s="227" t="s">
        <v>618</v>
      </c>
      <c r="K261" s="165" t="s">
        <v>128</v>
      </c>
      <c r="L261" s="228" t="s">
        <v>324</v>
      </c>
      <c r="M261" s="1" t="s">
        <v>431</v>
      </c>
      <c r="N261" s="167" t="s">
        <v>318</v>
      </c>
      <c r="O261" s="1" t="s">
        <v>415</v>
      </c>
      <c r="P261" s="84" t="s">
        <v>537</v>
      </c>
      <c r="Q261" s="84">
        <v>7850</v>
      </c>
      <c r="R261" s="162" t="s">
        <v>415</v>
      </c>
      <c r="S261" s="162" t="s">
        <v>415</v>
      </c>
      <c r="T261" s="162" t="s">
        <v>415</v>
      </c>
      <c r="U261" s="168" t="s">
        <v>415</v>
      </c>
      <c r="V261" s="73">
        <f>SUM(Table24[[#This Row],[A1toA3_GWP]:[C1toC4_GWP]])</f>
        <v>1380.1</v>
      </c>
      <c r="W261" s="107">
        <f>VLOOKUP("DK",[2]Sheet1!$B$11:$F$30,4,FALSE)+Table24[[#This Row],[Total_GWP]]</f>
        <v>1508.8</v>
      </c>
      <c r="X261" s="107">
        <f>VLOOKUP("DK",[2]Sheet1!$B$11:$F$30,5,FALSE)+Table24[[#This Row],[Total_GWP]]</f>
        <v>1393.3</v>
      </c>
      <c r="Y261" s="73">
        <f>Table24[[#This Row],[Total_GWP]]*Table24[[#This Row],[DENSITY]]/1000</f>
        <v>10833.785</v>
      </c>
      <c r="Z261" s="111">
        <v>1290</v>
      </c>
      <c r="AA261" s="72">
        <f>21.5+68.6</f>
        <v>90.1</v>
      </c>
      <c r="AB261" s="73"/>
      <c r="AC261" s="73"/>
      <c r="AD261" s="73"/>
      <c r="AE261" s="75"/>
      <c r="AF261" s="107"/>
      <c r="AG261" s="129"/>
      <c r="AH261" s="129"/>
      <c r="AI261" s="75"/>
      <c r="AJ261" s="385">
        <f ca="1">IF(OR($E261="Ecoinvent",$E261="Betonsortenrechner",$E261="KBOB",$V261&lt;=0,Table24[[#This Row],[VALID_TO]]&lt;=TODAY()),0,1)</f>
        <v>0</v>
      </c>
      <c r="AK261" s="199">
        <v>1</v>
      </c>
      <c r="AL261" s="199">
        <f ca="1">IF(AND(Table24[[#This Row],[ValidEPD]]&lt;&gt;0,Table24[[#This Row],[Man_Ausschluss]]&lt;&gt;0),1,0)</f>
        <v>0</v>
      </c>
      <c r="AM261" s="17" cm="1">
        <f t="array" aca="1" ref="AM261" ca="1">IF(Table24[[#This Row],[gültig]]&lt;&gt;0,
IF(
OR(
V261=MIN(_xlfn._xlws.FILTER($V$2:$V$298,($P$2:$P$298=P261)*($N$2:$N$298=N261)*($AL$2:$AL$298&lt;&gt;0))),
V261=MAX(_xlfn._xlws.FILTER($V$2:$V$298,($P$2:$P$298=P261)*($N$2:$N$298=N261)*($AL$2:$AL$298&lt;&gt;0))),
ROWS(_xlfn._xlws.FILTER($V$2:$V$298,($P$2:$P$298=P261)*($N$2:$N$298=N261)*($AL$2:$AL$298&lt;&gt;0)))&lt;=2
),1,0),0)</f>
        <v>0</v>
      </c>
      <c r="AN261" s="138"/>
      <c r="AO261" s="69"/>
      <c r="AP261" s="1"/>
    </row>
    <row r="262" spans="1:42" x14ac:dyDescent="0.2">
      <c r="A262" s="82" t="s">
        <v>445</v>
      </c>
      <c r="B262" s="9" t="s">
        <v>518</v>
      </c>
      <c r="C262" s="100">
        <v>261</v>
      </c>
      <c r="D262" s="1" t="s">
        <v>456</v>
      </c>
      <c r="E262" s="162" t="s">
        <v>457</v>
      </c>
      <c r="F262" s="162"/>
      <c r="G262" s="163">
        <v>44249</v>
      </c>
      <c r="H262" s="163">
        <v>46075</v>
      </c>
      <c r="I262" s="163" t="s">
        <v>275</v>
      </c>
      <c r="J262" s="227" t="s">
        <v>618</v>
      </c>
      <c r="K262" s="165" t="s">
        <v>128</v>
      </c>
      <c r="L262" s="228" t="s">
        <v>324</v>
      </c>
      <c r="M262" s="1" t="s">
        <v>431</v>
      </c>
      <c r="N262" s="167" t="s">
        <v>318</v>
      </c>
      <c r="O262" s="1" t="s">
        <v>415</v>
      </c>
      <c r="P262" s="84" t="s">
        <v>538</v>
      </c>
      <c r="Q262" s="84">
        <v>7850</v>
      </c>
      <c r="R262" s="162" t="s">
        <v>415</v>
      </c>
      <c r="S262" s="162" t="s">
        <v>415</v>
      </c>
      <c r="T262" s="162" t="s">
        <v>415</v>
      </c>
      <c r="U262" s="168" t="s">
        <v>415</v>
      </c>
      <c r="V262" s="73">
        <f>SUM(Table24[[#This Row],[A1toA3_GWP]:[C1toC4_GWP]])</f>
        <v>1380.1</v>
      </c>
      <c r="W262" s="107">
        <f>VLOOKUP("DK",[2]Sheet1!$B$11:$F$30,4,FALSE)+Table24[[#This Row],[Total_GWP]]</f>
        <v>1508.8</v>
      </c>
      <c r="X262" s="107">
        <f>VLOOKUP("DK",[2]Sheet1!$B$11:$F$30,5,FALSE)+Table24[[#This Row],[Total_GWP]]</f>
        <v>1393.3</v>
      </c>
      <c r="Y262" s="73">
        <f>Table24[[#This Row],[Total_GWP]]*Table24[[#This Row],[DENSITY]]/1000</f>
        <v>10833.785</v>
      </c>
      <c r="Z262" s="111">
        <v>1290</v>
      </c>
      <c r="AA262" s="72">
        <f>21.5+68.6</f>
        <v>90.1</v>
      </c>
      <c r="AB262" s="73"/>
      <c r="AC262" s="73"/>
      <c r="AD262" s="73"/>
      <c r="AE262" s="75"/>
      <c r="AF262" s="107"/>
      <c r="AG262" s="129"/>
      <c r="AH262" s="129"/>
      <c r="AI262" s="75"/>
      <c r="AJ262" s="385">
        <f ca="1">IF(OR($E262="Ecoinvent",$E262="Betonsortenrechner",$E262="KBOB",$V262&lt;=0,Table24[[#This Row],[VALID_TO]]&lt;=TODAY()),0,1)</f>
        <v>0</v>
      </c>
      <c r="AK262" s="199">
        <v>1</v>
      </c>
      <c r="AL262" s="199">
        <f ca="1">IF(AND(Table24[[#This Row],[ValidEPD]]&lt;&gt;0,Table24[[#This Row],[Man_Ausschluss]]&lt;&gt;0),1,0)</f>
        <v>0</v>
      </c>
      <c r="AM262" s="17" cm="1">
        <f t="array" aca="1" ref="AM262" ca="1">IF(Table24[[#This Row],[gültig]]&lt;&gt;0,
IF(
OR(
V262=MIN(_xlfn._xlws.FILTER($V$2:$V$298,($P$2:$P$298=P262)*($N$2:$N$298=N262)*($AL$2:$AL$298&lt;&gt;0))),
V262=MAX(_xlfn._xlws.FILTER($V$2:$V$298,($P$2:$P$298=P262)*($N$2:$N$298=N262)*($AL$2:$AL$298&lt;&gt;0))),
ROWS(_xlfn._xlws.FILTER($V$2:$V$298,($P$2:$P$298=P262)*($N$2:$N$298=N262)*($AL$2:$AL$298&lt;&gt;0)))&lt;=2
),1,0),0)</f>
        <v>0</v>
      </c>
      <c r="AN262" s="138"/>
      <c r="AO262" s="1"/>
      <c r="AP262" s="1"/>
    </row>
    <row r="263" spans="1:42" x14ac:dyDescent="0.2">
      <c r="A263" s="82" t="s">
        <v>460</v>
      </c>
      <c r="B263" s="9" t="s">
        <v>502</v>
      </c>
      <c r="C263" s="96">
        <v>262</v>
      </c>
      <c r="D263" s="1" t="s">
        <v>458</v>
      </c>
      <c r="E263" s="162" t="s">
        <v>459</v>
      </c>
      <c r="F263" s="162"/>
      <c r="G263" s="163">
        <v>45239</v>
      </c>
      <c r="H263" s="163">
        <v>47066</v>
      </c>
      <c r="I263" s="84" t="s">
        <v>292</v>
      </c>
      <c r="J263" s="164" t="s">
        <v>292</v>
      </c>
      <c r="K263" s="165" t="s">
        <v>128</v>
      </c>
      <c r="L263" s="228" t="s">
        <v>324</v>
      </c>
      <c r="M263" s="1" t="s">
        <v>431</v>
      </c>
      <c r="N263" s="167" t="s">
        <v>318</v>
      </c>
      <c r="O263" s="1" t="s">
        <v>415</v>
      </c>
      <c r="P263" s="84" t="s">
        <v>537</v>
      </c>
      <c r="Q263" s="84">
        <v>7850</v>
      </c>
      <c r="R263" s="162" t="s">
        <v>415</v>
      </c>
      <c r="S263" s="162" t="s">
        <v>415</v>
      </c>
      <c r="T263" s="162" t="s">
        <v>415</v>
      </c>
      <c r="U263" s="168" t="s">
        <v>415</v>
      </c>
      <c r="V263" s="73">
        <f>SUM(Table24[[#This Row],[A1toA3_GWP]:[C1toC4_GWP]])</f>
        <v>867.42</v>
      </c>
      <c r="W263" s="73">
        <f>VLOOKUP(Table24[[#This Row],[Country PRODUCTION]],[2]Sheet1!$B$11:$F$30,4,FALSE)+Table24[[#This Row],[Total_GWP]]</f>
        <v>961.02</v>
      </c>
      <c r="X263" s="73">
        <f>VLOOKUP(Table24[[#This Row],[Country PRODUCTION]],[2]Sheet1!$B$11:$F$30,5,FALSE)+Table24[[#This Row],[Total_GWP]]</f>
        <v>877.02</v>
      </c>
      <c r="Y263" s="73">
        <f>Table24[[#This Row],[Total_GWP]]*Table24[[#This Row],[DENSITY]]/1000</f>
        <v>6809.2470000000003</v>
      </c>
      <c r="Z263" s="111">
        <v>854</v>
      </c>
      <c r="AA263" s="72">
        <f>5.85+7.57</f>
        <v>13.42</v>
      </c>
      <c r="AB263" s="73"/>
      <c r="AC263" s="73"/>
      <c r="AD263" s="73"/>
      <c r="AE263" s="75"/>
      <c r="AF263" s="107"/>
      <c r="AG263" s="129"/>
      <c r="AH263" s="129"/>
      <c r="AI263" s="75"/>
      <c r="AJ263" s="385">
        <f ca="1">IF(OR($E263="Ecoinvent",$E263="Betonsortenrechner",$E263="KBOB",$V263&lt;=0,Table24[[#This Row],[VALID_TO]]&lt;=TODAY()),0,1)</f>
        <v>1</v>
      </c>
      <c r="AK263" s="199">
        <v>1</v>
      </c>
      <c r="AL263" s="199">
        <f ca="1">IF(AND(Table24[[#This Row],[ValidEPD]]&lt;&gt;0,Table24[[#This Row],[Man_Ausschluss]]&lt;&gt;0),1,0)</f>
        <v>1</v>
      </c>
      <c r="AM263" s="17" cm="1">
        <f t="array" aca="1" ref="AM263" ca="1">IF(Table24[[#This Row],[gültig]]&lt;&gt;0,
IF(
OR(
V263=MIN(_xlfn._xlws.FILTER($V$2:$V$298,($P$2:$P$298=P263)*($N$2:$N$298=N263)*($AL$2:$AL$298&lt;&gt;0))),
V263=MAX(_xlfn._xlws.FILTER($V$2:$V$298,($P$2:$P$298=P263)*($N$2:$N$298=N263)*($AL$2:$AL$298&lt;&gt;0))),
ROWS(_xlfn._xlws.FILTER($V$2:$V$298,($P$2:$P$298=P263)*($N$2:$N$298=N263)*($AL$2:$AL$298&lt;&gt;0)))&lt;=2
),1,0),0)</f>
        <v>0</v>
      </c>
      <c r="AN263" s="138"/>
      <c r="AO263" s="1"/>
      <c r="AP263" s="1"/>
    </row>
    <row r="264" spans="1:42" x14ac:dyDescent="0.2">
      <c r="A264" s="82" t="s">
        <v>460</v>
      </c>
      <c r="B264" s="9" t="s">
        <v>518</v>
      </c>
      <c r="C264" s="100">
        <v>263</v>
      </c>
      <c r="D264" s="1" t="s">
        <v>458</v>
      </c>
      <c r="E264" s="162" t="s">
        <v>459</v>
      </c>
      <c r="F264" s="162"/>
      <c r="G264" s="163">
        <v>45239</v>
      </c>
      <c r="H264" s="163">
        <v>47066</v>
      </c>
      <c r="I264" s="84" t="s">
        <v>292</v>
      </c>
      <c r="J264" s="164" t="s">
        <v>292</v>
      </c>
      <c r="K264" s="165" t="s">
        <v>128</v>
      </c>
      <c r="L264" s="228" t="s">
        <v>324</v>
      </c>
      <c r="M264" s="1" t="s">
        <v>431</v>
      </c>
      <c r="N264" s="167" t="s">
        <v>318</v>
      </c>
      <c r="O264" s="1" t="s">
        <v>415</v>
      </c>
      <c r="P264" s="84" t="s">
        <v>538</v>
      </c>
      <c r="Q264" s="84">
        <v>7850</v>
      </c>
      <c r="R264" s="162" t="s">
        <v>415</v>
      </c>
      <c r="S264" s="162" t="s">
        <v>415</v>
      </c>
      <c r="T264" s="162" t="s">
        <v>415</v>
      </c>
      <c r="U264" s="168" t="s">
        <v>415</v>
      </c>
      <c r="V264" s="73">
        <f>SUM(Table24[[#This Row],[A1toA3_GWP]:[C1toC4_GWP]])</f>
        <v>867.42</v>
      </c>
      <c r="W264" s="73">
        <f>VLOOKUP(Table24[[#This Row],[Country PRODUCTION]],[2]Sheet1!$B$11:$F$30,4,FALSE)+Table24[[#This Row],[Total_GWP]]</f>
        <v>961.02</v>
      </c>
      <c r="X264" s="73">
        <f>VLOOKUP(Table24[[#This Row],[Country PRODUCTION]],[2]Sheet1!$B$11:$F$30,5,FALSE)+Table24[[#This Row],[Total_GWP]]</f>
        <v>877.02</v>
      </c>
      <c r="Y264" s="73">
        <f>Table24[[#This Row],[Total_GWP]]*Table24[[#This Row],[DENSITY]]/1000</f>
        <v>6809.2470000000003</v>
      </c>
      <c r="Z264" s="111">
        <v>854</v>
      </c>
      <c r="AA264" s="72">
        <f>5.85+7.57</f>
        <v>13.42</v>
      </c>
      <c r="AB264" s="73"/>
      <c r="AC264" s="73"/>
      <c r="AD264" s="73"/>
      <c r="AE264" s="75"/>
      <c r="AF264" s="107"/>
      <c r="AG264" s="129"/>
      <c r="AH264" s="129"/>
      <c r="AI264" s="75"/>
      <c r="AJ264" s="385">
        <f ca="1">IF(OR($E264="Ecoinvent",$E264="Betonsortenrechner",$E264="KBOB",$V264&lt;=0,Table24[[#This Row],[VALID_TO]]&lt;=TODAY()),0,1)</f>
        <v>1</v>
      </c>
      <c r="AK264" s="199">
        <v>1</v>
      </c>
      <c r="AL264" s="199">
        <f ca="1">IF(AND(Table24[[#This Row],[ValidEPD]]&lt;&gt;0,Table24[[#This Row],[Man_Ausschluss]]&lt;&gt;0),1,0)</f>
        <v>1</v>
      </c>
      <c r="AM264" s="17" cm="1">
        <f t="array" aca="1" ref="AM264" ca="1">IF(Table24[[#This Row],[gültig]]&lt;&gt;0,
IF(
OR(
V264=MIN(_xlfn._xlws.FILTER($V$2:$V$298,($P$2:$P$298=P264)*($N$2:$N$298=N264)*($AL$2:$AL$298&lt;&gt;0))),
V264=MAX(_xlfn._xlws.FILTER($V$2:$V$298,($P$2:$P$298=P264)*($N$2:$N$298=N264)*($AL$2:$AL$298&lt;&gt;0))),
ROWS(_xlfn._xlws.FILTER($V$2:$V$298,($P$2:$P$298=P264)*($N$2:$N$298=N264)*($AL$2:$AL$298&lt;&gt;0)))&lt;=2
),1,0),0)</f>
        <v>0</v>
      </c>
      <c r="AN264" s="138"/>
      <c r="AO264" s="1"/>
      <c r="AP264" s="1"/>
    </row>
    <row r="265" spans="1:42" ht="16" thickBot="1" x14ac:dyDescent="0.25">
      <c r="A265" s="112" t="s">
        <v>463</v>
      </c>
      <c r="B265" s="113"/>
      <c r="C265" s="105">
        <v>264</v>
      </c>
      <c r="D265" s="114" t="s">
        <v>462</v>
      </c>
      <c r="E265" s="115" t="s">
        <v>461</v>
      </c>
      <c r="F265" s="115"/>
      <c r="G265" s="116">
        <v>44158</v>
      </c>
      <c r="H265" s="116">
        <v>45981</v>
      </c>
      <c r="I265" s="117" t="s">
        <v>238</v>
      </c>
      <c r="J265" s="132" t="s">
        <v>238</v>
      </c>
      <c r="K265" s="118" t="s">
        <v>128</v>
      </c>
      <c r="L265" s="119" t="s">
        <v>324</v>
      </c>
      <c r="M265" s="120" t="s">
        <v>431</v>
      </c>
      <c r="N265" s="121" t="s">
        <v>318</v>
      </c>
      <c r="O265" s="114" t="s">
        <v>415</v>
      </c>
      <c r="P265" s="106" t="s">
        <v>415</v>
      </c>
      <c r="Q265" s="106">
        <v>7850</v>
      </c>
      <c r="R265" s="115" t="s">
        <v>415</v>
      </c>
      <c r="S265" s="115" t="s">
        <v>415</v>
      </c>
      <c r="T265" s="115" t="s">
        <v>415</v>
      </c>
      <c r="U265" s="122" t="s">
        <v>415</v>
      </c>
      <c r="V265" s="123">
        <f>SUM(Table24[[#This Row],[A1toA3_GWP]:[C1toC4_GWP]])</f>
        <v>1070.46</v>
      </c>
      <c r="W265" s="123">
        <f>VLOOKUP(Table24[[#This Row],[Country PRODUCTION]],[2]Sheet1!$B$11:$F$30,4,FALSE)+Table24[[#This Row],[Total_GWP]]</f>
        <v>1339.56</v>
      </c>
      <c r="X265" s="123">
        <f>VLOOKUP(Table24[[#This Row],[Country PRODUCTION]],[2]Sheet1!$B$11:$F$30,5,FALSE)+Table24[[#This Row],[Total_GWP]]</f>
        <v>1098.06</v>
      </c>
      <c r="Y265" s="123">
        <f>Table24[[#This Row],[Total_GWP]]*Table24[[#This Row],[DENSITY]]/1000</f>
        <v>8403.1110000000008</v>
      </c>
      <c r="Z265" s="124">
        <f>1.04*1000</f>
        <v>1040</v>
      </c>
      <c r="AA265" s="108">
        <f>21.4+6.84+2.22</f>
        <v>30.459999999999997</v>
      </c>
      <c r="AB265" s="109"/>
      <c r="AC265" s="109"/>
      <c r="AD265" s="109"/>
      <c r="AE265" s="110"/>
      <c r="AF265" s="285"/>
      <c r="AG265" s="379"/>
      <c r="AH265" s="379"/>
      <c r="AI265" s="110"/>
      <c r="AJ265" s="288">
        <f ca="1">IF(OR($E265="Ecoinvent",$E265="Betonsortenrechner",$E265="KBOB",$V265&lt;=0,Table24[[#This Row],[VALID_TO]]&lt;=TODAY()),0,1)</f>
        <v>0</v>
      </c>
      <c r="AK265" s="271">
        <v>1</v>
      </c>
      <c r="AL265" s="271">
        <f ca="1">IF(AND(Table24[[#This Row],[ValidEPD]]&lt;&gt;0,Table24[[#This Row],[Man_Ausschluss]]&lt;&gt;0),1,0)</f>
        <v>0</v>
      </c>
      <c r="AM265" s="17" cm="1">
        <f t="array" aca="1" ref="AM265" ca="1">IF(Table24[[#This Row],[gültig]]&lt;&gt;0,
IF(
OR(
V265=MIN(_xlfn._xlws.FILTER($V$2:$V$298,($P$2:$P$298=P265)*($N$2:$N$298=N265)*($AL$2:$AL$298&lt;&gt;0))),
V265=MAX(_xlfn._xlws.FILTER($V$2:$V$298,($P$2:$P$298=P265)*($N$2:$N$298=N265)*($AL$2:$AL$298&lt;&gt;0))),
ROWS(_xlfn._xlws.FILTER($V$2:$V$298,($P$2:$P$298=P265)*($N$2:$N$298=N265)*($AL$2:$AL$298&lt;&gt;0)))&lt;=2
),1,0),0)</f>
        <v>0</v>
      </c>
      <c r="AN265" s="217"/>
      <c r="AO265" s="114"/>
      <c r="AP265" s="2"/>
    </row>
    <row r="266" spans="1:42" x14ac:dyDescent="0.2">
      <c r="A266" s="82" t="s">
        <v>172</v>
      </c>
      <c r="B266" s="9"/>
      <c r="C266" s="100">
        <v>265</v>
      </c>
      <c r="D266" s="1" t="s">
        <v>154</v>
      </c>
      <c r="E266" s="162" t="s">
        <v>153</v>
      </c>
      <c r="F266" s="162"/>
      <c r="G266" s="163">
        <v>45483</v>
      </c>
      <c r="H266" s="163">
        <v>47309</v>
      </c>
      <c r="I266" s="84" t="s">
        <v>155</v>
      </c>
      <c r="J266" s="164" t="s">
        <v>155</v>
      </c>
      <c r="K266" s="165" t="s">
        <v>156</v>
      </c>
      <c r="L266" s="1" t="s">
        <v>294</v>
      </c>
      <c r="M266" s="1" t="s">
        <v>316</v>
      </c>
      <c r="N266" s="167" t="s">
        <v>157</v>
      </c>
      <c r="O266" s="1" t="s">
        <v>415</v>
      </c>
      <c r="P266" s="84" t="s">
        <v>415</v>
      </c>
      <c r="Q266" s="84" t="s">
        <v>415</v>
      </c>
      <c r="R266" s="162" t="s">
        <v>415</v>
      </c>
      <c r="S266" s="162" t="s">
        <v>415</v>
      </c>
      <c r="T266" s="162" t="s">
        <v>415</v>
      </c>
      <c r="U266" s="168" t="s">
        <v>415</v>
      </c>
      <c r="V266" s="73">
        <f>SUM(Table24[[#This Row],[A1toA3_GWP]:[C1toC4_GWP]])</f>
        <v>1308.9564</v>
      </c>
      <c r="W266" s="73">
        <f>VLOOKUP(Table24[[#This Row],[Country PRODUCTION]],[2]Sheet1!$B$11:$F$30,4,FALSE)+Table24[[#This Row],[Total_GWP]]</f>
        <v>1402.5563999999999</v>
      </c>
      <c r="X266" s="73">
        <f>VLOOKUP(Table24[[#This Row],[Country PRODUCTION]],[2]Sheet1!$B$11:$F$30,5,FALSE)+Table24[[#This Row],[Total_GWP]]</f>
        <v>1318.5563999999999</v>
      </c>
      <c r="Y266" s="73"/>
      <c r="Z266" s="111">
        <v>1280</v>
      </c>
      <c r="AA266" s="72">
        <f>6.59+22.1+0.2664</f>
        <v>28.956400000000002</v>
      </c>
      <c r="AB266" s="73"/>
      <c r="AC266" s="73"/>
      <c r="AD266" s="73"/>
      <c r="AE266" s="75"/>
      <c r="AF266" s="107"/>
      <c r="AG266" s="129"/>
      <c r="AH266" s="129"/>
      <c r="AI266" s="75"/>
      <c r="AJ266" s="385">
        <f ca="1">IF(OR($E266="Ecoinvent",$E266="Betonsortenrechner",$E266="KBOB",$V266&lt;=0,Table24[[#This Row],[VALID_TO]]&lt;=TODAY()),0,1)</f>
        <v>1</v>
      </c>
      <c r="AK266" s="199">
        <v>1</v>
      </c>
      <c r="AL266" s="199">
        <f ca="1">IF(AND(Table24[[#This Row],[ValidEPD]]&lt;&gt;0,Table24[[#This Row],[Man_Ausschluss]]&lt;&gt;0),1,0)</f>
        <v>1</v>
      </c>
      <c r="AM266" s="17" cm="1">
        <f t="array" aca="1" ref="AM266" ca="1">IF(Table24[[#This Row],[gültig]]&lt;&gt;0,
IF(
OR(
V266=MIN(_xlfn._xlws.FILTER($V$2:$V$298,($P$2:$P$298=P266)*($N$2:$N$298=N266)*($AL$2:$AL$298&lt;&gt;0))),
V266=MAX(_xlfn._xlws.FILTER($V$2:$V$298,($P$2:$P$298=P266)*($N$2:$N$298=N266)*($AL$2:$AL$298&lt;&gt;0))),
ROWS(_xlfn._xlws.FILTER($V$2:$V$298,($P$2:$P$298=P266)*($N$2:$N$298=N266)*($AL$2:$AL$298&lt;&gt;0)))&lt;=2
),1,0),0)</f>
        <v>1</v>
      </c>
      <c r="AN266" s="138"/>
      <c r="AO266" s="1" t="s">
        <v>929</v>
      </c>
      <c r="AP266" s="1"/>
    </row>
    <row r="267" spans="1:42" x14ac:dyDescent="0.2">
      <c r="A267" s="161" t="s">
        <v>173</v>
      </c>
      <c r="B267" s="9"/>
      <c r="C267" s="100">
        <v>266</v>
      </c>
      <c r="D267" s="1" t="s">
        <v>165</v>
      </c>
      <c r="E267" s="162" t="s">
        <v>153</v>
      </c>
      <c r="F267" s="162"/>
      <c r="G267" s="163">
        <v>44578</v>
      </c>
      <c r="H267" s="163">
        <v>46404</v>
      </c>
      <c r="I267" s="84" t="s">
        <v>155</v>
      </c>
      <c r="J267" s="164" t="s">
        <v>155</v>
      </c>
      <c r="K267" s="165" t="s">
        <v>156</v>
      </c>
      <c r="L267" s="1" t="s">
        <v>294</v>
      </c>
      <c r="M267" s="1" t="s">
        <v>316</v>
      </c>
      <c r="N267" s="167" t="s">
        <v>157</v>
      </c>
      <c r="O267" s="1" t="s">
        <v>415</v>
      </c>
      <c r="P267" s="84" t="s">
        <v>415</v>
      </c>
      <c r="Q267" s="84" t="s">
        <v>415</v>
      </c>
      <c r="R267" s="162" t="s">
        <v>415</v>
      </c>
      <c r="S267" s="162" t="s">
        <v>415</v>
      </c>
      <c r="T267" s="162" t="s">
        <v>415</v>
      </c>
      <c r="U267" s="168" t="s">
        <v>415</v>
      </c>
      <c r="V267" s="73">
        <f>SUM(Table24[[#This Row],[A1toA3_GWP]:[C1toC4_GWP]])</f>
        <v>1852.364</v>
      </c>
      <c r="W267" s="73">
        <f>VLOOKUP(Table24[[#This Row],[Country PRODUCTION]],[2]Sheet1!$B$11:$F$30,4,FALSE)+Table24[[#This Row],[Total_GWP]]</f>
        <v>1945.9639999999999</v>
      </c>
      <c r="X267" s="73">
        <f>VLOOKUP(Table24[[#This Row],[Country PRODUCTION]],[2]Sheet1!$B$11:$F$30,5,FALSE)+Table24[[#This Row],[Total_GWP]]</f>
        <v>1861.9639999999999</v>
      </c>
      <c r="Y267" s="73"/>
      <c r="Z267" s="111">
        <v>1830</v>
      </c>
      <c r="AA267" s="72">
        <f>22.1+0.264</f>
        <v>22.364000000000001</v>
      </c>
      <c r="AB267" s="73"/>
      <c r="AC267" s="73"/>
      <c r="AD267" s="73"/>
      <c r="AE267" s="75"/>
      <c r="AF267" s="107"/>
      <c r="AG267" s="129"/>
      <c r="AH267" s="129"/>
      <c r="AI267" s="75"/>
      <c r="AJ267" s="385">
        <f ca="1">IF(OR($E267="Ecoinvent",$E267="Betonsortenrechner",$E267="KBOB",$V267&lt;=0,Table24[[#This Row],[VALID_TO]]&lt;=TODAY()),0,1)</f>
        <v>1</v>
      </c>
      <c r="AK267" s="199">
        <v>1</v>
      </c>
      <c r="AL267" s="199">
        <f ca="1">IF(AND(Table24[[#This Row],[ValidEPD]]&lt;&gt;0,Table24[[#This Row],[Man_Ausschluss]]&lt;&gt;0),1,0)</f>
        <v>1</v>
      </c>
      <c r="AM267" s="17" cm="1">
        <f t="array" aca="1" ref="AM267" ca="1">IF(Table24[[#This Row],[gültig]]&lt;&gt;0,
IF(
OR(
V267=MIN(_xlfn._xlws.FILTER($V$2:$V$298,($P$2:$P$298=P267)*($N$2:$N$298=N267)*($AL$2:$AL$298&lt;&gt;0))),
V267=MAX(_xlfn._xlws.FILTER($V$2:$V$298,($P$2:$P$298=P267)*($N$2:$N$298=N267)*($AL$2:$AL$298&lt;&gt;0))),
ROWS(_xlfn._xlws.FILTER($V$2:$V$298,($P$2:$P$298=P267)*($N$2:$N$298=N267)*($AL$2:$AL$298&lt;&gt;0)))&lt;=2
),1,0),0)</f>
        <v>1</v>
      </c>
      <c r="AN267" s="138"/>
      <c r="AO267" s="1"/>
      <c r="AP267" s="1"/>
    </row>
    <row r="268" spans="1:42" x14ac:dyDescent="0.2">
      <c r="A268" s="161" t="s">
        <v>174</v>
      </c>
      <c r="B268" s="9" t="s">
        <v>502</v>
      </c>
      <c r="C268" s="100">
        <v>267</v>
      </c>
      <c r="D268" s="1" t="s">
        <v>158</v>
      </c>
      <c r="E268" s="162" t="s">
        <v>217</v>
      </c>
      <c r="F268" s="162"/>
      <c r="G268" s="163">
        <v>43941</v>
      </c>
      <c r="H268" s="163">
        <v>45766</v>
      </c>
      <c r="I268" s="84" t="s">
        <v>161</v>
      </c>
      <c r="J268" s="164" t="s">
        <v>161</v>
      </c>
      <c r="K268" s="165" t="s">
        <v>156</v>
      </c>
      <c r="L268" s="1" t="s">
        <v>294</v>
      </c>
      <c r="M268" s="1" t="s">
        <v>316</v>
      </c>
      <c r="N268" s="167" t="s">
        <v>157</v>
      </c>
      <c r="O268" s="1" t="s">
        <v>415</v>
      </c>
      <c r="P268" s="84">
        <v>1860</v>
      </c>
      <c r="Q268" s="84" t="s">
        <v>415</v>
      </c>
      <c r="R268" s="162" t="s">
        <v>415</v>
      </c>
      <c r="S268" s="162" t="s">
        <v>415</v>
      </c>
      <c r="T268" s="162" t="s">
        <v>415</v>
      </c>
      <c r="U268" s="168" t="s">
        <v>415</v>
      </c>
      <c r="V268" s="73">
        <f>SUM(Table24[[#This Row],[A1toA3_GWP]:[C1toC4_GWP]])</f>
        <v>2250</v>
      </c>
      <c r="W268" s="73">
        <f>VLOOKUP(Table24[[#This Row],[Country PRODUCTION]],[2]Sheet1!$B$11:$F$30,4,FALSE)+Table24[[#This Row],[Total_GWP]]</f>
        <v>2484</v>
      </c>
      <c r="X268" s="73">
        <f>VLOOKUP(Table24[[#This Row],[Country PRODUCTION]],[2]Sheet1!$B$11:$F$30,5,FALSE)+Table24[[#This Row],[Total_GWP]]</f>
        <v>2274</v>
      </c>
      <c r="Y268" s="73"/>
      <c r="Z268" s="111">
        <f>2.25*1000</f>
        <v>2250</v>
      </c>
      <c r="AA268" s="72" t="s">
        <v>415</v>
      </c>
      <c r="AB268" s="73"/>
      <c r="AC268" s="73"/>
      <c r="AD268" s="73"/>
      <c r="AE268" s="75"/>
      <c r="AF268" s="107"/>
      <c r="AG268" s="129"/>
      <c r="AH268" s="129"/>
      <c r="AI268" s="75"/>
      <c r="AJ268" s="385">
        <f ca="1">IF(OR($E268="Ecoinvent",$E268="Betonsortenrechner",$E268="KBOB",$V268&lt;=0,Table24[[#This Row],[VALID_TO]]&lt;=TODAY()),0,1)</f>
        <v>0</v>
      </c>
      <c r="AK268" s="199">
        <v>1</v>
      </c>
      <c r="AL268" s="199">
        <f ca="1">IF(AND(Table24[[#This Row],[ValidEPD]]&lt;&gt;0,Table24[[#This Row],[Man_Ausschluss]]&lt;&gt;0),1,0)</f>
        <v>0</v>
      </c>
      <c r="AM268" s="17" cm="1">
        <f t="array" aca="1" ref="AM268" ca="1">IF(Table24[[#This Row],[gültig]]&lt;&gt;0,
IF(
OR(
V268=MIN(_xlfn._xlws.FILTER($V$2:$V$298,($P$2:$P$298=P268)*($N$2:$N$298=N268)*($AL$2:$AL$298&lt;&gt;0))),
V268=MAX(_xlfn._xlws.FILTER($V$2:$V$298,($P$2:$P$298=P268)*($N$2:$N$298=N268)*($AL$2:$AL$298&lt;&gt;0))),
ROWS(_xlfn._xlws.FILTER($V$2:$V$298,($P$2:$P$298=P268)*($N$2:$N$298=N268)*($AL$2:$AL$298&lt;&gt;0)))&lt;=2
),1,0),0)</f>
        <v>0</v>
      </c>
      <c r="AN268" s="138"/>
      <c r="AO268" s="1" t="s">
        <v>162</v>
      </c>
      <c r="AP268" s="1"/>
    </row>
    <row r="269" spans="1:42" x14ac:dyDescent="0.2">
      <c r="A269" s="161" t="s">
        <v>174</v>
      </c>
      <c r="B269" s="9" t="s">
        <v>518</v>
      </c>
      <c r="C269" s="100">
        <v>268</v>
      </c>
      <c r="D269" s="1" t="s">
        <v>158</v>
      </c>
      <c r="E269" s="162" t="s">
        <v>217</v>
      </c>
      <c r="F269" s="162"/>
      <c r="G269" s="163">
        <v>43941</v>
      </c>
      <c r="H269" s="163">
        <v>45766</v>
      </c>
      <c r="I269" s="84" t="s">
        <v>161</v>
      </c>
      <c r="J269" s="164" t="s">
        <v>161</v>
      </c>
      <c r="K269" s="165" t="s">
        <v>156</v>
      </c>
      <c r="L269" s="1" t="s">
        <v>294</v>
      </c>
      <c r="M269" s="1" t="s">
        <v>316</v>
      </c>
      <c r="N269" s="167" t="s">
        <v>157</v>
      </c>
      <c r="O269" s="1" t="s">
        <v>415</v>
      </c>
      <c r="P269" s="84">
        <v>2160</v>
      </c>
      <c r="Q269" s="84" t="s">
        <v>415</v>
      </c>
      <c r="R269" s="162" t="s">
        <v>415</v>
      </c>
      <c r="S269" s="162" t="s">
        <v>415</v>
      </c>
      <c r="T269" s="162" t="s">
        <v>415</v>
      </c>
      <c r="U269" s="168" t="s">
        <v>415</v>
      </c>
      <c r="V269" s="73">
        <f>SUM(Table24[[#This Row],[A1toA3_GWP]:[C1toC4_GWP]])</f>
        <v>2250</v>
      </c>
      <c r="W269" s="73">
        <f>VLOOKUP(Table24[[#This Row],[Country PRODUCTION]],[2]Sheet1!$B$11:$F$30,4,FALSE)+Table24[[#This Row],[Total_GWP]]</f>
        <v>2484</v>
      </c>
      <c r="X269" s="73">
        <f>VLOOKUP(Table24[[#This Row],[Country PRODUCTION]],[2]Sheet1!$B$11:$F$30,5,FALSE)+Table24[[#This Row],[Total_GWP]]</f>
        <v>2274</v>
      </c>
      <c r="Y269" s="73"/>
      <c r="Z269" s="111">
        <f>2.25*1000</f>
        <v>2250</v>
      </c>
      <c r="AA269" s="72" t="s">
        <v>415</v>
      </c>
      <c r="AB269" s="73"/>
      <c r="AC269" s="73"/>
      <c r="AD269" s="73"/>
      <c r="AE269" s="75"/>
      <c r="AF269" s="107"/>
      <c r="AG269" s="129"/>
      <c r="AH269" s="129"/>
      <c r="AI269" s="75"/>
      <c r="AJ269" s="385">
        <f ca="1">IF(OR($E269="Ecoinvent",$E269="Betonsortenrechner",$E269="KBOB",$V269&lt;=0,Table24[[#This Row],[VALID_TO]]&lt;=TODAY()),0,1)</f>
        <v>0</v>
      </c>
      <c r="AK269" s="199">
        <v>1</v>
      </c>
      <c r="AL269" s="199">
        <f ca="1">IF(AND(Table24[[#This Row],[ValidEPD]]&lt;&gt;0,Table24[[#This Row],[Man_Ausschluss]]&lt;&gt;0),1,0)</f>
        <v>0</v>
      </c>
      <c r="AM269" s="17" cm="1">
        <f t="array" aca="1" ref="AM269" ca="1">IF(Table24[[#This Row],[gültig]]&lt;&gt;0,
IF(
OR(
V269=MIN(_xlfn._xlws.FILTER($V$2:$V$298,($P$2:$P$298=P269)*($N$2:$N$298=N269)*($AL$2:$AL$298&lt;&gt;0))),
V269=MAX(_xlfn._xlws.FILTER($V$2:$V$298,($P$2:$P$298=P269)*($N$2:$N$298=N269)*($AL$2:$AL$298&lt;&gt;0))),
ROWS(_xlfn._xlws.FILTER($V$2:$V$298,($P$2:$P$298=P269)*($N$2:$N$298=N269)*($AL$2:$AL$298&lt;&gt;0)))&lt;=2
),1,0),0)</f>
        <v>0</v>
      </c>
      <c r="AN269" s="138"/>
      <c r="AO269" s="1" t="s">
        <v>162</v>
      </c>
      <c r="AP269" s="1"/>
    </row>
    <row r="270" spans="1:42" x14ac:dyDescent="0.2">
      <c r="A270" s="161" t="s">
        <v>175</v>
      </c>
      <c r="B270" s="9" t="s">
        <v>502</v>
      </c>
      <c r="C270" s="96">
        <v>269</v>
      </c>
      <c r="D270" s="1" t="s">
        <v>160</v>
      </c>
      <c r="E270" s="162" t="s">
        <v>217</v>
      </c>
      <c r="F270" s="162"/>
      <c r="G270" s="163">
        <v>45399</v>
      </c>
      <c r="H270" s="163">
        <v>47224</v>
      </c>
      <c r="I270" s="84" t="s">
        <v>161</v>
      </c>
      <c r="J270" s="164" t="s">
        <v>161</v>
      </c>
      <c r="K270" s="165" t="s">
        <v>156</v>
      </c>
      <c r="L270" s="1" t="s">
        <v>294</v>
      </c>
      <c r="M270" s="1" t="s">
        <v>316</v>
      </c>
      <c r="N270" s="167" t="s">
        <v>157</v>
      </c>
      <c r="O270" s="1" t="s">
        <v>415</v>
      </c>
      <c r="P270" s="84">
        <v>1860</v>
      </c>
      <c r="Q270" s="84" t="s">
        <v>415</v>
      </c>
      <c r="R270" s="162" t="s">
        <v>415</v>
      </c>
      <c r="S270" s="162" t="s">
        <v>415</v>
      </c>
      <c r="T270" s="162" t="s">
        <v>415</v>
      </c>
      <c r="U270" s="168" t="s">
        <v>415</v>
      </c>
      <c r="V270" s="73">
        <f>SUM(Table24[[#This Row],[A1toA3_GWP]:[C1toC4_GWP]])</f>
        <v>1014.65</v>
      </c>
      <c r="W270" s="73">
        <f>VLOOKUP(Table24[[#This Row],[Country PRODUCTION]],[2]Sheet1!$B$11:$F$30,4,FALSE)+Table24[[#This Row],[Total_GWP]]</f>
        <v>1248.6500000000001</v>
      </c>
      <c r="X270" s="73">
        <f>VLOOKUP(Table24[[#This Row],[Country PRODUCTION]],[2]Sheet1!$B$11:$F$30,5,FALSE)+Table24[[#This Row],[Total_GWP]]</f>
        <v>1038.6500000000001</v>
      </c>
      <c r="Y270" s="73"/>
      <c r="Z270" s="111">
        <f>0.934*1000</f>
        <v>934</v>
      </c>
      <c r="AA270" s="72">
        <f>(0.047+0.0321+0.00128+0.00027)*1000</f>
        <v>80.65000000000002</v>
      </c>
      <c r="AB270" s="73"/>
      <c r="AC270" s="73"/>
      <c r="AD270" s="73"/>
      <c r="AE270" s="75"/>
      <c r="AF270" s="107"/>
      <c r="AG270" s="129"/>
      <c r="AH270" s="129"/>
      <c r="AI270" s="75"/>
      <c r="AJ270" s="385">
        <f ca="1">IF(OR($E270="Ecoinvent",$E270="Betonsortenrechner",$E270="KBOB",$V270&lt;=0,Table24[[#This Row],[VALID_TO]]&lt;=TODAY()),0,1)</f>
        <v>1</v>
      </c>
      <c r="AK270" s="199">
        <v>1</v>
      </c>
      <c r="AL270" s="199">
        <f ca="1">IF(AND(Table24[[#This Row],[ValidEPD]]&lt;&gt;0,Table24[[#This Row],[Man_Ausschluss]]&lt;&gt;0),1,0)</f>
        <v>1</v>
      </c>
      <c r="AM270" s="17" cm="1">
        <f t="array" aca="1" ref="AM270" ca="1">IF(Table24[[#This Row],[gültig]]&lt;&gt;0,
IF(
OR(
V270=MIN(_xlfn._xlws.FILTER($V$2:$V$298,($P$2:$P$298=P270)*($N$2:$N$298=N270)*($AL$2:$AL$298&lt;&gt;0))),
V270=MAX(_xlfn._xlws.FILTER($V$2:$V$298,($P$2:$P$298=P270)*($N$2:$N$298=N270)*($AL$2:$AL$298&lt;&gt;0))),
ROWS(_xlfn._xlws.FILTER($V$2:$V$298,($P$2:$P$298=P270)*($N$2:$N$298=N270)*($AL$2:$AL$298&lt;&gt;0)))&lt;=2
),1,0),0)</f>
        <v>1</v>
      </c>
      <c r="AN270" s="138"/>
      <c r="AO270" s="1" t="s">
        <v>162</v>
      </c>
      <c r="AP270" s="1"/>
    </row>
    <row r="271" spans="1:42" x14ac:dyDescent="0.2">
      <c r="A271" s="161" t="s">
        <v>175</v>
      </c>
      <c r="B271" s="9" t="s">
        <v>518</v>
      </c>
      <c r="C271" s="96">
        <v>270</v>
      </c>
      <c r="D271" s="1" t="s">
        <v>160</v>
      </c>
      <c r="E271" s="162" t="s">
        <v>217</v>
      </c>
      <c r="F271" s="162"/>
      <c r="G271" s="163">
        <v>45399</v>
      </c>
      <c r="H271" s="163">
        <v>47224</v>
      </c>
      <c r="I271" s="84" t="s">
        <v>161</v>
      </c>
      <c r="J271" s="164" t="s">
        <v>161</v>
      </c>
      <c r="K271" s="165" t="s">
        <v>156</v>
      </c>
      <c r="L271" s="1" t="s">
        <v>294</v>
      </c>
      <c r="M271" s="1" t="s">
        <v>316</v>
      </c>
      <c r="N271" s="167" t="s">
        <v>157</v>
      </c>
      <c r="O271" s="1" t="s">
        <v>415</v>
      </c>
      <c r="P271" s="84">
        <v>2160</v>
      </c>
      <c r="Q271" s="84" t="s">
        <v>415</v>
      </c>
      <c r="R271" s="162" t="s">
        <v>415</v>
      </c>
      <c r="S271" s="162" t="s">
        <v>415</v>
      </c>
      <c r="T271" s="162" t="s">
        <v>415</v>
      </c>
      <c r="U271" s="168" t="s">
        <v>415</v>
      </c>
      <c r="V271" s="73">
        <f>SUM(Table24[[#This Row],[A1toA3_GWP]:[C1toC4_GWP]])</f>
        <v>1014.65</v>
      </c>
      <c r="W271" s="73">
        <f>VLOOKUP(Table24[[#This Row],[Country PRODUCTION]],[2]Sheet1!$B$11:$F$30,4,FALSE)+Table24[[#This Row],[Total_GWP]]</f>
        <v>1248.6500000000001</v>
      </c>
      <c r="X271" s="73">
        <f>VLOOKUP(Table24[[#This Row],[Country PRODUCTION]],[2]Sheet1!$B$11:$F$30,5,FALSE)+Table24[[#This Row],[Total_GWP]]</f>
        <v>1038.6500000000001</v>
      </c>
      <c r="Y271" s="73"/>
      <c r="Z271" s="111">
        <f>0.934*1000</f>
        <v>934</v>
      </c>
      <c r="AA271" s="72">
        <f>(0.047+0.0321+0.00128+0.00027)*1000</f>
        <v>80.65000000000002</v>
      </c>
      <c r="AB271" s="73"/>
      <c r="AC271" s="73"/>
      <c r="AD271" s="73"/>
      <c r="AE271" s="75"/>
      <c r="AF271" s="107"/>
      <c r="AG271" s="129"/>
      <c r="AH271" s="129"/>
      <c r="AI271" s="75"/>
      <c r="AJ271" s="385">
        <f ca="1">IF(OR($E271="Ecoinvent",$E271="Betonsortenrechner",$E271="KBOB",$V271&lt;=0,Table24[[#This Row],[VALID_TO]]&lt;=TODAY()),0,1)</f>
        <v>1</v>
      </c>
      <c r="AK271" s="199">
        <v>1</v>
      </c>
      <c r="AL271" s="199">
        <f ca="1">IF(AND(Table24[[#This Row],[ValidEPD]]&lt;&gt;0,Table24[[#This Row],[Man_Ausschluss]]&lt;&gt;0),1,0)</f>
        <v>1</v>
      </c>
      <c r="AM271" s="17" cm="1">
        <f t="array" aca="1" ref="AM271" ca="1">IF(Table24[[#This Row],[gültig]]&lt;&gt;0,
IF(
OR(
V271=MIN(_xlfn._xlws.FILTER($V$2:$V$298,($P$2:$P$298=P271)*($N$2:$N$298=N271)*($AL$2:$AL$298&lt;&gt;0))),
V271=MAX(_xlfn._xlws.FILTER($V$2:$V$298,($P$2:$P$298=P271)*($N$2:$N$298=N271)*($AL$2:$AL$298&lt;&gt;0))),
ROWS(_xlfn._xlws.FILTER($V$2:$V$298,($P$2:$P$298=P271)*($N$2:$N$298=N271)*($AL$2:$AL$298&lt;&gt;0)))&lt;=2
),1,0),0)</f>
        <v>1</v>
      </c>
      <c r="AN271" s="138"/>
      <c r="AO271" s="1" t="s">
        <v>162</v>
      </c>
      <c r="AP271" s="1"/>
    </row>
    <row r="272" spans="1:42" x14ac:dyDescent="0.2">
      <c r="A272" s="161" t="s">
        <v>176</v>
      </c>
      <c r="B272" s="9"/>
      <c r="C272" s="100">
        <v>271</v>
      </c>
      <c r="D272" s="1" t="s">
        <v>163</v>
      </c>
      <c r="E272" s="162" t="s">
        <v>164</v>
      </c>
      <c r="F272" s="162"/>
      <c r="G272" s="163">
        <v>44181</v>
      </c>
      <c r="H272" s="163">
        <v>45993</v>
      </c>
      <c r="I272" s="84" t="s">
        <v>238</v>
      </c>
      <c r="J272" s="164" t="s">
        <v>238</v>
      </c>
      <c r="K272" s="165" t="s">
        <v>156</v>
      </c>
      <c r="L272" s="1" t="s">
        <v>294</v>
      </c>
      <c r="M272" s="1" t="s">
        <v>316</v>
      </c>
      <c r="N272" s="167" t="s">
        <v>157</v>
      </c>
      <c r="O272" s="1" t="s">
        <v>415</v>
      </c>
      <c r="P272" s="84">
        <v>1860</v>
      </c>
      <c r="Q272" s="84" t="s">
        <v>415</v>
      </c>
      <c r="R272" s="162" t="s">
        <v>415</v>
      </c>
      <c r="S272" s="162" t="s">
        <v>415</v>
      </c>
      <c r="T272" s="162" t="s">
        <v>415</v>
      </c>
      <c r="U272" s="168" t="s">
        <v>415</v>
      </c>
      <c r="V272" s="73">
        <f>SUM(Table24[[#This Row],[A1toA3_GWP]:[C1toC4_GWP]])</f>
        <v>616.83500000000004</v>
      </c>
      <c r="W272" s="73">
        <f>VLOOKUP(Table24[[#This Row],[Country PRODUCTION]],[2]Sheet1!$B$11:$F$30,4,FALSE)+Table24[[#This Row],[Total_GWP]]</f>
        <v>885.93500000000006</v>
      </c>
      <c r="X272" s="73">
        <f>VLOOKUP(Table24[[#This Row],[Country PRODUCTION]],[2]Sheet1!$B$11:$F$30,5,FALSE)+Table24[[#This Row],[Total_GWP]]</f>
        <v>644.43500000000006</v>
      </c>
      <c r="Y272" s="73"/>
      <c r="Z272" s="111">
        <f>0.584*1000</f>
        <v>584</v>
      </c>
      <c r="AA272" s="72">
        <f>(0.0055+0.00817+0.0185+0.000665)*1000</f>
        <v>32.834999999999994</v>
      </c>
      <c r="AB272" s="73"/>
      <c r="AC272" s="73"/>
      <c r="AD272" s="73"/>
      <c r="AE272" s="75"/>
      <c r="AF272" s="107"/>
      <c r="AG272" s="129"/>
      <c r="AH272" s="129"/>
      <c r="AI272" s="75"/>
      <c r="AJ272" s="385">
        <f ca="1">IF(OR($E272="Ecoinvent",$E272="Betonsortenrechner",$E272="KBOB",$V272&lt;=0,Table24[[#This Row],[VALID_TO]]&lt;=TODAY()),0,1)</f>
        <v>0</v>
      </c>
      <c r="AK272" s="199">
        <v>1</v>
      </c>
      <c r="AL272" s="199">
        <f ca="1">IF(AND(Table24[[#This Row],[ValidEPD]]&lt;&gt;0,Table24[[#This Row],[Man_Ausschluss]]&lt;&gt;0),1,0)</f>
        <v>0</v>
      </c>
      <c r="AM272" s="17" cm="1">
        <f t="array" aca="1" ref="AM272" ca="1">IF(Table24[[#This Row],[gültig]]&lt;&gt;0,
IF(
OR(
V272=MIN(_xlfn._xlws.FILTER($V$2:$V$298,($P$2:$P$298=P272)*($N$2:$N$298=N272)*($AL$2:$AL$298&lt;&gt;0))),
V272=MAX(_xlfn._xlws.FILTER($V$2:$V$298,($P$2:$P$298=P272)*($N$2:$N$298=N272)*($AL$2:$AL$298&lt;&gt;0))),
ROWS(_xlfn._xlws.FILTER($V$2:$V$298,($P$2:$P$298=P272)*($N$2:$N$298=N272)*($AL$2:$AL$298&lt;&gt;0)))&lt;=2
),1,0),0)</f>
        <v>0</v>
      </c>
      <c r="AN272" s="138"/>
      <c r="AO272" s="1"/>
      <c r="AP272" s="1"/>
    </row>
    <row r="273" spans="1:43" x14ac:dyDescent="0.2">
      <c r="A273" s="161" t="s">
        <v>177</v>
      </c>
      <c r="B273" s="9"/>
      <c r="C273" s="96">
        <v>272</v>
      </c>
      <c r="D273" s="1" t="s">
        <v>171</v>
      </c>
      <c r="E273" s="162" t="s">
        <v>164</v>
      </c>
      <c r="F273" s="162"/>
      <c r="G273" s="163">
        <v>44181</v>
      </c>
      <c r="H273" s="163">
        <v>45993</v>
      </c>
      <c r="I273" s="84" t="s">
        <v>238</v>
      </c>
      <c r="J273" s="164" t="s">
        <v>238</v>
      </c>
      <c r="K273" s="165" t="s">
        <v>156</v>
      </c>
      <c r="L273" s="1" t="s">
        <v>294</v>
      </c>
      <c r="M273" s="1" t="s">
        <v>316</v>
      </c>
      <c r="N273" s="167" t="s">
        <v>157</v>
      </c>
      <c r="O273" s="1" t="s">
        <v>415</v>
      </c>
      <c r="P273" s="84">
        <v>1860</v>
      </c>
      <c r="Q273" s="84" t="s">
        <v>415</v>
      </c>
      <c r="R273" s="162" t="s">
        <v>415</v>
      </c>
      <c r="S273" s="162" t="s">
        <v>415</v>
      </c>
      <c r="T273" s="162" t="s">
        <v>415</v>
      </c>
      <c r="U273" s="168" t="s">
        <v>415</v>
      </c>
      <c r="V273" s="73">
        <f>SUM(Table24[[#This Row],[A1toA3_GWP]:[C1toC4_GWP]])</f>
        <v>1866.032835</v>
      </c>
      <c r="W273" s="73">
        <f>VLOOKUP(Table24[[#This Row],[Country PRODUCTION]],[2]Sheet1!$B$11:$F$30,4,FALSE)+Table24[[#This Row],[Total_GWP]]</f>
        <v>2135.1328349999999</v>
      </c>
      <c r="X273" s="73">
        <f>VLOOKUP(Table24[[#This Row],[Country PRODUCTION]],[2]Sheet1!$B$11:$F$30,5,FALSE)+Table24[[#This Row],[Total_GWP]]</f>
        <v>1893.6328349999999</v>
      </c>
      <c r="Y273" s="73"/>
      <c r="Z273" s="111">
        <f>1.866*1000</f>
        <v>1866</v>
      </c>
      <c r="AA273" s="72">
        <f>(0.0055+0.00817+0.0185+0.000665)</f>
        <v>3.2834999999999996E-2</v>
      </c>
      <c r="AB273" s="73"/>
      <c r="AC273" s="73"/>
      <c r="AD273" s="73"/>
      <c r="AE273" s="75"/>
      <c r="AF273" s="107"/>
      <c r="AG273" s="129"/>
      <c r="AH273" s="129"/>
      <c r="AI273" s="75"/>
      <c r="AJ273" s="385">
        <f ca="1">IF(OR($E273="Ecoinvent",$E273="Betonsortenrechner",$E273="KBOB",$V273&lt;=0,Table24[[#This Row],[VALID_TO]]&lt;=TODAY()),0,1)</f>
        <v>0</v>
      </c>
      <c r="AK273" s="199">
        <v>1</v>
      </c>
      <c r="AL273" s="199">
        <f ca="1">IF(AND(Table24[[#This Row],[ValidEPD]]&lt;&gt;0,Table24[[#This Row],[Man_Ausschluss]]&lt;&gt;0),1,0)</f>
        <v>0</v>
      </c>
      <c r="AM273" s="17" cm="1">
        <f t="array" aca="1" ref="AM273" ca="1">IF(Table24[[#This Row],[gültig]]&lt;&gt;0,
IF(
OR(
V273=MIN(_xlfn._xlws.FILTER($V$2:$V$298,($P$2:$P$298=P273)*($N$2:$N$298=N273)*($AL$2:$AL$298&lt;&gt;0))),
V273=MAX(_xlfn._xlws.FILTER($V$2:$V$298,($P$2:$P$298=P273)*($N$2:$N$298=N273)*($AL$2:$AL$298&lt;&gt;0))),
ROWS(_xlfn._xlws.FILTER($V$2:$V$298,($P$2:$P$298=P273)*($N$2:$N$298=N273)*($AL$2:$AL$298&lt;&gt;0)))&lt;=2
),1,0),0)</f>
        <v>0</v>
      </c>
      <c r="AN273" s="138"/>
      <c r="AO273" s="1"/>
      <c r="AP273" s="1"/>
    </row>
    <row r="274" spans="1:43" x14ac:dyDescent="0.2">
      <c r="A274" s="161" t="s">
        <v>178</v>
      </c>
      <c r="B274" s="9"/>
      <c r="C274" s="100">
        <v>273</v>
      </c>
      <c r="D274" s="1" t="s">
        <v>548</v>
      </c>
      <c r="E274" s="162" t="s">
        <v>166</v>
      </c>
      <c r="F274" s="162"/>
      <c r="G274" s="163">
        <v>42370</v>
      </c>
      <c r="H274" s="163">
        <v>43831</v>
      </c>
      <c r="I274" s="84" t="s">
        <v>238</v>
      </c>
      <c r="J274" s="164" t="s">
        <v>238</v>
      </c>
      <c r="K274" s="165" t="s">
        <v>156</v>
      </c>
      <c r="L274" s="1" t="s">
        <v>294</v>
      </c>
      <c r="M274" s="1" t="s">
        <v>316</v>
      </c>
      <c r="N274" s="167" t="s">
        <v>157</v>
      </c>
      <c r="O274" s="1" t="s">
        <v>415</v>
      </c>
      <c r="P274" s="84">
        <v>1860</v>
      </c>
      <c r="Q274" s="84" t="s">
        <v>415</v>
      </c>
      <c r="R274" s="162" t="s">
        <v>415</v>
      </c>
      <c r="S274" s="162" t="s">
        <v>415</v>
      </c>
      <c r="T274" s="162" t="s">
        <v>415</v>
      </c>
      <c r="U274" s="168" t="s">
        <v>415</v>
      </c>
      <c r="V274" s="73">
        <f>SUM(Table24[[#This Row],[A1toA3_GWP]:[C1toC4_GWP]])</f>
        <v>1042</v>
      </c>
      <c r="W274" s="73">
        <f>VLOOKUP(Table24[[#This Row],[Country PRODUCTION]],[2]Sheet1!$B$11:$F$30,4,FALSE)+Table24[[#This Row],[Total_GWP]]</f>
        <v>1311.1</v>
      </c>
      <c r="X274" s="73">
        <f>VLOOKUP(Table24[[#This Row],[Country PRODUCTION]],[2]Sheet1!$B$11:$F$30,5,FALSE)+Table24[[#This Row],[Total_GWP]]</f>
        <v>1069.5999999999999</v>
      </c>
      <c r="Y274" s="73"/>
      <c r="Z274" s="111">
        <f>1.042*1000</f>
        <v>1042</v>
      </c>
      <c r="AA274" s="72" t="s">
        <v>415</v>
      </c>
      <c r="AB274" s="73"/>
      <c r="AC274" s="73"/>
      <c r="AD274" s="73"/>
      <c r="AE274" s="75"/>
      <c r="AF274" s="107"/>
      <c r="AG274" s="129"/>
      <c r="AH274" s="129"/>
      <c r="AI274" s="75"/>
      <c r="AJ274" s="385">
        <f ca="1">IF(OR($E274="Ecoinvent",$E274="Betonsortenrechner",$E274="KBOB",$V274&lt;=0,Table24[[#This Row],[VALID_TO]]&lt;=TODAY()),0,1)</f>
        <v>0</v>
      </c>
      <c r="AK274" s="199">
        <v>1</v>
      </c>
      <c r="AL274" s="199">
        <f ca="1">IF(AND(Table24[[#This Row],[ValidEPD]]&lt;&gt;0,Table24[[#This Row],[Man_Ausschluss]]&lt;&gt;0),1,0)</f>
        <v>0</v>
      </c>
      <c r="AM274" s="17" cm="1">
        <f t="array" aca="1" ref="AM274" ca="1">IF(Table24[[#This Row],[gültig]]&lt;&gt;0,
IF(
OR(
V274=MIN(_xlfn._xlws.FILTER($V$2:$V$298,($P$2:$P$298=P274)*($N$2:$N$298=N274)*($AL$2:$AL$298&lt;&gt;0))),
V274=MAX(_xlfn._xlws.FILTER($V$2:$V$298,($P$2:$P$298=P274)*($N$2:$N$298=N274)*($AL$2:$AL$298&lt;&gt;0))),
ROWS(_xlfn._xlws.FILTER($V$2:$V$298,($P$2:$P$298=P274)*($N$2:$N$298=N274)*($AL$2:$AL$298&lt;&gt;0)))&lt;=2
),1,0),0)</f>
        <v>0</v>
      </c>
      <c r="AN274" s="138"/>
      <c r="AO274" s="1"/>
      <c r="AP274" s="1"/>
    </row>
    <row r="275" spans="1:43" x14ac:dyDescent="0.2">
      <c r="A275" s="161" t="s">
        <v>179</v>
      </c>
      <c r="B275" s="9"/>
      <c r="C275" s="96">
        <v>274</v>
      </c>
      <c r="D275" s="1" t="s">
        <v>170</v>
      </c>
      <c r="E275" s="162" t="s">
        <v>167</v>
      </c>
      <c r="F275" s="162"/>
      <c r="G275" s="163">
        <v>44826</v>
      </c>
      <c r="H275" s="163">
        <v>46651</v>
      </c>
      <c r="I275" s="84" t="s">
        <v>169</v>
      </c>
      <c r="J275" s="164" t="s">
        <v>169</v>
      </c>
      <c r="K275" s="165" t="s">
        <v>156</v>
      </c>
      <c r="L275" s="1" t="s">
        <v>294</v>
      </c>
      <c r="M275" s="1" t="s">
        <v>316</v>
      </c>
      <c r="N275" s="167" t="s">
        <v>157</v>
      </c>
      <c r="O275" s="1" t="s">
        <v>415</v>
      </c>
      <c r="P275" s="84" t="s">
        <v>547</v>
      </c>
      <c r="Q275" s="84" t="s">
        <v>415</v>
      </c>
      <c r="R275" s="162" t="s">
        <v>415</v>
      </c>
      <c r="S275" s="162" t="s">
        <v>415</v>
      </c>
      <c r="T275" s="162" t="s">
        <v>415</v>
      </c>
      <c r="U275" s="168" t="s">
        <v>415</v>
      </c>
      <c r="V275" s="73">
        <f>SUM(Table24[[#This Row],[A1toA3_GWP]:[C1toC4_GWP]])</f>
        <v>587.99519999999995</v>
      </c>
      <c r="W275" s="73">
        <f>VLOOKUP(Table24[[#This Row],[Country PRODUCTION]],[2]Sheet1!$B$11:$F$30,4,FALSE)+Table24[[#This Row],[Total_GWP]]</f>
        <v>740.09519999999998</v>
      </c>
      <c r="X275" s="73">
        <f>VLOOKUP(Table24[[#This Row],[Country PRODUCTION]],[2]Sheet1!$B$11:$F$30,5,FALSE)+Table24[[#This Row],[Total_GWP]]</f>
        <v>603.59519999999998</v>
      </c>
      <c r="Y275" s="73"/>
      <c r="Z275" s="111">
        <v>584</v>
      </c>
      <c r="AA275" s="72">
        <f>3.59+0.0792+0.326</f>
        <v>3.9952000000000001</v>
      </c>
      <c r="AB275" s="73"/>
      <c r="AC275" s="73"/>
      <c r="AD275" s="73"/>
      <c r="AE275" s="75"/>
      <c r="AF275" s="107"/>
      <c r="AG275" s="129"/>
      <c r="AH275" s="129"/>
      <c r="AI275" s="75"/>
      <c r="AJ275" s="385">
        <f ca="1">IF(OR($E275="Ecoinvent",$E275="Betonsortenrechner",$E275="KBOB",$V275&lt;=0,Table24[[#This Row],[VALID_TO]]&lt;=TODAY()),0,1)</f>
        <v>1</v>
      </c>
      <c r="AK275" s="199">
        <v>1</v>
      </c>
      <c r="AL275" s="199">
        <f ca="1">IF(AND(Table24[[#This Row],[ValidEPD]]&lt;&gt;0,Table24[[#This Row],[Man_Ausschluss]]&lt;&gt;0),1,0)</f>
        <v>1</v>
      </c>
      <c r="AM275" s="17" cm="1">
        <f t="array" aca="1" ref="AM275" ca="1">IF(Table24[[#This Row],[gültig]]&lt;&gt;0,
IF(
OR(
V275=MIN(_xlfn._xlws.FILTER($V$2:$V$298,($P$2:$P$298=P275)*($N$2:$N$298=N275)*($AL$2:$AL$298&lt;&gt;0))),
V275=MAX(_xlfn._xlws.FILTER($V$2:$V$298,($P$2:$P$298=P275)*($N$2:$N$298=N275)*($AL$2:$AL$298&lt;&gt;0))),
ROWS(_xlfn._xlws.FILTER($V$2:$V$298,($P$2:$P$298=P275)*($N$2:$N$298=N275)*($AL$2:$AL$298&lt;&gt;0)))&lt;=2
),1,0),0)</f>
        <v>1</v>
      </c>
      <c r="AN275" s="138"/>
      <c r="AO275" s="1"/>
      <c r="AP275" s="1"/>
    </row>
    <row r="276" spans="1:43" ht="16" thickBot="1" x14ac:dyDescent="0.25">
      <c r="A276" s="112" t="s">
        <v>180</v>
      </c>
      <c r="B276" s="113"/>
      <c r="C276" s="105">
        <v>275</v>
      </c>
      <c r="D276" s="114" t="s">
        <v>168</v>
      </c>
      <c r="E276" s="115" t="s">
        <v>167</v>
      </c>
      <c r="F276" s="115"/>
      <c r="G276" s="116">
        <v>44826</v>
      </c>
      <c r="H276" s="116">
        <v>46651</v>
      </c>
      <c r="I276" s="117" t="s">
        <v>169</v>
      </c>
      <c r="J276" s="132" t="s">
        <v>169</v>
      </c>
      <c r="K276" s="118" t="s">
        <v>156</v>
      </c>
      <c r="L276" s="119" t="s">
        <v>294</v>
      </c>
      <c r="M276" s="120" t="s">
        <v>316</v>
      </c>
      <c r="N276" s="121" t="s">
        <v>157</v>
      </c>
      <c r="O276" s="114" t="s">
        <v>415</v>
      </c>
      <c r="P276" s="106" t="s">
        <v>547</v>
      </c>
      <c r="Q276" s="106" t="s">
        <v>415</v>
      </c>
      <c r="R276" s="115" t="s">
        <v>415</v>
      </c>
      <c r="S276" s="115" t="s">
        <v>415</v>
      </c>
      <c r="T276" s="115" t="s">
        <v>415</v>
      </c>
      <c r="U276" s="122" t="s">
        <v>415</v>
      </c>
      <c r="V276" s="123">
        <f>SUM(Table24[[#This Row],[A1toA3_GWP]:[C1toC4_GWP]])</f>
        <v>388.99520000000001</v>
      </c>
      <c r="W276" s="123">
        <f>VLOOKUP(Table24[[#This Row],[Country PRODUCTION]],[2]Sheet1!$B$11:$F$30,4,FALSE)+Table24[[#This Row],[Total_GWP]]</f>
        <v>541.09519999999998</v>
      </c>
      <c r="X276" s="123">
        <f>VLOOKUP(Table24[[#This Row],[Country PRODUCTION]],[2]Sheet1!$B$11:$F$30,5,FALSE)+Table24[[#This Row],[Total_GWP]]</f>
        <v>404.59520000000003</v>
      </c>
      <c r="Y276" s="123"/>
      <c r="Z276" s="124">
        <v>385</v>
      </c>
      <c r="AA276" s="108">
        <f>3.59+0.0792+0.326</f>
        <v>3.9952000000000001</v>
      </c>
      <c r="AB276" s="109"/>
      <c r="AC276" s="109"/>
      <c r="AD276" s="109"/>
      <c r="AE276" s="110"/>
      <c r="AF276" s="285"/>
      <c r="AG276" s="379"/>
      <c r="AH276" s="379"/>
      <c r="AI276" s="110"/>
      <c r="AJ276" s="288">
        <f ca="1">IF(OR($E276="Ecoinvent",$E276="Betonsortenrechner",$E276="KBOB",$V276&lt;=0,Table24[[#This Row],[VALID_TO]]&lt;=TODAY()),0,1)</f>
        <v>1</v>
      </c>
      <c r="AK276" s="271">
        <v>1</v>
      </c>
      <c r="AL276" s="271">
        <f ca="1">IF(AND(Table24[[#This Row],[ValidEPD]]&lt;&gt;0,Table24[[#This Row],[Man_Ausschluss]]&lt;&gt;0),1,0)</f>
        <v>1</v>
      </c>
      <c r="AM276" s="17" cm="1">
        <f t="array" aca="1" ref="AM276" ca="1">IF(Table24[[#This Row],[gültig]]&lt;&gt;0,
IF(
OR(
V276=MIN(_xlfn._xlws.FILTER($V$2:$V$298,($P$2:$P$298=P276)*($N$2:$N$298=N276)*($AL$2:$AL$298&lt;&gt;0))),
V276=MAX(_xlfn._xlws.FILTER($V$2:$V$298,($P$2:$P$298=P276)*($N$2:$N$298=N276)*($AL$2:$AL$298&lt;&gt;0))),
ROWS(_xlfn._xlws.FILTER($V$2:$V$298,($P$2:$P$298=P276)*($N$2:$N$298=N276)*($AL$2:$AL$298&lt;&gt;0)))&lt;=2
),1,0),0)</f>
        <v>1</v>
      </c>
      <c r="AN276" s="217"/>
      <c r="AO276" s="114"/>
      <c r="AP276" s="2"/>
    </row>
    <row r="277" spans="1:43" x14ac:dyDescent="0.2">
      <c r="A277" s="161" t="s">
        <v>181</v>
      </c>
      <c r="B277" s="9"/>
      <c r="C277" s="96">
        <v>276</v>
      </c>
      <c r="D277" s="1" t="s">
        <v>186</v>
      </c>
      <c r="E277" s="162" t="s">
        <v>183</v>
      </c>
      <c r="F277" s="162"/>
      <c r="G277" s="163"/>
      <c r="H277" s="84"/>
      <c r="I277" s="84" t="s">
        <v>264</v>
      </c>
      <c r="J277" s="164" t="s">
        <v>264</v>
      </c>
      <c r="K277" s="165" t="s">
        <v>477</v>
      </c>
      <c r="L277" s="228" t="s">
        <v>619</v>
      </c>
      <c r="M277" s="1" t="s">
        <v>491</v>
      </c>
      <c r="N277" s="167" t="s">
        <v>188</v>
      </c>
      <c r="O277" s="1" t="s">
        <v>415</v>
      </c>
      <c r="P277" s="162" t="s">
        <v>415</v>
      </c>
      <c r="Q277" s="84">
        <f>95.6/0.04</f>
        <v>2390</v>
      </c>
      <c r="R277" s="162" t="s">
        <v>415</v>
      </c>
      <c r="S277" s="162" t="s">
        <v>415</v>
      </c>
      <c r="T277" s="162" t="s">
        <v>415</v>
      </c>
      <c r="U277" s="168" t="s">
        <v>415</v>
      </c>
      <c r="V277" s="73">
        <f>SUM(Table24[[#This Row],[A1toA3_GWP]:[C1toC4_GWP]])</f>
        <v>303.49372384937237</v>
      </c>
      <c r="W277" s="73"/>
      <c r="X277" s="73"/>
      <c r="Y277" s="73">
        <f>Table24[[#This Row],[Total_GWP]]*Table24[[#This Row],[DENSITY]]/1000</f>
        <v>725.35</v>
      </c>
      <c r="Z277" s="107">
        <f>27.4/0.04/Table24[[#This Row],[DENSITY]]*1000</f>
        <v>286.61087866108784</v>
      </c>
      <c r="AA277" s="72">
        <f>(0.488+0.312+0.814)/0.04/Table24[[#This Row],[DENSITY]]*1000</f>
        <v>16.882845188284517</v>
      </c>
      <c r="AB277" s="73"/>
      <c r="AC277" s="73"/>
      <c r="AD277" s="73"/>
      <c r="AE277" s="75"/>
      <c r="AF277" s="107"/>
      <c r="AG277" s="129"/>
      <c r="AH277" s="129"/>
      <c r="AI277" s="75"/>
      <c r="AJ277" s="385">
        <f ca="1">IF(OR($E277="Ecoinvent",$E277="Betonsortenrechner",$E277="KBOB",$V277&lt;=0,Table24[[#This Row],[VALID_TO]]&lt;=TODAY()),0,1)</f>
        <v>0</v>
      </c>
      <c r="AK277" s="199">
        <v>1</v>
      </c>
      <c r="AL277" s="199">
        <f ca="1">IF(AND(Table24[[#This Row],[ValidEPD]]&lt;&gt;0,Table24[[#This Row],[Man_Ausschluss]]&lt;&gt;0),1,0)</f>
        <v>0</v>
      </c>
      <c r="AM277" s="17" cm="1">
        <f t="array" aca="1" ref="AM277" ca="1">IF(Table24[[#This Row],[gültig]]&lt;&gt;0,
IF(
OR(
V277=MIN(_xlfn._xlws.FILTER($V$2:$V$298,($P$2:$P$298=P277)*($N$2:$N$298=N277)*($AL$2:$AL$298&lt;&gt;0))),
V277=MAX(_xlfn._xlws.FILTER($V$2:$V$298,($P$2:$P$298=P277)*($N$2:$N$298=N277)*($AL$2:$AL$298&lt;&gt;0))),
ROWS(_xlfn._xlws.FILTER($V$2:$V$298,($P$2:$P$298=P277)*($N$2:$N$298=N277)*($AL$2:$AL$298&lt;&gt;0)))&lt;=2
),1,0),0)</f>
        <v>0</v>
      </c>
      <c r="AN277" s="138"/>
      <c r="AO277" s="1" t="s">
        <v>184</v>
      </c>
      <c r="AP277" s="1"/>
    </row>
    <row r="278" spans="1:43" s="125" customFormat="1" ht="16" thickBot="1" x14ac:dyDescent="0.25">
      <c r="A278" s="83" t="s">
        <v>182</v>
      </c>
      <c r="B278" s="113"/>
      <c r="C278" s="283">
        <v>277</v>
      </c>
      <c r="D278" s="113" t="s">
        <v>187</v>
      </c>
      <c r="E278" s="241" t="s">
        <v>183</v>
      </c>
      <c r="F278" s="241"/>
      <c r="G278" s="117"/>
      <c r="H278" s="242"/>
      <c r="I278" s="242" t="s">
        <v>264</v>
      </c>
      <c r="J278" s="243" t="s">
        <v>264</v>
      </c>
      <c r="K278" s="244" t="s">
        <v>477</v>
      </c>
      <c r="L278" s="240" t="s">
        <v>619</v>
      </c>
      <c r="M278" s="2" t="s">
        <v>491</v>
      </c>
      <c r="N278" s="121" t="s">
        <v>188</v>
      </c>
      <c r="O278" s="2" t="s">
        <v>415</v>
      </c>
      <c r="P278" s="241" t="s">
        <v>415</v>
      </c>
      <c r="Q278" s="284">
        <f>167/0.07</f>
        <v>2385.7142857142853</v>
      </c>
      <c r="R278" s="241" t="s">
        <v>415</v>
      </c>
      <c r="S278" s="241" t="s">
        <v>415</v>
      </c>
      <c r="T278" s="241" t="s">
        <v>415</v>
      </c>
      <c r="U278" s="245" t="s">
        <v>415</v>
      </c>
      <c r="V278" s="109">
        <f>SUM(Table24[[#This Row],[A1toA3_GWP]:[C1toC4_GWP]])</f>
        <v>325.34730538922162</v>
      </c>
      <c r="W278" s="109"/>
      <c r="X278" s="109"/>
      <c r="Y278" s="109">
        <f>Table24[[#This Row],[Total_GWP]]*Table24[[#This Row],[DENSITY]]/1000</f>
        <v>776.18571428571431</v>
      </c>
      <c r="Z278" s="285">
        <f>51.5/0.07/Table24[[#This Row],[DENSITY]]*1000</f>
        <v>308.38323353293418</v>
      </c>
      <c r="AA278" s="286">
        <f>(0.856+0.547+1.43)/0.07/Table24[[#This Row],[DENSITY]]*1000</f>
        <v>16.964071856287426</v>
      </c>
      <c r="AB278" s="109"/>
      <c r="AC278" s="109"/>
      <c r="AD278" s="109"/>
      <c r="AE278" s="110"/>
      <c r="AF278" s="285"/>
      <c r="AG278" s="379"/>
      <c r="AH278" s="379"/>
      <c r="AI278" s="110"/>
      <c r="AJ278" s="288">
        <f ca="1">IF(OR($E278="Ecoinvent",$E278="Betonsortenrechner",$E278="KBOB",$V278&lt;=0,Table24[[#This Row],[VALID_TO]]&lt;=TODAY()),0,1)</f>
        <v>0</v>
      </c>
      <c r="AK278" s="271">
        <v>1</v>
      </c>
      <c r="AL278" s="271">
        <f ca="1">IF(AND(Table24[[#This Row],[ValidEPD]]&lt;&gt;0,Table24[[#This Row],[Man_Ausschluss]]&lt;&gt;0),1,0)</f>
        <v>0</v>
      </c>
      <c r="AM278" s="17" cm="1">
        <f t="array" aca="1" ref="AM278" ca="1">IF(Table24[[#This Row],[gültig]]&lt;&gt;0,
IF(
OR(
V278=MIN(_xlfn._xlws.FILTER($V$2:$V$298,($P$2:$P$298=P278)*($N$2:$N$298=N278)*($AL$2:$AL$298&lt;&gt;0))),
V278=MAX(_xlfn._xlws.FILTER($V$2:$V$298,($P$2:$P$298=P278)*($N$2:$N$298=N278)*($AL$2:$AL$298&lt;&gt;0))),
ROWS(_xlfn._xlws.FILTER($V$2:$V$298,($P$2:$P$298=P278)*($N$2:$N$298=N278)*($AL$2:$AL$298&lt;&gt;0)))&lt;=2
),1,0),0)</f>
        <v>0</v>
      </c>
      <c r="AN278" s="217"/>
      <c r="AO278" s="2" t="s">
        <v>185</v>
      </c>
      <c r="AP278" s="2"/>
    </row>
    <row r="279" spans="1:43" x14ac:dyDescent="0.2">
      <c r="A279" s="282" t="s">
        <v>837</v>
      </c>
      <c r="B279" s="9"/>
      <c r="C279" s="276">
        <v>278</v>
      </c>
      <c r="D279" s="267" t="s">
        <v>838</v>
      </c>
      <c r="E279" s="263" t="s">
        <v>839</v>
      </c>
      <c r="F279" s="277"/>
      <c r="G279" s="265">
        <v>44412</v>
      </c>
      <c r="H279" s="265">
        <v>46237</v>
      </c>
      <c r="I279" s="264" t="s">
        <v>264</v>
      </c>
      <c r="J279" s="164" t="s">
        <v>264</v>
      </c>
      <c r="K279" s="278" t="s">
        <v>840</v>
      </c>
      <c r="L279" s="264" t="s">
        <v>841</v>
      </c>
      <c r="M279" s="264" t="s">
        <v>842</v>
      </c>
      <c r="N279" s="279" t="s">
        <v>843</v>
      </c>
      <c r="O279" s="263" t="s">
        <v>415</v>
      </c>
      <c r="P279" s="264">
        <f>AVERAGE(6,12)</f>
        <v>9</v>
      </c>
      <c r="Q279" s="264">
        <v>605</v>
      </c>
      <c r="R279" s="263" t="s">
        <v>415</v>
      </c>
      <c r="S279" s="264" t="s">
        <v>415</v>
      </c>
      <c r="T279" s="264" t="s">
        <v>415</v>
      </c>
      <c r="U279" s="266" t="s">
        <v>415</v>
      </c>
      <c r="V279" s="73">
        <f>SUM(Table24[[#This Row],[A1toA3_GWP]:[C1toC4_GWP]])</f>
        <v>228.31404958677689</v>
      </c>
      <c r="W279" s="73">
        <f>VLOOKUP(Table24[[#This Row],[Country PRODUCTION]],[2]Sheet1!$B$11:$F$30,4,FALSE)+Table24[[#This Row],[Total_GWP]]</f>
        <v>304.3640495867769</v>
      </c>
      <c r="X279" s="73">
        <f>VLOOKUP(Table24[[#This Row],[Country PRODUCTION]],[2]Sheet1!$B$11:$F$30,5,FALSE)+Table24[[#This Row],[Total_GWP]]</f>
        <v>236.1140495867769</v>
      </c>
      <c r="Y279" s="73">
        <f>Table24[[#This Row],[Total_GWP]]*Table24[[#This Row],[DENSITY]]/1000</f>
        <v>138.13000000000002</v>
      </c>
      <c r="Z279" s="280">
        <f>146/Table24[[#This Row],[DENSITY]]*1000</f>
        <v>241.32231404958679</v>
      </c>
      <c r="AA279" s="281">
        <f>(3.44*10^-1+9.74*10^-1-1.01*10^1+9.12*10^-1)/Table24[[#This Row],[DENSITY]]*1000</f>
        <v>-13.008264462809917</v>
      </c>
      <c r="AB279" s="73"/>
      <c r="AC279" s="73"/>
      <c r="AD279" s="73"/>
      <c r="AE279" s="75"/>
      <c r="AF279" s="107"/>
      <c r="AG279" s="129"/>
      <c r="AH279" s="129"/>
      <c r="AI279" s="75"/>
      <c r="AJ279" s="385">
        <f ca="1">IF(OR($E279="Ecoinvent",$E279="Betonsortenrechner",$E279="KBOB",$V279&lt;=0,Table24[[#This Row],[VALID_TO]]&lt;=TODAY()),0,1)</f>
        <v>0</v>
      </c>
      <c r="AK279" s="199">
        <v>0</v>
      </c>
      <c r="AL279" s="199">
        <f ca="1">IF(AND(Table24[[#This Row],[ValidEPD]]&lt;&gt;0,Table24[[#This Row],[Man_Ausschluss]]&lt;&gt;0),1,0)</f>
        <v>0</v>
      </c>
      <c r="AM279" s="17" cm="1">
        <f t="array" aca="1" ref="AM279" ca="1">IF(Table24[[#This Row],[gültig]]&lt;&gt;0,
IF(
OR(
V279=MIN(_xlfn._xlws.FILTER($V$2:$V$298,($P$2:$P$298=P279)*($N$2:$N$298=N279)*($AL$2:$AL$298&lt;&gt;0))),
V279=MAX(_xlfn._xlws.FILTER($V$2:$V$298,($P$2:$P$298=P279)*($N$2:$N$298=N279)*($AL$2:$AL$298&lt;&gt;0))),
ROWS(_xlfn._xlws.FILTER($V$2:$V$298,($P$2:$P$298=P279)*($N$2:$N$298=N279)*($AL$2:$AL$298&lt;&gt;0)))&lt;=2
),1,0),0)</f>
        <v>0</v>
      </c>
      <c r="AN279" s="138"/>
      <c r="AO279" s="1"/>
      <c r="AP279" s="1"/>
    </row>
    <row r="280" spans="1:43" x14ac:dyDescent="0.2">
      <c r="A280" s="282" t="s">
        <v>844</v>
      </c>
      <c r="B280" s="9"/>
      <c r="C280" s="276">
        <v>279</v>
      </c>
      <c r="D280" s="267" t="s">
        <v>845</v>
      </c>
      <c r="E280" s="263" t="s">
        <v>839</v>
      </c>
      <c r="F280" s="263"/>
      <c r="G280" s="265">
        <v>44412</v>
      </c>
      <c r="H280" s="265">
        <v>46237</v>
      </c>
      <c r="I280" s="264" t="s">
        <v>264</v>
      </c>
      <c r="J280" s="164" t="s">
        <v>264</v>
      </c>
      <c r="K280" s="278" t="s">
        <v>840</v>
      </c>
      <c r="L280" s="264" t="s">
        <v>841</v>
      </c>
      <c r="M280" s="264" t="s">
        <v>842</v>
      </c>
      <c r="N280" s="279" t="s">
        <v>843</v>
      </c>
      <c r="O280" s="263" t="s">
        <v>415</v>
      </c>
      <c r="P280" s="264">
        <f>AVERAGE(6,12)</f>
        <v>9</v>
      </c>
      <c r="Q280" s="264">
        <v>605</v>
      </c>
      <c r="R280" s="263" t="s">
        <v>415</v>
      </c>
      <c r="S280" s="264" t="s">
        <v>415</v>
      </c>
      <c r="T280" s="264" t="s">
        <v>415</v>
      </c>
      <c r="U280" s="266" t="s">
        <v>415</v>
      </c>
      <c r="V280" s="73">
        <f>SUM(Table24[[#This Row],[A1toA3_GWP]:[C1toC4_GWP]])</f>
        <v>227.59338842975208</v>
      </c>
      <c r="W280" s="73">
        <f>VLOOKUP(Table24[[#This Row],[Country PRODUCTION]],[2]Sheet1!$B$11:$F$30,4,FALSE)+Table24[[#This Row],[Total_GWP]]</f>
        <v>303.64338842975212</v>
      </c>
      <c r="X280" s="73">
        <f>VLOOKUP(Table24[[#This Row],[Country PRODUCTION]],[2]Sheet1!$B$11:$F$30,5,FALSE)+Table24[[#This Row],[Total_GWP]]</f>
        <v>235.39338842975209</v>
      </c>
      <c r="Y280" s="73">
        <f>Table24[[#This Row],[Total_GWP]]*Table24[[#This Row],[DENSITY]]/1000</f>
        <v>137.69399999999999</v>
      </c>
      <c r="Z280" s="280">
        <f>146/Table24[[#This Row],[DENSITY]]*1000</f>
        <v>241.32231404958679</v>
      </c>
      <c r="AA280" s="281">
        <f>(3.52*10^-1+9.42*10^-1-1.01*10^1+5*10^-1)/Table24[[#This Row],[DENSITY]]*1000</f>
        <v>-13.728925619834708</v>
      </c>
      <c r="AB280" s="73"/>
      <c r="AC280" s="73"/>
      <c r="AD280" s="73"/>
      <c r="AE280" s="75"/>
      <c r="AF280" s="107"/>
      <c r="AG280" s="129"/>
      <c r="AH280" s="129"/>
      <c r="AI280" s="75"/>
      <c r="AJ280" s="385">
        <f ca="1">IF(OR($E280="Ecoinvent",$E280="Betonsortenrechner",$E280="KBOB",$V280&lt;=0,Table24[[#This Row],[VALID_TO]]&lt;=TODAY()),0,1)</f>
        <v>0</v>
      </c>
      <c r="AK280" s="199">
        <v>0</v>
      </c>
      <c r="AL280" s="199">
        <f ca="1">IF(AND(Table24[[#This Row],[ValidEPD]]&lt;&gt;0,Table24[[#This Row],[Man_Ausschluss]]&lt;&gt;0),1,0)</f>
        <v>0</v>
      </c>
      <c r="AM280" s="17" cm="1">
        <f t="array" aca="1" ref="AM280" ca="1">IF(Table24[[#This Row],[gültig]]&lt;&gt;0,
IF(
OR(
V280=MIN(_xlfn._xlws.FILTER($V$2:$V$298,($P$2:$P$298=P280)*($N$2:$N$298=N280)*($AL$2:$AL$298&lt;&gt;0))),
V280=MAX(_xlfn._xlws.FILTER($V$2:$V$298,($P$2:$P$298=P280)*($N$2:$N$298=N280)*($AL$2:$AL$298&lt;&gt;0))),
ROWS(_xlfn._xlws.FILTER($V$2:$V$298,($P$2:$P$298=P280)*($N$2:$N$298=N280)*($AL$2:$AL$298&lt;&gt;0)))&lt;=2
),1,0),0)</f>
        <v>0</v>
      </c>
      <c r="AN280" s="138"/>
      <c r="AO280" s="102"/>
      <c r="AP280" s="1"/>
    </row>
    <row r="281" spans="1:43" x14ac:dyDescent="0.2">
      <c r="A281" s="282" t="s">
        <v>846</v>
      </c>
      <c r="B281" s="9"/>
      <c r="C281" s="276">
        <v>280</v>
      </c>
      <c r="D281" s="267" t="s">
        <v>847</v>
      </c>
      <c r="E281" s="263" t="s">
        <v>839</v>
      </c>
      <c r="F281" s="263"/>
      <c r="G281" s="265">
        <v>44412</v>
      </c>
      <c r="H281" s="265">
        <v>46237</v>
      </c>
      <c r="I281" s="264" t="s">
        <v>264</v>
      </c>
      <c r="J281" s="164" t="s">
        <v>264</v>
      </c>
      <c r="K281" s="278" t="s">
        <v>848</v>
      </c>
      <c r="L281" s="264" t="s">
        <v>841</v>
      </c>
      <c r="M281" s="264" t="s">
        <v>842</v>
      </c>
      <c r="N281" s="279" t="s">
        <v>849</v>
      </c>
      <c r="O281" s="263" t="s">
        <v>415</v>
      </c>
      <c r="P281" s="264">
        <f>AVERAGE(4,12)</f>
        <v>8</v>
      </c>
      <c r="Q281" s="264">
        <v>575</v>
      </c>
      <c r="R281" s="263" t="s">
        <v>415</v>
      </c>
      <c r="S281" s="264" t="s">
        <v>415</v>
      </c>
      <c r="T281" s="264" t="s">
        <v>415</v>
      </c>
      <c r="U281" s="266" t="s">
        <v>415</v>
      </c>
      <c r="V281" s="73">
        <f>SUM(Table24[[#This Row],[A1toA3_GWP]:[C1toC4_GWP]])</f>
        <v>182.03478260869565</v>
      </c>
      <c r="W281" s="73">
        <f>VLOOKUP(Table24[[#This Row],[Country PRODUCTION]],[2]Sheet1!$B$11:$F$30,4,FALSE)+Table24[[#This Row],[Total_GWP]]</f>
        <v>258.08478260869566</v>
      </c>
      <c r="X281" s="73">
        <f>VLOOKUP(Table24[[#This Row],[Country PRODUCTION]],[2]Sheet1!$B$11:$F$30,5,FALSE)+Table24[[#This Row],[Total_GWP]]</f>
        <v>189.83478260869566</v>
      </c>
      <c r="Y281" s="73">
        <f>Table24[[#This Row],[Total_GWP]]*Table24[[#This Row],[DENSITY]]/1000</f>
        <v>104.67</v>
      </c>
      <c r="Z281" s="280">
        <f>113/Table24[[#This Row],[DENSITY]]*1000</f>
        <v>196.52173913043478</v>
      </c>
      <c r="AA281" s="281">
        <f>(3.44*10^-1+9.26*10^-1-1.01*10^1+5*10^-1)/Table24[[#This Row],[DENSITY]]*1000</f>
        <v>-14.486956521739129</v>
      </c>
      <c r="AB281" s="73"/>
      <c r="AC281" s="73"/>
      <c r="AD281" s="73"/>
      <c r="AE281" s="75"/>
      <c r="AF281" s="107"/>
      <c r="AG281" s="129"/>
      <c r="AH281" s="129"/>
      <c r="AI281" s="75"/>
      <c r="AJ281" s="385">
        <f ca="1">IF(OR($E281="Ecoinvent",$E281="Betonsortenrechner",$E281="KBOB",$V281&lt;=0,Table24[[#This Row],[VALID_TO]]&lt;=TODAY()),0,1)</f>
        <v>0</v>
      </c>
      <c r="AK281" s="199">
        <v>0</v>
      </c>
      <c r="AL281" s="199">
        <f ca="1">IF(AND(Table24[[#This Row],[ValidEPD]]&lt;&gt;0,Table24[[#This Row],[Man_Ausschluss]]&lt;&gt;0),1,0)</f>
        <v>0</v>
      </c>
      <c r="AM281" s="17" cm="1">
        <f t="array" aca="1" ref="AM281" ca="1">IF(Table24[[#This Row],[gültig]]&lt;&gt;0,
IF(
OR(
V281=MIN(_xlfn._xlws.FILTER($V$2:$V$298,($P$2:$P$298=P281)*($N$2:$N$298=N281)*($AL$2:$AL$298&lt;&gt;0))),
V281=MAX(_xlfn._xlws.FILTER($V$2:$V$298,($P$2:$P$298=P281)*($N$2:$N$298=N281)*($AL$2:$AL$298&lt;&gt;0))),
ROWS(_xlfn._xlws.FILTER($V$2:$V$298,($P$2:$P$298=P281)*($N$2:$N$298=N281)*($AL$2:$AL$298&lt;&gt;0)))&lt;=2
),1,0),0)</f>
        <v>0</v>
      </c>
      <c r="AN281" s="138"/>
      <c r="AO281" s="102"/>
      <c r="AP281" s="1"/>
      <c r="AQ281" s="269"/>
    </row>
    <row r="282" spans="1:43" x14ac:dyDescent="0.2">
      <c r="A282" s="282" t="s">
        <v>850</v>
      </c>
      <c r="B282" s="9"/>
      <c r="C282" s="276">
        <v>281</v>
      </c>
      <c r="D282" s="267" t="s">
        <v>851</v>
      </c>
      <c r="E282" s="263" t="s">
        <v>839</v>
      </c>
      <c r="F282" s="263"/>
      <c r="G282" s="265">
        <v>44412</v>
      </c>
      <c r="H282" s="265">
        <v>46237</v>
      </c>
      <c r="I282" s="264" t="s">
        <v>264</v>
      </c>
      <c r="J282" s="164" t="s">
        <v>264</v>
      </c>
      <c r="K282" s="278" t="s">
        <v>848</v>
      </c>
      <c r="L282" s="264" t="s">
        <v>841</v>
      </c>
      <c r="M282" s="264" t="s">
        <v>842</v>
      </c>
      <c r="N282" s="279" t="s">
        <v>849</v>
      </c>
      <c r="O282" s="263" t="s">
        <v>415</v>
      </c>
      <c r="P282" s="264">
        <f>AVERAGE(4,12)</f>
        <v>8</v>
      </c>
      <c r="Q282" s="264">
        <v>575</v>
      </c>
      <c r="R282" s="263" t="s">
        <v>415</v>
      </c>
      <c r="S282" s="264" t="s">
        <v>415</v>
      </c>
      <c r="T282" s="264" t="s">
        <v>415</v>
      </c>
      <c r="U282" s="266" t="s">
        <v>415</v>
      </c>
      <c r="V282" s="73">
        <f>SUM(Table24[[#This Row],[A1toA3_GWP]:[C1toC4_GWP]])</f>
        <v>182.07652173913044</v>
      </c>
      <c r="W282" s="73">
        <f>VLOOKUP(Table24[[#This Row],[Country PRODUCTION]],[2]Sheet1!$B$11:$F$30,4,FALSE)+Table24[[#This Row],[Total_GWP]]</f>
        <v>258.12652173913045</v>
      </c>
      <c r="X282" s="73">
        <f>VLOOKUP(Table24[[#This Row],[Country PRODUCTION]],[2]Sheet1!$B$11:$F$30,5,FALSE)+Table24[[#This Row],[Total_GWP]]</f>
        <v>189.87652173913045</v>
      </c>
      <c r="Y282" s="73">
        <f>Table24[[#This Row],[Total_GWP]]*Table24[[#This Row],[DENSITY]]/1000</f>
        <v>104.694</v>
      </c>
      <c r="Z282" s="280">
        <f>113/Table24[[#This Row],[DENSITY]]*1000</f>
        <v>196.52173913043478</v>
      </c>
      <c r="AA282" s="281">
        <f>(3.52*10^-1+9.42*10^-1-1.01*10^1+5*10^-1)/Table24[[#This Row],[DENSITY]]*1000</f>
        <v>-14.445217391304347</v>
      </c>
      <c r="AB282" s="73"/>
      <c r="AC282" s="73"/>
      <c r="AD282" s="73"/>
      <c r="AE282" s="75"/>
      <c r="AF282" s="107"/>
      <c r="AG282" s="129"/>
      <c r="AH282" s="129"/>
      <c r="AI282" s="75"/>
      <c r="AJ282" s="385">
        <f ca="1">IF(OR($E282="Ecoinvent",$E282="Betonsortenrechner",$E282="KBOB",$V282&lt;=0,Table24[[#This Row],[VALID_TO]]&lt;=TODAY()),0,1)</f>
        <v>0</v>
      </c>
      <c r="AK282" s="199">
        <v>0</v>
      </c>
      <c r="AL282" s="199">
        <f ca="1">IF(AND(Table24[[#This Row],[ValidEPD]]&lt;&gt;0,Table24[[#This Row],[Man_Ausschluss]]&lt;&gt;0),1,0)</f>
        <v>0</v>
      </c>
      <c r="AM282" s="17" cm="1">
        <f t="array" aca="1" ref="AM282" ca="1">IF(Table24[[#This Row],[gültig]]&lt;&gt;0,
IF(
OR(
V282=MIN(_xlfn._xlws.FILTER($V$2:$V$298,($P$2:$P$298=P282)*($N$2:$N$298=N282)*($AL$2:$AL$298&lt;&gt;0))),
V282=MAX(_xlfn._xlws.FILTER($V$2:$V$298,($P$2:$P$298=P282)*($N$2:$N$298=N282)*($AL$2:$AL$298&lt;&gt;0))),
ROWS(_xlfn._xlws.FILTER($V$2:$V$298,($P$2:$P$298=P282)*($N$2:$N$298=N282)*($AL$2:$AL$298&lt;&gt;0)))&lt;=2
),1,0),0)</f>
        <v>0</v>
      </c>
      <c r="AN282" s="138"/>
      <c r="AO282" s="102"/>
      <c r="AP282" s="1"/>
      <c r="AQ282" s="269"/>
    </row>
    <row r="283" spans="1:43" x14ac:dyDescent="0.2">
      <c r="A283" s="282" t="s">
        <v>852</v>
      </c>
      <c r="B283" s="49"/>
      <c r="C283" s="276">
        <v>282</v>
      </c>
      <c r="D283" s="267" t="s">
        <v>853</v>
      </c>
      <c r="E283" s="263" t="s">
        <v>854</v>
      </c>
      <c r="F283" s="263"/>
      <c r="G283" s="265">
        <v>45643</v>
      </c>
      <c r="H283" s="265">
        <v>47468</v>
      </c>
      <c r="I283" s="264" t="s">
        <v>264</v>
      </c>
      <c r="J283" s="164" t="s">
        <v>264</v>
      </c>
      <c r="K283" s="278" t="s">
        <v>855</v>
      </c>
      <c r="L283" s="264" t="s">
        <v>841</v>
      </c>
      <c r="M283" s="264" t="s">
        <v>842</v>
      </c>
      <c r="N283" s="279" t="s">
        <v>849</v>
      </c>
      <c r="O283" s="263" t="s">
        <v>415</v>
      </c>
      <c r="P283" s="264">
        <v>21.5</v>
      </c>
      <c r="Q283" s="264">
        <v>1801</v>
      </c>
      <c r="R283" s="263" t="s">
        <v>415</v>
      </c>
      <c r="S283" s="264" t="s">
        <v>415</v>
      </c>
      <c r="T283" s="264" t="s">
        <v>415</v>
      </c>
      <c r="U283" s="266" t="s">
        <v>415</v>
      </c>
      <c r="V283" s="73">
        <f>SUM(Table24[[#This Row],[A1toA3_GWP]:[C1toC4_GWP]])</f>
        <v>59.967795669072743</v>
      </c>
      <c r="W283" s="73">
        <f>VLOOKUP(Table24[[#This Row],[Country PRODUCTION]],[2]Sheet1!$B$11:$F$30,4,FALSE)+Table24[[#This Row],[Total_GWP]]</f>
        <v>136.01779566907277</v>
      </c>
      <c r="X283" s="73">
        <f>VLOOKUP(Table24[[#This Row],[Country PRODUCTION]],[2]Sheet1!$B$11:$F$30,5,FALSE)+Table24[[#This Row],[Total_GWP]]</f>
        <v>67.76779566907274</v>
      </c>
      <c r="Y283" s="73">
        <f>Table24[[#This Row],[Total_GWP]]*Table24[[#This Row],[DENSITY]]/1000</f>
        <v>108.00200000000001</v>
      </c>
      <c r="Z283" s="280">
        <f>39.9/Table24[[#This Row],[DENSITY]]*1000</f>
        <v>22.154358689616881</v>
      </c>
      <c r="AA283" s="281">
        <f>(5.82*10^-1+1.87*2*10^1+6.42+2.37*10^1)/Table24[[#This Row],[DENSITY]]*1000</f>
        <v>37.813436979455865</v>
      </c>
      <c r="AB283" s="73"/>
      <c r="AC283" s="73"/>
      <c r="AD283" s="73"/>
      <c r="AE283" s="75"/>
      <c r="AF283" s="107"/>
      <c r="AG283" s="129"/>
      <c r="AH283" s="129"/>
      <c r="AI283" s="75"/>
      <c r="AJ283" s="385">
        <f ca="1">IF(OR($E283="Ecoinvent",$E283="Betonsortenrechner",$E283="KBOB",$V283&lt;=0,Table24[[#This Row],[VALID_TO]]&lt;=TODAY()),0,1)</f>
        <v>1</v>
      </c>
      <c r="AK283" s="199">
        <v>0</v>
      </c>
      <c r="AL283" s="199">
        <f ca="1">IF(AND(Table24[[#This Row],[ValidEPD]]&lt;&gt;0,Table24[[#This Row],[Man_Ausschluss]]&lt;&gt;0),1,0)</f>
        <v>0</v>
      </c>
      <c r="AM283" s="17" cm="1">
        <f t="array" aca="1" ref="AM283" ca="1">IF(Table24[[#This Row],[gültig]]&lt;&gt;0,
IF(
OR(
V283=MIN(_xlfn._xlws.FILTER($V$2:$V$298,($P$2:$P$298=P283)*($N$2:$N$298=N283)*($AL$2:$AL$298&lt;&gt;0))),
V283=MAX(_xlfn._xlws.FILTER($V$2:$V$298,($P$2:$P$298=P283)*($N$2:$N$298=N283)*($AL$2:$AL$298&lt;&gt;0))),
ROWS(_xlfn._xlws.FILTER($V$2:$V$298,($P$2:$P$298=P283)*($N$2:$N$298=N283)*($AL$2:$AL$298&lt;&gt;0)))&lt;=2
),1,0),0)</f>
        <v>0</v>
      </c>
      <c r="AN283" s="138"/>
      <c r="AO283" s="102"/>
      <c r="AP283" s="1"/>
    </row>
    <row r="284" spans="1:43" s="7" customFormat="1" x14ac:dyDescent="0.2">
      <c r="A284" s="190" t="s">
        <v>862</v>
      </c>
      <c r="B284" s="9"/>
      <c r="C284" s="97">
        <v>283</v>
      </c>
      <c r="D284" s="8" t="s">
        <v>415</v>
      </c>
      <c r="E284" s="191" t="s">
        <v>952</v>
      </c>
      <c r="F284" s="247" t="s">
        <v>884</v>
      </c>
      <c r="G284" s="220"/>
      <c r="H284" s="192"/>
      <c r="I284" s="193"/>
      <c r="J284" s="202"/>
      <c r="K284" s="203" t="s">
        <v>860</v>
      </c>
      <c r="L284" s="221" t="s">
        <v>841</v>
      </c>
      <c r="M284" s="8" t="s">
        <v>842</v>
      </c>
      <c r="N284" s="196" t="s">
        <v>849</v>
      </c>
      <c r="O284" s="191" t="s">
        <v>415</v>
      </c>
      <c r="P284" s="193" t="s">
        <v>415</v>
      </c>
      <c r="Q284" s="193">
        <v>900</v>
      </c>
      <c r="R284" s="191" t="s">
        <v>415</v>
      </c>
      <c r="S284" s="191" t="s">
        <v>415</v>
      </c>
      <c r="T284" s="191" t="s">
        <v>415</v>
      </c>
      <c r="U284" s="197" t="s">
        <v>415</v>
      </c>
      <c r="V284" s="138">
        <f>SUM(Table24[[#This Row],[A1toA3_GWP]:[C1toC4_GWP]])</f>
        <v>266.7</v>
      </c>
      <c r="W284" s="138"/>
      <c r="X284" s="138"/>
      <c r="Y284" s="138">
        <f>Table24[[#This Row],[Total_GWP]]*Table24[[#This Row],[DENSITY]]/1000</f>
        <v>240.03</v>
      </c>
      <c r="Z284" s="287">
        <v>254</v>
      </c>
      <c r="AA284" s="200">
        <v>12.7</v>
      </c>
      <c r="AB284" s="138"/>
      <c r="AC284" s="138"/>
      <c r="AD284" s="138"/>
      <c r="AE284" s="200"/>
      <c r="AF284" s="198">
        <f>371*1000</f>
        <v>371000</v>
      </c>
      <c r="AG284" s="199">
        <f>Table24[[#This Row],[Total_UBP]]*Table24[[#This Row],[DENSITY]]/1000</f>
        <v>333900</v>
      </c>
      <c r="AH284" s="199">
        <f>0.787*1000</f>
        <v>787</v>
      </c>
      <c r="AI284" s="200">
        <f>Table24[[#This Row],[Graue_Energie]]*Table24[[#This Row],[DENSITY]]/1000</f>
        <v>708.3</v>
      </c>
      <c r="AJ284" s="385">
        <f ca="1">IF(OR($E284="Ecoinvent",$E284="Betonsortenrechner",$E284="KBOB",$V284&lt;=0,Table24[[#This Row],[VALID_TO]]&lt;=TODAY()),0,1)</f>
        <v>0</v>
      </c>
      <c r="AK284" s="199">
        <v>1</v>
      </c>
      <c r="AL284" s="199">
        <f ca="1">IF(AND(Table24[[#This Row],[ValidEPD]]&lt;&gt;0,Table24[[#This Row],[Man_Ausschluss]]&lt;&gt;0),1,0)</f>
        <v>0</v>
      </c>
      <c r="AM284" s="17" cm="1">
        <f t="array" aca="1" ref="AM284" ca="1">IF(Table24[[#This Row],[gültig]]&lt;&gt;0,
IF(
OR(
V284=MIN(_xlfn._xlws.FILTER($V$2:$V$298,($P$2:$P$298=P284)*($N$2:$N$298=N284)*($AL$2:$AL$298&lt;&gt;0))),
V284=MAX(_xlfn._xlws.FILTER($V$2:$V$298,($P$2:$P$298=P284)*($N$2:$N$298=N284)*($AL$2:$AL$298&lt;&gt;0))),
ROWS(_xlfn._xlws.FILTER($V$2:$V$298,($P$2:$P$298=P284)*($N$2:$N$298=N284)*($AL$2:$AL$298&lt;&gt;0)))&lt;=2
),1,0),0)</f>
        <v>0</v>
      </c>
      <c r="AN284" s="138"/>
      <c r="AO284" s="102"/>
      <c r="AP284" s="1"/>
    </row>
    <row r="285" spans="1:43" s="7" customFormat="1" x14ac:dyDescent="0.2">
      <c r="A285" s="190" t="s">
        <v>863</v>
      </c>
      <c r="B285" s="49"/>
      <c r="C285" s="97">
        <v>284</v>
      </c>
      <c r="D285" s="8" t="s">
        <v>415</v>
      </c>
      <c r="E285" s="191" t="s">
        <v>952</v>
      </c>
      <c r="F285" s="247" t="s">
        <v>885</v>
      </c>
      <c r="G285" s="220"/>
      <c r="H285" s="192"/>
      <c r="I285" s="193"/>
      <c r="J285" s="202"/>
      <c r="K285" s="203" t="s">
        <v>861</v>
      </c>
      <c r="L285" s="221" t="s">
        <v>841</v>
      </c>
      <c r="M285" s="8" t="s">
        <v>842</v>
      </c>
      <c r="N285" s="196" t="s">
        <v>849</v>
      </c>
      <c r="O285" s="191" t="s">
        <v>415</v>
      </c>
      <c r="P285" s="193" t="s">
        <v>415</v>
      </c>
      <c r="Q285" s="193">
        <v>575</v>
      </c>
      <c r="R285" s="191" t="s">
        <v>415</v>
      </c>
      <c r="S285" s="191" t="s">
        <v>415</v>
      </c>
      <c r="T285" s="191" t="s">
        <v>415</v>
      </c>
      <c r="U285" s="197" t="s">
        <v>415</v>
      </c>
      <c r="V285" s="138">
        <f>SUM(Table24[[#This Row],[A1toA3_GWP]:[C1toC4_GWP]])</f>
        <v>282.7</v>
      </c>
      <c r="W285" s="138"/>
      <c r="X285" s="138"/>
      <c r="Y285" s="138">
        <f>Table24[[#This Row],[Total_GWP]]*Table24[[#This Row],[DENSITY]]/1000</f>
        <v>162.55250000000001</v>
      </c>
      <c r="Z285" s="287">
        <v>270</v>
      </c>
      <c r="AA285" s="200">
        <v>12.7</v>
      </c>
      <c r="AB285" s="138"/>
      <c r="AC285" s="138"/>
      <c r="AD285" s="138"/>
      <c r="AE285" s="200"/>
      <c r="AF285" s="198">
        <f>420*1000</f>
        <v>420000</v>
      </c>
      <c r="AG285" s="199">
        <f>Table24[[#This Row],[Total_UBP]]*Table24[[#This Row],[DENSITY]]/1000</f>
        <v>241500</v>
      </c>
      <c r="AH285" s="199">
        <f>0.914*1000</f>
        <v>914</v>
      </c>
      <c r="AI285" s="200">
        <f>Table24[[#This Row],[Graue_Energie]]*Table24[[#This Row],[DENSITY]]/1000</f>
        <v>525.54999999999995</v>
      </c>
      <c r="AJ285" s="385">
        <f ca="1">IF(OR($E285="Ecoinvent",$E285="Betonsortenrechner",$E285="KBOB",$V285&lt;=0,Table24[[#This Row],[VALID_TO]]&lt;=TODAY()),0,1)</f>
        <v>0</v>
      </c>
      <c r="AK285" s="199">
        <v>1</v>
      </c>
      <c r="AL285" s="199">
        <f ca="1">IF(AND(Table24[[#This Row],[ValidEPD]]&lt;&gt;0,Table24[[#This Row],[Man_Ausschluss]]&lt;&gt;0),1,0)</f>
        <v>0</v>
      </c>
      <c r="AM285" s="17" cm="1">
        <f t="array" aca="1" ref="AM285" ca="1">IF(Table24[[#This Row],[gültig]]&lt;&gt;0,
IF(
OR(
V285=MIN(_xlfn._xlws.FILTER($V$2:$V$298,($P$2:$P$298=P285)*($N$2:$N$298=N285)*($AL$2:$AL$298&lt;&gt;0))),
V285=MAX(_xlfn._xlws.FILTER($V$2:$V$298,($P$2:$P$298=P285)*($N$2:$N$298=N285)*($AL$2:$AL$298&lt;&gt;0))),
ROWS(_xlfn._xlws.FILTER($V$2:$V$298,($P$2:$P$298=P285)*($N$2:$N$298=N285)*($AL$2:$AL$298&lt;&gt;0)))&lt;=2
),1,0),0)</f>
        <v>0</v>
      </c>
      <c r="AN285" s="138"/>
      <c r="AO285" s="102"/>
      <c r="AP285" s="1"/>
    </row>
    <row r="286" spans="1:43" x14ac:dyDescent="0.2">
      <c r="A286" s="190" t="s">
        <v>874</v>
      </c>
      <c r="B286" s="9"/>
      <c r="C286" s="97">
        <v>285</v>
      </c>
      <c r="D286" s="8" t="s">
        <v>415</v>
      </c>
      <c r="E286" s="191" t="s">
        <v>952</v>
      </c>
      <c r="F286" s="191" t="s">
        <v>886</v>
      </c>
      <c r="G286" s="265"/>
      <c r="H286" s="264"/>
      <c r="I286" s="264"/>
      <c r="J286" s="164"/>
      <c r="K286" s="203" t="s">
        <v>864</v>
      </c>
      <c r="L286" s="221" t="s">
        <v>841</v>
      </c>
      <c r="M286" s="8" t="s">
        <v>842</v>
      </c>
      <c r="N286" s="196" t="s">
        <v>849</v>
      </c>
      <c r="O286" s="191" t="s">
        <v>415</v>
      </c>
      <c r="P286" s="193" t="s">
        <v>415</v>
      </c>
      <c r="Q286" s="193">
        <v>1400</v>
      </c>
      <c r="R286" s="191" t="s">
        <v>415</v>
      </c>
      <c r="S286" s="191" t="s">
        <v>415</v>
      </c>
      <c r="T286" s="191" t="s">
        <v>415</v>
      </c>
      <c r="U286" s="197" t="s">
        <v>415</v>
      </c>
      <c r="V286" s="138">
        <f>SUM(Table24[[#This Row],[A1toA3_GWP]:[C1toC4_GWP]])</f>
        <v>161.69999999999999</v>
      </c>
      <c r="W286" s="138"/>
      <c r="X286" s="138"/>
      <c r="Y286" s="138">
        <f>Table24[[#This Row],[Total_GWP]]*Table24[[#This Row],[DENSITY]]/1000</f>
        <v>226.37999999999997</v>
      </c>
      <c r="Z286" s="287">
        <v>149</v>
      </c>
      <c r="AA286" s="200">
        <v>12.7</v>
      </c>
      <c r="AB286" s="73"/>
      <c r="AC286" s="73"/>
      <c r="AD286" s="73"/>
      <c r="AE286" s="75"/>
      <c r="AF286" s="198">
        <f>258*1000</f>
        <v>258000</v>
      </c>
      <c r="AG286" s="199">
        <f>Table24[[#This Row],[Total_UBP]]*Table24[[#This Row],[DENSITY]]/1000</f>
        <v>361200</v>
      </c>
      <c r="AH286" s="199">
        <f>0.389*1000</f>
        <v>389</v>
      </c>
      <c r="AI286" s="200">
        <f>Table24[[#This Row],[Graue_Energie]]*Table24[[#This Row],[DENSITY]]/1000</f>
        <v>544.6</v>
      </c>
      <c r="AJ286" s="385">
        <f ca="1">IF(OR($E286="Ecoinvent",$E286="Betonsortenrechner",$E286="KBOB",$V286&lt;=0,Table24[[#This Row],[VALID_TO]]&lt;=TODAY()),0,1)</f>
        <v>0</v>
      </c>
      <c r="AK286" s="199">
        <v>1</v>
      </c>
      <c r="AL286" s="199">
        <f ca="1">IF(AND(Table24[[#This Row],[ValidEPD]]&lt;&gt;0,Table24[[#This Row],[Man_Ausschluss]]&lt;&gt;0),1,0)</f>
        <v>0</v>
      </c>
      <c r="AM286" s="17" cm="1">
        <f t="array" aca="1" ref="AM286" ca="1">IF(Table24[[#This Row],[gültig]]&lt;&gt;0,
IF(
OR(
V286=MIN(_xlfn._xlws.FILTER($V$2:$V$298,($P$2:$P$298=P286)*($N$2:$N$298=N286)*($AL$2:$AL$298&lt;&gt;0))),
V286=MAX(_xlfn._xlws.FILTER($V$2:$V$298,($P$2:$P$298=P286)*($N$2:$N$298=N286)*($AL$2:$AL$298&lt;&gt;0))),
ROWS(_xlfn._xlws.FILTER($V$2:$V$298,($P$2:$P$298=P286)*($N$2:$N$298=N286)*($AL$2:$AL$298&lt;&gt;0)))&lt;=2
),1,0),0)</f>
        <v>0</v>
      </c>
      <c r="AN286" s="56"/>
      <c r="AO286" s="102"/>
      <c r="AP286" s="1"/>
    </row>
    <row r="287" spans="1:43" x14ac:dyDescent="0.2">
      <c r="A287" s="190" t="s">
        <v>875</v>
      </c>
      <c r="B287" s="9"/>
      <c r="C287" s="97">
        <v>286</v>
      </c>
      <c r="D287" s="8" t="s">
        <v>415</v>
      </c>
      <c r="E287" s="191" t="s">
        <v>952</v>
      </c>
      <c r="F287" s="191" t="s">
        <v>887</v>
      </c>
      <c r="G287" s="265"/>
      <c r="H287" s="264"/>
      <c r="I287" s="264"/>
      <c r="J287" s="164"/>
      <c r="K287" s="203" t="s">
        <v>865</v>
      </c>
      <c r="L287" s="221" t="s">
        <v>841</v>
      </c>
      <c r="M287" s="8" t="s">
        <v>842</v>
      </c>
      <c r="N287" s="196" t="s">
        <v>849</v>
      </c>
      <c r="O287" s="191" t="s">
        <v>415</v>
      </c>
      <c r="P287" s="193" t="s">
        <v>415</v>
      </c>
      <c r="Q287" s="193">
        <f>AVERAGE(1200,2000)</f>
        <v>1600</v>
      </c>
      <c r="R287" s="191" t="s">
        <v>415</v>
      </c>
      <c r="S287" s="191" t="s">
        <v>415</v>
      </c>
      <c r="T287" s="191" t="s">
        <v>415</v>
      </c>
      <c r="U287" s="197" t="s">
        <v>415</v>
      </c>
      <c r="V287" s="138">
        <f>SUM(Table24[[#This Row],[A1toA3_GWP]:[C1toC4_GWP]])</f>
        <v>114.7</v>
      </c>
      <c r="W287" s="138"/>
      <c r="X287" s="138"/>
      <c r="Y287" s="138">
        <f>Table24[[#This Row],[Total_GWP]]*Table24[[#This Row],[DENSITY]]/1000</f>
        <v>183.52</v>
      </c>
      <c r="Z287" s="287">
        <v>102</v>
      </c>
      <c r="AA287" s="200">
        <v>12.7</v>
      </c>
      <c r="AB287" s="73"/>
      <c r="AC287" s="73"/>
      <c r="AD287" s="73"/>
      <c r="AE287" s="75"/>
      <c r="AF287" s="198">
        <f>196*1000</f>
        <v>196000</v>
      </c>
      <c r="AG287" s="199">
        <f>Table24[[#This Row],[Total_UBP]]*Table24[[#This Row],[DENSITY]]/1000</f>
        <v>313600</v>
      </c>
      <c r="AH287" s="199">
        <f>0.315*1000</f>
        <v>315</v>
      </c>
      <c r="AI287" s="200">
        <f>Table24[[#This Row],[Graue_Energie]]*Table24[[#This Row],[DENSITY]]/1000</f>
        <v>504</v>
      </c>
      <c r="AJ287" s="385">
        <f ca="1">IF(OR($E287="Ecoinvent",$E287="Betonsortenrechner",$E287="KBOB",$V287&lt;=0,Table24[[#This Row],[VALID_TO]]&lt;=TODAY()),0,1)</f>
        <v>0</v>
      </c>
      <c r="AK287" s="199">
        <v>1</v>
      </c>
      <c r="AL287" s="199">
        <f ca="1">IF(AND(Table24[[#This Row],[ValidEPD]]&lt;&gt;0,Table24[[#This Row],[Man_Ausschluss]]&lt;&gt;0),1,0)</f>
        <v>0</v>
      </c>
      <c r="AM287" s="17" cm="1">
        <f t="array" aca="1" ref="AM287" ca="1">IF(Table24[[#This Row],[gültig]]&lt;&gt;0,
IF(
OR(
V287=MIN(_xlfn._xlws.FILTER($V$2:$V$298,($P$2:$P$298=P287)*($N$2:$N$298=N287)*($AL$2:$AL$298&lt;&gt;0))),
V287=MAX(_xlfn._xlws.FILTER($V$2:$V$298,($P$2:$P$298=P287)*($N$2:$N$298=N287)*($AL$2:$AL$298&lt;&gt;0))),
ROWS(_xlfn._xlws.FILTER($V$2:$V$298,($P$2:$P$298=P287)*($N$2:$N$298=N287)*($AL$2:$AL$298&lt;&gt;0)))&lt;=2
),1,0),0)</f>
        <v>0</v>
      </c>
      <c r="AN287" s="56"/>
      <c r="AO287" s="102"/>
      <c r="AP287" s="1"/>
    </row>
    <row r="288" spans="1:43" x14ac:dyDescent="0.2">
      <c r="A288" s="190" t="s">
        <v>876</v>
      </c>
      <c r="B288" s="9"/>
      <c r="C288" s="97">
        <v>287</v>
      </c>
      <c r="D288" s="8" t="s">
        <v>415</v>
      </c>
      <c r="E288" s="191" t="s">
        <v>952</v>
      </c>
      <c r="F288" s="191" t="s">
        <v>888</v>
      </c>
      <c r="G288" s="163"/>
      <c r="H288" s="264"/>
      <c r="I288" s="264"/>
      <c r="J288" s="164"/>
      <c r="K288" s="203" t="s">
        <v>866</v>
      </c>
      <c r="L288" s="221" t="s">
        <v>841</v>
      </c>
      <c r="M288" s="8" t="s">
        <v>842</v>
      </c>
      <c r="N288" s="196" t="s">
        <v>849</v>
      </c>
      <c r="O288" s="191" t="s">
        <v>415</v>
      </c>
      <c r="P288" s="193" t="s">
        <v>415</v>
      </c>
      <c r="Q288" s="193">
        <f>AVERAGE(1200,2000)</f>
        <v>1600</v>
      </c>
      <c r="R288" s="191" t="s">
        <v>415</v>
      </c>
      <c r="S288" s="191" t="s">
        <v>415</v>
      </c>
      <c r="T288" s="191" t="s">
        <v>415</v>
      </c>
      <c r="U288" s="197" t="s">
        <v>415</v>
      </c>
      <c r="V288" s="138">
        <f>SUM(Table24[[#This Row],[A1toA3_GWP]:[C1toC4_GWP]])</f>
        <v>106.5</v>
      </c>
      <c r="W288" s="138"/>
      <c r="X288" s="138"/>
      <c r="Y288" s="138">
        <f>Table24[[#This Row],[Total_GWP]]*Table24[[#This Row],[DENSITY]]/1000</f>
        <v>170.4</v>
      </c>
      <c r="Z288" s="287">
        <v>93.8</v>
      </c>
      <c r="AA288" s="200">
        <v>12.7</v>
      </c>
      <c r="AB288" s="73"/>
      <c r="AC288" s="73"/>
      <c r="AD288" s="73"/>
      <c r="AE288" s="75"/>
      <c r="AF288" s="198">
        <f>190*1000</f>
        <v>190000</v>
      </c>
      <c r="AG288" s="199">
        <f>Table24[[#This Row],[Total_UBP]]*Table24[[#This Row],[DENSITY]]/1000</f>
        <v>304000</v>
      </c>
      <c r="AH288" s="199">
        <f>0.287*1000</f>
        <v>287</v>
      </c>
      <c r="AI288" s="200">
        <f>Table24[[#This Row],[Graue_Energie]]*Table24[[#This Row],[DENSITY]]/1000</f>
        <v>459.2</v>
      </c>
      <c r="AJ288" s="385">
        <f ca="1">IF(OR($E288="Ecoinvent",$E288="Betonsortenrechner",$E288="KBOB",$V288&lt;=0,Table24[[#This Row],[VALID_TO]]&lt;=TODAY()),0,1)</f>
        <v>0</v>
      </c>
      <c r="AK288" s="199">
        <v>1</v>
      </c>
      <c r="AL288" s="199">
        <f ca="1">IF(AND(Table24[[#This Row],[ValidEPD]]&lt;&gt;0,Table24[[#This Row],[Man_Ausschluss]]&lt;&gt;0),1,0)</f>
        <v>0</v>
      </c>
      <c r="AM288" s="17" cm="1">
        <f t="array" aca="1" ref="AM288" ca="1">IF(Table24[[#This Row],[gültig]]&lt;&gt;0,
IF(
OR(
V288=MIN(_xlfn._xlws.FILTER($V$2:$V$298,($P$2:$P$298=P288)*($N$2:$N$298=N288)*($AL$2:$AL$298&lt;&gt;0))),
V288=MAX(_xlfn._xlws.FILTER($V$2:$V$298,($P$2:$P$298=P288)*($N$2:$N$298=N288)*($AL$2:$AL$298&lt;&gt;0))),
ROWS(_xlfn._xlws.FILTER($V$2:$V$298,($P$2:$P$298=P288)*($N$2:$N$298=N288)*($AL$2:$AL$298&lt;&gt;0)))&lt;=2
),1,0),0)</f>
        <v>0</v>
      </c>
      <c r="AN288" s="56"/>
      <c r="AO288" s="102"/>
      <c r="AP288" s="1"/>
    </row>
    <row r="289" spans="1:42" x14ac:dyDescent="0.2">
      <c r="A289" s="190" t="s">
        <v>877</v>
      </c>
      <c r="B289" s="9"/>
      <c r="C289" s="97">
        <v>288</v>
      </c>
      <c r="D289" s="8" t="s">
        <v>415</v>
      </c>
      <c r="E289" s="191" t="s">
        <v>952</v>
      </c>
      <c r="F289" s="191" t="s">
        <v>889</v>
      </c>
      <c r="G289" s="265"/>
      <c r="H289" s="264"/>
      <c r="I289" s="264"/>
      <c r="J289" s="164"/>
      <c r="K289" s="203" t="s">
        <v>867</v>
      </c>
      <c r="L289" s="221" t="s">
        <v>841</v>
      </c>
      <c r="M289" s="8" t="s">
        <v>842</v>
      </c>
      <c r="N289" s="196" t="s">
        <v>849</v>
      </c>
      <c r="O289" s="191" t="s">
        <v>415</v>
      </c>
      <c r="P289" s="193" t="s">
        <v>415</v>
      </c>
      <c r="Q289" s="193">
        <v>700</v>
      </c>
      <c r="R289" s="191" t="s">
        <v>415</v>
      </c>
      <c r="S289" s="191" t="s">
        <v>415</v>
      </c>
      <c r="T289" s="191" t="s">
        <v>415</v>
      </c>
      <c r="U289" s="197" t="s">
        <v>415</v>
      </c>
      <c r="V289" s="138">
        <f>SUM(Table24[[#This Row],[A1toA3_GWP]:[C1toC4_GWP]])</f>
        <v>179.7</v>
      </c>
      <c r="W289" s="138"/>
      <c r="X289" s="138"/>
      <c r="Y289" s="138">
        <f>Table24[[#This Row],[Total_GWP]]*Table24[[#This Row],[DENSITY]]/1000</f>
        <v>125.78999999999999</v>
      </c>
      <c r="Z289" s="287">
        <v>167</v>
      </c>
      <c r="AA289" s="200">
        <v>12.7</v>
      </c>
      <c r="AB289" s="73"/>
      <c r="AC289" s="73"/>
      <c r="AD289" s="73"/>
      <c r="AE289" s="75"/>
      <c r="AF289" s="198">
        <f>353*1000</f>
        <v>353000</v>
      </c>
      <c r="AG289" s="199">
        <f>Table24[[#This Row],[Total_UBP]]*Table24[[#This Row],[DENSITY]]/1000</f>
        <v>247100</v>
      </c>
      <c r="AH289" s="199">
        <f>0.764*1000</f>
        <v>764</v>
      </c>
      <c r="AI289" s="200">
        <f>Table24[[#This Row],[Graue_Energie]]*Table24[[#This Row],[DENSITY]]/1000</f>
        <v>534.79999999999995</v>
      </c>
      <c r="AJ289" s="385">
        <f ca="1">IF(OR($E289="Ecoinvent",$E289="Betonsortenrechner",$E289="KBOB",$V289&lt;=0,Table24[[#This Row],[VALID_TO]]&lt;=TODAY()),0,1)</f>
        <v>0</v>
      </c>
      <c r="AK289" s="199">
        <v>1</v>
      </c>
      <c r="AL289" s="199">
        <f ca="1">IF(AND(Table24[[#This Row],[ValidEPD]]&lt;&gt;0,Table24[[#This Row],[Man_Ausschluss]]&lt;&gt;0),1,0)</f>
        <v>0</v>
      </c>
      <c r="AM289" s="17" cm="1">
        <f t="array" aca="1" ref="AM289" ca="1">IF(Table24[[#This Row],[gültig]]&lt;&gt;0,
IF(
OR(
V289=MIN(_xlfn._xlws.FILTER($V$2:$V$298,($P$2:$P$298=P289)*($N$2:$N$298=N289)*($AL$2:$AL$298&lt;&gt;0))),
V289=MAX(_xlfn._xlws.FILTER($V$2:$V$298,($P$2:$P$298=P289)*($N$2:$N$298=N289)*($AL$2:$AL$298&lt;&gt;0))),
ROWS(_xlfn._xlws.FILTER($V$2:$V$298,($P$2:$P$298=P289)*($N$2:$N$298=N289)*($AL$2:$AL$298&lt;&gt;0)))&lt;=2
),1,0),0)</f>
        <v>0</v>
      </c>
      <c r="AN289" s="56"/>
      <c r="AO289" s="102"/>
      <c r="AP289" s="1"/>
    </row>
    <row r="290" spans="1:42" x14ac:dyDescent="0.2">
      <c r="A290" s="190" t="s">
        <v>878</v>
      </c>
      <c r="B290" s="9"/>
      <c r="C290" s="97">
        <v>289</v>
      </c>
      <c r="D290" s="8" t="s">
        <v>415</v>
      </c>
      <c r="E290" s="191" t="s">
        <v>952</v>
      </c>
      <c r="F290" s="191" t="s">
        <v>890</v>
      </c>
      <c r="G290" s="265"/>
      <c r="H290" s="264"/>
      <c r="I290" s="264"/>
      <c r="J290" s="164"/>
      <c r="K290" s="203" t="s">
        <v>868</v>
      </c>
      <c r="L290" s="221" t="s">
        <v>841</v>
      </c>
      <c r="M290" s="8" t="s">
        <v>842</v>
      </c>
      <c r="N290" s="196" t="s">
        <v>849</v>
      </c>
      <c r="O290" s="191" t="s">
        <v>415</v>
      </c>
      <c r="P290" s="193" t="s">
        <v>415</v>
      </c>
      <c r="Q290" s="193">
        <v>1200</v>
      </c>
      <c r="R290" s="191" t="s">
        <v>415</v>
      </c>
      <c r="S290" s="191" t="s">
        <v>415</v>
      </c>
      <c r="T290" s="191" t="s">
        <v>415</v>
      </c>
      <c r="U290" s="197" t="s">
        <v>415</v>
      </c>
      <c r="V290" s="138">
        <f>SUM(Table24[[#This Row],[A1toA3_GWP]:[C1toC4_GWP]])</f>
        <v>427.7</v>
      </c>
      <c r="W290" s="138"/>
      <c r="X290" s="138"/>
      <c r="Y290" s="138">
        <f>Table24[[#This Row],[Total_GWP]]*Table24[[#This Row],[DENSITY]]/1000</f>
        <v>513.24</v>
      </c>
      <c r="Z290" s="287">
        <v>415</v>
      </c>
      <c r="AA290" s="200">
        <v>12.7</v>
      </c>
      <c r="AB290" s="73"/>
      <c r="AC290" s="73"/>
      <c r="AD290" s="73"/>
      <c r="AE290" s="75"/>
      <c r="AF290" s="198">
        <f>609*1000</f>
        <v>609000</v>
      </c>
      <c r="AG290" s="199">
        <f>Table24[[#This Row],[Total_UBP]]*Table24[[#This Row],[DENSITY]]/1000</f>
        <v>730800</v>
      </c>
      <c r="AH290" s="199">
        <f>1.42*1000</f>
        <v>1420</v>
      </c>
      <c r="AI290" s="200">
        <f>Table24[[#This Row],[Graue_Energie]]*Table24[[#This Row],[DENSITY]]/1000</f>
        <v>1704</v>
      </c>
      <c r="AJ290" s="385">
        <f ca="1">IF(OR($E290="Ecoinvent",$E290="Betonsortenrechner",$E290="KBOB",$V290&lt;=0,Table24[[#This Row],[VALID_TO]]&lt;=TODAY()),0,1)</f>
        <v>0</v>
      </c>
      <c r="AK290" s="199">
        <v>1</v>
      </c>
      <c r="AL290" s="199">
        <f ca="1">IF(AND(Table24[[#This Row],[ValidEPD]]&lt;&gt;0,Table24[[#This Row],[Man_Ausschluss]]&lt;&gt;0),1,0)</f>
        <v>0</v>
      </c>
      <c r="AM290" s="17" cm="1">
        <f t="array" aca="1" ref="AM290" ca="1">IF(Table24[[#This Row],[gültig]]&lt;&gt;0,
IF(
OR(
V290=MIN(_xlfn._xlws.FILTER($V$2:$V$298,($P$2:$P$298=P290)*($N$2:$N$298=N290)*($AL$2:$AL$298&lt;&gt;0))),
V290=MAX(_xlfn._xlws.FILTER($V$2:$V$298,($P$2:$P$298=P290)*($N$2:$N$298=N290)*($AL$2:$AL$298&lt;&gt;0))),
ROWS(_xlfn._xlws.FILTER($V$2:$V$298,($P$2:$P$298=P290)*($N$2:$N$298=N290)*($AL$2:$AL$298&lt;&gt;0)))&lt;=2
),1,0),0)</f>
        <v>0</v>
      </c>
      <c r="AN290" s="56"/>
      <c r="AO290" s="102"/>
      <c r="AP290" s="1"/>
    </row>
    <row r="291" spans="1:42" x14ac:dyDescent="0.2">
      <c r="A291" s="190" t="s">
        <v>879</v>
      </c>
      <c r="B291" s="9"/>
      <c r="C291" s="97">
        <v>290</v>
      </c>
      <c r="D291" s="8" t="s">
        <v>415</v>
      </c>
      <c r="E291" s="191" t="s">
        <v>952</v>
      </c>
      <c r="F291" s="191" t="s">
        <v>891</v>
      </c>
      <c r="G291" s="265"/>
      <c r="H291" s="264"/>
      <c r="I291" s="264"/>
      <c r="J291" s="164"/>
      <c r="K291" s="203" t="s">
        <v>869</v>
      </c>
      <c r="L291" s="221" t="s">
        <v>841</v>
      </c>
      <c r="M291" s="8" t="s">
        <v>842</v>
      </c>
      <c r="N291" s="196" t="s">
        <v>849</v>
      </c>
      <c r="O291" s="191" t="s">
        <v>415</v>
      </c>
      <c r="P291" s="193" t="s">
        <v>415</v>
      </c>
      <c r="Q291" s="193">
        <v>1200</v>
      </c>
      <c r="R291" s="191" t="s">
        <v>415</v>
      </c>
      <c r="S291" s="191" t="s">
        <v>415</v>
      </c>
      <c r="T291" s="191" t="s">
        <v>415</v>
      </c>
      <c r="U291" s="197" t="s">
        <v>415</v>
      </c>
      <c r="V291" s="138">
        <f>SUM(Table24[[#This Row],[A1toA3_GWP]:[C1toC4_GWP]])</f>
        <v>212.7</v>
      </c>
      <c r="W291" s="138"/>
      <c r="X291" s="138"/>
      <c r="Y291" s="138">
        <f>Table24[[#This Row],[Total_GWP]]*Table24[[#This Row],[DENSITY]]/1000</f>
        <v>255.24</v>
      </c>
      <c r="Z291" s="287">
        <v>200</v>
      </c>
      <c r="AA291" s="200">
        <v>12.7</v>
      </c>
      <c r="AB291" s="73"/>
      <c r="AC291" s="73"/>
      <c r="AD291" s="73"/>
      <c r="AE291" s="75"/>
      <c r="AF291" s="198">
        <f>322*1000</f>
        <v>322000</v>
      </c>
      <c r="AG291" s="199">
        <f>Table24[[#This Row],[Total_UBP]]*Table24[[#This Row],[DENSITY]]/1000</f>
        <v>386400</v>
      </c>
      <c r="AH291" s="199">
        <f>0.363*1000</f>
        <v>363</v>
      </c>
      <c r="AI291" s="200">
        <f>Table24[[#This Row],[Graue_Energie]]*Table24[[#This Row],[DENSITY]]/1000</f>
        <v>435.6</v>
      </c>
      <c r="AJ291" s="385">
        <f ca="1">IF(OR($E291="Ecoinvent",$E291="Betonsortenrechner",$E291="KBOB",$V291&lt;=0,Table24[[#This Row],[VALID_TO]]&lt;=TODAY()),0,1)</f>
        <v>0</v>
      </c>
      <c r="AK291" s="199">
        <v>1</v>
      </c>
      <c r="AL291" s="199">
        <f ca="1">IF(AND(Table24[[#This Row],[ValidEPD]]&lt;&gt;0,Table24[[#This Row],[Man_Ausschluss]]&lt;&gt;0),1,0)</f>
        <v>0</v>
      </c>
      <c r="AM291" s="17" cm="1">
        <f t="array" aca="1" ref="AM291" ca="1">IF(Table24[[#This Row],[gültig]]&lt;&gt;0,
IF(
OR(
V291=MIN(_xlfn._xlws.FILTER($V$2:$V$298,($P$2:$P$298=P291)*($N$2:$N$298=N291)*($AL$2:$AL$298&lt;&gt;0))),
V291=MAX(_xlfn._xlws.FILTER($V$2:$V$298,($P$2:$P$298=P291)*($N$2:$N$298=N291)*($AL$2:$AL$298&lt;&gt;0))),
ROWS(_xlfn._xlws.FILTER($V$2:$V$298,($P$2:$P$298=P291)*($N$2:$N$298=N291)*($AL$2:$AL$298&lt;&gt;0)))&lt;=2
),1,0),0)</f>
        <v>0</v>
      </c>
      <c r="AN291" s="56"/>
      <c r="AO291" s="102"/>
      <c r="AP291" s="1"/>
    </row>
    <row r="292" spans="1:42" x14ac:dyDescent="0.2">
      <c r="A292" s="190" t="s">
        <v>880</v>
      </c>
      <c r="B292" s="9"/>
      <c r="C292" s="97">
        <v>291</v>
      </c>
      <c r="D292" s="8" t="s">
        <v>415</v>
      </c>
      <c r="E292" s="191" t="s">
        <v>952</v>
      </c>
      <c r="F292" s="191" t="s">
        <v>892</v>
      </c>
      <c r="G292" s="265"/>
      <c r="H292" s="264"/>
      <c r="I292" s="264"/>
      <c r="J292" s="164"/>
      <c r="K292" s="203" t="s">
        <v>870</v>
      </c>
      <c r="L292" s="221" t="s">
        <v>841</v>
      </c>
      <c r="M292" s="8" t="s">
        <v>842</v>
      </c>
      <c r="N292" s="196" t="s">
        <v>849</v>
      </c>
      <c r="O292" s="191" t="s">
        <v>415</v>
      </c>
      <c r="P292" s="193" t="s">
        <v>415</v>
      </c>
      <c r="Q292" s="193">
        <v>500</v>
      </c>
      <c r="R292" s="191" t="s">
        <v>415</v>
      </c>
      <c r="S292" s="191" t="s">
        <v>415</v>
      </c>
      <c r="T292" s="191" t="s">
        <v>415</v>
      </c>
      <c r="U292" s="197" t="s">
        <v>415</v>
      </c>
      <c r="V292" s="138">
        <f>SUM(Table24[[#This Row],[A1toA3_GWP]:[C1toC4_GWP]])</f>
        <v>425.7</v>
      </c>
      <c r="W292" s="138"/>
      <c r="X292" s="138"/>
      <c r="Y292" s="138">
        <f>Table24[[#This Row],[Total_GWP]]*Table24[[#This Row],[DENSITY]]/1000</f>
        <v>212.85</v>
      </c>
      <c r="Z292" s="287">
        <v>413</v>
      </c>
      <c r="AA292" s="200">
        <v>12.7</v>
      </c>
      <c r="AB292" s="73"/>
      <c r="AC292" s="73"/>
      <c r="AD292" s="73"/>
      <c r="AE292" s="75"/>
      <c r="AF292" s="198">
        <f>573*1000</f>
        <v>573000</v>
      </c>
      <c r="AG292" s="199">
        <f>Table24[[#This Row],[Total_UBP]]*Table24[[#This Row],[DENSITY]]/1000</f>
        <v>286500</v>
      </c>
      <c r="AH292" s="199">
        <f>0.86*1000</f>
        <v>860</v>
      </c>
      <c r="AI292" s="200">
        <f>Table24[[#This Row],[Graue_Energie]]*Table24[[#This Row],[DENSITY]]/1000</f>
        <v>430</v>
      </c>
      <c r="AJ292" s="385">
        <f ca="1">IF(OR($E292="Ecoinvent",$E292="Betonsortenrechner",$E292="KBOB",$V292&lt;=0,Table24[[#This Row],[VALID_TO]]&lt;=TODAY()),0,1)</f>
        <v>0</v>
      </c>
      <c r="AK292" s="199">
        <v>1</v>
      </c>
      <c r="AL292" s="199">
        <f ca="1">IF(AND(Table24[[#This Row],[ValidEPD]]&lt;&gt;0,Table24[[#This Row],[Man_Ausschluss]]&lt;&gt;0),1,0)</f>
        <v>0</v>
      </c>
      <c r="AM292" s="17" cm="1">
        <f t="array" aca="1" ref="AM292" ca="1">IF(Table24[[#This Row],[gültig]]&lt;&gt;0,
IF(
OR(
V292=MIN(_xlfn._xlws.FILTER($V$2:$V$298,($P$2:$P$298=P292)*($N$2:$N$298=N292)*($AL$2:$AL$298&lt;&gt;0))),
V292=MAX(_xlfn._xlws.FILTER($V$2:$V$298,($P$2:$P$298=P292)*($N$2:$N$298=N292)*($AL$2:$AL$298&lt;&gt;0))),
ROWS(_xlfn._xlws.FILTER($V$2:$V$298,($P$2:$P$298=P292)*($N$2:$N$298=N292)*($AL$2:$AL$298&lt;&gt;0)))&lt;=2
),1,0),0)</f>
        <v>0</v>
      </c>
      <c r="AN292" s="56"/>
      <c r="AO292" s="102"/>
      <c r="AP292" s="1"/>
    </row>
    <row r="293" spans="1:42" x14ac:dyDescent="0.2">
      <c r="A293" s="190" t="s">
        <v>881</v>
      </c>
      <c r="B293" s="9"/>
      <c r="C293" s="97">
        <v>292</v>
      </c>
      <c r="D293" s="8" t="s">
        <v>415</v>
      </c>
      <c r="E293" s="191" t="s">
        <v>952</v>
      </c>
      <c r="F293" s="191" t="s">
        <v>893</v>
      </c>
      <c r="G293" s="265"/>
      <c r="H293" s="264"/>
      <c r="I293" s="264"/>
      <c r="J293" s="164"/>
      <c r="K293" s="203" t="s">
        <v>871</v>
      </c>
      <c r="L293" s="221" t="s">
        <v>841</v>
      </c>
      <c r="M293" s="8" t="s">
        <v>842</v>
      </c>
      <c r="N293" s="196" t="s">
        <v>849</v>
      </c>
      <c r="O293" s="191" t="s">
        <v>415</v>
      </c>
      <c r="P293" s="193" t="s">
        <v>415</v>
      </c>
      <c r="Q293" s="193">
        <v>1700</v>
      </c>
      <c r="R293" s="191" t="s">
        <v>415</v>
      </c>
      <c r="S293" s="191" t="s">
        <v>415</v>
      </c>
      <c r="T293" s="191" t="s">
        <v>415</v>
      </c>
      <c r="U293" s="197" t="s">
        <v>415</v>
      </c>
      <c r="V293" s="138">
        <f>SUM(Table24[[#This Row],[A1toA3_GWP]:[C1toC4_GWP]])</f>
        <v>126.7</v>
      </c>
      <c r="W293" s="138"/>
      <c r="X293" s="138"/>
      <c r="Y293" s="138">
        <f>Table24[[#This Row],[Total_GWP]]*Table24[[#This Row],[DENSITY]]/1000</f>
        <v>215.39</v>
      </c>
      <c r="Z293" s="287">
        <v>114</v>
      </c>
      <c r="AA293" s="200">
        <v>12.7</v>
      </c>
      <c r="AB293" s="73"/>
      <c r="AC293" s="73"/>
      <c r="AD293" s="73"/>
      <c r="AE293" s="75"/>
      <c r="AF293" s="198">
        <f>214*1000</f>
        <v>214000</v>
      </c>
      <c r="AG293" s="199">
        <f>Table24[[#This Row],[Total_UBP]]*Table24[[#This Row],[DENSITY]]/1000</f>
        <v>363800</v>
      </c>
      <c r="AH293" s="199">
        <f>0.225*1000</f>
        <v>225</v>
      </c>
      <c r="AI293" s="200">
        <f>Table24[[#This Row],[Graue_Energie]]*Table24[[#This Row],[DENSITY]]/1000</f>
        <v>382.5</v>
      </c>
      <c r="AJ293" s="385">
        <f ca="1">IF(OR($E293="Ecoinvent",$E293="Betonsortenrechner",$E293="KBOB",$V293&lt;=0,Table24[[#This Row],[VALID_TO]]&lt;=TODAY()),0,1)</f>
        <v>0</v>
      </c>
      <c r="AK293" s="199">
        <v>1</v>
      </c>
      <c r="AL293" s="199">
        <f ca="1">IF(AND(Table24[[#This Row],[ValidEPD]]&lt;&gt;0,Table24[[#This Row],[Man_Ausschluss]]&lt;&gt;0),1,0)</f>
        <v>0</v>
      </c>
      <c r="AM293" s="17" cm="1">
        <f t="array" aca="1" ref="AM293" ca="1">IF(Table24[[#This Row],[gültig]]&lt;&gt;0,
IF(
OR(
V293=MIN(_xlfn._xlws.FILTER($V$2:$V$298,($P$2:$P$298=P293)*($N$2:$N$298=N293)*($AL$2:$AL$298&lt;&gt;0))),
V293=MAX(_xlfn._xlws.FILTER($V$2:$V$298,($P$2:$P$298=P293)*($N$2:$N$298=N293)*($AL$2:$AL$298&lt;&gt;0))),
ROWS(_xlfn._xlws.FILTER($V$2:$V$298,($P$2:$P$298=P293)*($N$2:$N$298=N293)*($AL$2:$AL$298&lt;&gt;0)))&lt;=2
),1,0),0)</f>
        <v>0</v>
      </c>
      <c r="AN293" s="56"/>
      <c r="AO293" s="102"/>
      <c r="AP293" s="1"/>
    </row>
    <row r="294" spans="1:42" x14ac:dyDescent="0.2">
      <c r="A294" s="190" t="s">
        <v>882</v>
      </c>
      <c r="B294" s="9"/>
      <c r="C294" s="97">
        <v>293</v>
      </c>
      <c r="D294" s="8" t="s">
        <v>415</v>
      </c>
      <c r="E294" s="191" t="s">
        <v>952</v>
      </c>
      <c r="F294" s="191" t="s">
        <v>894</v>
      </c>
      <c r="G294" s="265"/>
      <c r="H294" s="264"/>
      <c r="I294" s="264"/>
      <c r="J294" s="164"/>
      <c r="K294" s="203" t="s">
        <v>872</v>
      </c>
      <c r="L294" s="221" t="s">
        <v>841</v>
      </c>
      <c r="M294" s="8" t="s">
        <v>842</v>
      </c>
      <c r="N294" s="196" t="s">
        <v>849</v>
      </c>
      <c r="O294" s="191" t="s">
        <v>415</v>
      </c>
      <c r="P294" s="193" t="s">
        <v>415</v>
      </c>
      <c r="Q294" s="193">
        <v>1850</v>
      </c>
      <c r="R294" s="191" t="s">
        <v>415</v>
      </c>
      <c r="S294" s="191" t="s">
        <v>415</v>
      </c>
      <c r="T294" s="191" t="s">
        <v>415</v>
      </c>
      <c r="U294" s="197" t="s">
        <v>415</v>
      </c>
      <c r="V294" s="138">
        <f>SUM(Table24[[#This Row],[A1toA3_GWP]:[C1toC4_GWP]])</f>
        <v>57</v>
      </c>
      <c r="W294" s="138"/>
      <c r="X294" s="138"/>
      <c r="Y294" s="138">
        <f>Table24[[#This Row],[Total_GWP]]*Table24[[#This Row],[DENSITY]]/1000</f>
        <v>105.45</v>
      </c>
      <c r="Z294" s="287">
        <v>54</v>
      </c>
      <c r="AA294" s="200">
        <v>3</v>
      </c>
      <c r="AB294" s="73"/>
      <c r="AC294" s="73"/>
      <c r="AD294" s="73"/>
      <c r="AE294" s="75"/>
      <c r="AF294" s="198">
        <f>136*1000</f>
        <v>136000</v>
      </c>
      <c r="AG294" s="199">
        <f>Table24[[#This Row],[Total_UBP]]*Table24[[#This Row],[DENSITY]]/1000</f>
        <v>251600</v>
      </c>
      <c r="AH294" s="199">
        <f>0.142*1000</f>
        <v>142</v>
      </c>
      <c r="AI294" s="200">
        <f>Table24[[#This Row],[Graue_Energie]]*Table24[[#This Row],[DENSITY]]/1000</f>
        <v>262.7</v>
      </c>
      <c r="AJ294" s="385">
        <f ca="1">IF(OR($E294="Ecoinvent",$E294="Betonsortenrechner",$E294="KBOB",$V294&lt;=0,Table24[[#This Row],[VALID_TO]]&lt;=TODAY()),0,1)</f>
        <v>0</v>
      </c>
      <c r="AK294" s="199">
        <v>1</v>
      </c>
      <c r="AL294" s="199">
        <f ca="1">IF(AND(Table24[[#This Row],[ValidEPD]]&lt;&gt;0,Table24[[#This Row],[Man_Ausschluss]]&lt;&gt;0),1,0)</f>
        <v>0</v>
      </c>
      <c r="AM294" s="17" cm="1">
        <f t="array" aca="1" ref="AM294" ca="1">IF(Table24[[#This Row],[gültig]]&lt;&gt;0,
IF(
OR(
V294=MIN(_xlfn._xlws.FILTER($V$2:$V$298,($P$2:$P$298=P294)*($N$2:$N$298=N294)*($AL$2:$AL$298&lt;&gt;0))),
V294=MAX(_xlfn._xlws.FILTER($V$2:$V$298,($P$2:$P$298=P294)*($N$2:$N$298=N294)*($AL$2:$AL$298&lt;&gt;0))),
ROWS(_xlfn._xlws.FILTER($V$2:$V$298,($P$2:$P$298=P294)*($N$2:$N$298=N294)*($AL$2:$AL$298&lt;&gt;0)))&lt;=2
),1,0),0)</f>
        <v>0</v>
      </c>
      <c r="AN294" s="56"/>
      <c r="AO294" s="102"/>
      <c r="AP294" s="1"/>
    </row>
    <row r="295" spans="1:42" x14ac:dyDescent="0.2">
      <c r="A295" s="190" t="s">
        <v>883</v>
      </c>
      <c r="B295" s="9"/>
      <c r="C295" s="97">
        <v>294</v>
      </c>
      <c r="D295" s="8" t="s">
        <v>415</v>
      </c>
      <c r="E295" s="191" t="s">
        <v>952</v>
      </c>
      <c r="F295" s="191" t="s">
        <v>895</v>
      </c>
      <c r="G295" s="265"/>
      <c r="H295" s="264"/>
      <c r="I295" s="264"/>
      <c r="J295" s="164"/>
      <c r="K295" s="203" t="s">
        <v>873</v>
      </c>
      <c r="L295" s="221" t="s">
        <v>841</v>
      </c>
      <c r="M295" s="8" t="s">
        <v>842</v>
      </c>
      <c r="N295" s="196" t="s">
        <v>849</v>
      </c>
      <c r="O295" s="191" t="s">
        <v>415</v>
      </c>
      <c r="P295" s="193" t="s">
        <v>415</v>
      </c>
      <c r="Q295" s="193">
        <v>300</v>
      </c>
      <c r="R295" s="191" t="s">
        <v>415</v>
      </c>
      <c r="S295" s="191" t="s">
        <v>415</v>
      </c>
      <c r="T295" s="191" t="s">
        <v>415</v>
      </c>
      <c r="U295" s="197" t="s">
        <v>415</v>
      </c>
      <c r="V295" s="138">
        <f>SUM(Table24[[#This Row],[A1toA3_GWP]:[C1toC4_GWP]])</f>
        <v>371.4</v>
      </c>
      <c r="W295" s="138"/>
      <c r="X295" s="138"/>
      <c r="Y295" s="138">
        <f>Table24[[#This Row],[Total_GWP]]*Table24[[#This Row],[DENSITY]]/1000</f>
        <v>111.42</v>
      </c>
      <c r="Z295" s="287">
        <v>338</v>
      </c>
      <c r="AA295" s="200">
        <v>33.4</v>
      </c>
      <c r="AB295" s="73"/>
      <c r="AC295" s="73"/>
      <c r="AD295" s="73"/>
      <c r="AE295" s="75"/>
      <c r="AF295" s="198">
        <f>824*1000</f>
        <v>824000</v>
      </c>
      <c r="AG295" s="199">
        <f>Table24[[#This Row],[Total_UBP]]*Table24[[#This Row],[DENSITY]]/1000</f>
        <v>247200</v>
      </c>
      <c r="AH295" s="199">
        <f>1.91*1000</f>
        <v>1910</v>
      </c>
      <c r="AI295" s="200">
        <f>Table24[[#This Row],[Graue_Energie]]*Table24[[#This Row],[DENSITY]]/1000</f>
        <v>573</v>
      </c>
      <c r="AJ295" s="385">
        <f ca="1">IF(OR($E295="Ecoinvent",$E295="Betonsortenrechner",$E295="KBOB",$V295&lt;=0,Table24[[#This Row],[VALID_TO]]&lt;=TODAY()),0,1)</f>
        <v>0</v>
      </c>
      <c r="AK295" s="199">
        <v>1</v>
      </c>
      <c r="AL295" s="199">
        <f ca="1">IF(AND(Table24[[#This Row],[ValidEPD]]&lt;&gt;0,Table24[[#This Row],[Man_Ausschluss]]&lt;&gt;0),1,0)</f>
        <v>0</v>
      </c>
      <c r="AM295" s="17" cm="1">
        <f t="array" aca="1" ref="AM295" ca="1">IF(Table24[[#This Row],[gültig]]&lt;&gt;0,
IF(
OR(
V295=MIN(_xlfn._xlws.FILTER($V$2:$V$298,($P$2:$P$298=P295)*($N$2:$N$298=N295)*($AL$2:$AL$298&lt;&gt;0))),
V295=MAX(_xlfn._xlws.FILTER($V$2:$V$298,($P$2:$P$298=P295)*($N$2:$N$298=N295)*($AL$2:$AL$298&lt;&gt;0))),
ROWS(_xlfn._xlws.FILTER($V$2:$V$298,($P$2:$P$298=P295)*($N$2:$N$298=N295)*($AL$2:$AL$298&lt;&gt;0)))&lt;=2
),1,0),0)</f>
        <v>0</v>
      </c>
      <c r="AN295" s="56"/>
      <c r="AO295" s="102"/>
      <c r="AP295" s="1"/>
    </row>
    <row r="296" spans="1:42" x14ac:dyDescent="0.2">
      <c r="A296" s="332" t="s">
        <v>923</v>
      </c>
      <c r="B296" s="9" t="s">
        <v>502</v>
      </c>
      <c r="C296" s="333">
        <v>295</v>
      </c>
      <c r="D296" s="334" t="s">
        <v>925</v>
      </c>
      <c r="E296" s="335" t="s">
        <v>924</v>
      </c>
      <c r="F296" s="335"/>
      <c r="G296" s="336">
        <v>45492</v>
      </c>
      <c r="H296" s="336">
        <v>47317</v>
      </c>
      <c r="I296" s="337" t="s">
        <v>613</v>
      </c>
      <c r="J296" s="164" t="s">
        <v>613</v>
      </c>
      <c r="K296" s="338" t="s">
        <v>926</v>
      </c>
      <c r="L296" s="345" t="s">
        <v>936</v>
      </c>
      <c r="M296" s="337" t="s">
        <v>316</v>
      </c>
      <c r="N296" s="339" t="s">
        <v>927</v>
      </c>
      <c r="O296" s="335" t="s">
        <v>415</v>
      </c>
      <c r="P296" s="337" t="s">
        <v>928</v>
      </c>
      <c r="Q296" s="344">
        <f>8.87</f>
        <v>8.8699999999999992</v>
      </c>
      <c r="R296" s="335" t="s">
        <v>415</v>
      </c>
      <c r="S296" s="337" t="s">
        <v>415</v>
      </c>
      <c r="T296" s="337" t="s">
        <v>415</v>
      </c>
      <c r="U296" s="340" t="s">
        <v>415</v>
      </c>
      <c r="V296" s="138">
        <f>SUM(Table24[[#This Row],[A1toA3_GWP]:[C1toC4_GWP]])</f>
        <v>26.443100000000001</v>
      </c>
      <c r="W296" s="73"/>
      <c r="X296" s="73"/>
      <c r="Y296" s="138"/>
      <c r="Z296" s="73">
        <f>2.6*10^1</f>
        <v>26</v>
      </c>
      <c r="AA296" s="342">
        <f>(4.11*10^-1+3.21*10^-2)</f>
        <v>0.44310000000000005</v>
      </c>
      <c r="AB296" s="73"/>
      <c r="AC296" s="73"/>
      <c r="AD296" s="73"/>
      <c r="AE296" s="75"/>
      <c r="AF296" s="107"/>
      <c r="AG296" s="199"/>
      <c r="AH296" s="129"/>
      <c r="AI296" s="75"/>
      <c r="AJ296" s="385">
        <f ca="1">IF(OR($E296="Ecoinvent",$E296="Betonsortenrechner",$E296="KBOB",$V296&lt;=0,Table24[[#This Row],[VALID_TO]]&lt;=TODAY()),0,1)</f>
        <v>1</v>
      </c>
      <c r="AK296" s="199">
        <v>1</v>
      </c>
      <c r="AL296" s="199">
        <f ca="1">IF(AND(Table24[[#This Row],[ValidEPD]]&lt;&gt;0,Table24[[#This Row],[Man_Ausschluss]]&lt;&gt;0),1,0)</f>
        <v>1</v>
      </c>
      <c r="AM296" s="17" cm="1">
        <f t="array" aca="1" ref="AM296" ca="1">IF(Table24[[#This Row],[gültig]]&lt;&gt;0,
IF(
OR(
V296=MIN(_xlfn._xlws.FILTER($V$2:$V$298,($P$2:$P$298=P296)*($N$2:$N$298=N296)*($AL$2:$AL$298&lt;&gt;0))),
V296=MAX(_xlfn._xlws.FILTER($V$2:$V$298,($P$2:$P$298=P296)*($N$2:$N$298=N296)*($AL$2:$AL$298&lt;&gt;0))),
ROWS(_xlfn._xlws.FILTER($V$2:$V$298,($P$2:$P$298=P296)*($N$2:$N$298=N296)*($AL$2:$AL$298&lt;&gt;0)))&lt;=2
),1,0),0)</f>
        <v>1</v>
      </c>
      <c r="AN296" s="56"/>
      <c r="AO296" s="343" t="s">
        <v>935</v>
      </c>
      <c r="AP296" s="1"/>
    </row>
    <row r="297" spans="1:42" x14ac:dyDescent="0.2">
      <c r="A297" s="332" t="s">
        <v>923</v>
      </c>
      <c r="B297" s="9" t="s">
        <v>518</v>
      </c>
      <c r="C297" s="333">
        <v>296</v>
      </c>
      <c r="D297" s="334" t="s">
        <v>925</v>
      </c>
      <c r="E297" s="335" t="s">
        <v>924</v>
      </c>
      <c r="F297" s="335"/>
      <c r="G297" s="336">
        <v>45492</v>
      </c>
      <c r="H297" s="336">
        <v>47317</v>
      </c>
      <c r="I297" s="337" t="s">
        <v>613</v>
      </c>
      <c r="J297" s="164" t="s">
        <v>613</v>
      </c>
      <c r="K297" s="338" t="s">
        <v>926</v>
      </c>
      <c r="L297" s="345" t="s">
        <v>936</v>
      </c>
      <c r="M297" s="337" t="s">
        <v>316</v>
      </c>
      <c r="N297" s="339" t="s">
        <v>927</v>
      </c>
      <c r="O297" s="335" t="s">
        <v>415</v>
      </c>
      <c r="P297" s="337" t="s">
        <v>930</v>
      </c>
      <c r="Q297" s="344">
        <f>8.87</f>
        <v>8.8699999999999992</v>
      </c>
      <c r="R297" s="335" t="s">
        <v>415</v>
      </c>
      <c r="S297" s="337" t="s">
        <v>415</v>
      </c>
      <c r="T297" s="337" t="s">
        <v>415</v>
      </c>
      <c r="U297" s="340" t="s">
        <v>415</v>
      </c>
      <c r="V297" s="138">
        <f>SUM(Table24[[#This Row],[A1toA3_GWP]:[C1toC4_GWP]])</f>
        <v>26.443100000000001</v>
      </c>
      <c r="W297" s="73"/>
      <c r="X297" s="73"/>
      <c r="Y297" s="138"/>
      <c r="Z297" s="73">
        <f>2.6*10^1</f>
        <v>26</v>
      </c>
      <c r="AA297" s="342">
        <f>(4.11*10^-1+3.21*10^-2)</f>
        <v>0.44310000000000005</v>
      </c>
      <c r="AB297" s="73"/>
      <c r="AC297" s="73"/>
      <c r="AD297" s="73"/>
      <c r="AE297" s="75"/>
      <c r="AF297" s="107"/>
      <c r="AG297" s="129"/>
      <c r="AH297" s="129"/>
      <c r="AI297" s="75"/>
      <c r="AJ297" s="385">
        <f ca="1">IF(OR($E297="Ecoinvent",$E297="Betonsortenrechner",$E297="KBOB",$V297&lt;=0,Table24[[#This Row],[VALID_TO]]&lt;=TODAY()),0,1)</f>
        <v>1</v>
      </c>
      <c r="AK297" s="199">
        <v>1</v>
      </c>
      <c r="AL297" s="199">
        <f ca="1">IF(AND(Table24[[#This Row],[ValidEPD]]&lt;&gt;0,Table24[[#This Row],[Man_Ausschluss]]&lt;&gt;0),1,0)</f>
        <v>1</v>
      </c>
      <c r="AM297" s="17" cm="1">
        <f t="array" aca="1" ref="AM297" ca="1">IF(Table24[[#This Row],[gültig]]&lt;&gt;0,
IF(
OR(
V297=MIN(_xlfn._xlws.FILTER($V$2:$V$298,($P$2:$P$298=P297)*($N$2:$N$298=N297)*($AL$2:$AL$298&lt;&gt;0))),
V297=MAX(_xlfn._xlws.FILTER($V$2:$V$298,($P$2:$P$298=P297)*($N$2:$N$298=N297)*($AL$2:$AL$298&lt;&gt;0))),
ROWS(_xlfn._xlws.FILTER($V$2:$V$298,($P$2:$P$298=P297)*($N$2:$N$298=N297)*($AL$2:$AL$298&lt;&gt;0)))&lt;=2
),1,0),0)</f>
        <v>1</v>
      </c>
      <c r="AN297" s="56"/>
      <c r="AO297" s="343" t="s">
        <v>935</v>
      </c>
      <c r="AP297" s="1"/>
    </row>
    <row r="298" spans="1:42" x14ac:dyDescent="0.2">
      <c r="A298" s="332" t="s">
        <v>931</v>
      </c>
      <c r="B298" s="9"/>
      <c r="C298" s="333">
        <v>297</v>
      </c>
      <c r="D298" s="334" t="s">
        <v>932</v>
      </c>
      <c r="E298" s="335" t="s">
        <v>934</v>
      </c>
      <c r="F298" s="335"/>
      <c r="G298" s="336">
        <v>46080</v>
      </c>
      <c r="H298" s="336">
        <v>47905</v>
      </c>
      <c r="I298" s="337" t="s">
        <v>291</v>
      </c>
      <c r="J298" s="164" t="s">
        <v>613</v>
      </c>
      <c r="K298" s="338" t="s">
        <v>933</v>
      </c>
      <c r="L298" s="345" t="s">
        <v>936</v>
      </c>
      <c r="M298" s="337" t="s">
        <v>316</v>
      </c>
      <c r="N298" s="339" t="s">
        <v>927</v>
      </c>
      <c r="O298" s="335" t="s">
        <v>415</v>
      </c>
      <c r="P298" s="337"/>
      <c r="Q298" s="337">
        <v>8.5299999999999994</v>
      </c>
      <c r="R298" s="335" t="s">
        <v>415</v>
      </c>
      <c r="S298" s="337" t="s">
        <v>415</v>
      </c>
      <c r="T298" s="337" t="s">
        <v>415</v>
      </c>
      <c r="U298" s="340" t="s">
        <v>415</v>
      </c>
      <c r="V298" s="138">
        <f>SUM(Table24[[#This Row],[A1toA3_GWP]:[C1toC4_GWP]])</f>
        <v>8.4382079999999995</v>
      </c>
      <c r="W298" s="73"/>
      <c r="X298" s="73"/>
      <c r="Y298" s="73"/>
      <c r="Z298" s="341">
        <f>8.17</f>
        <v>8.17</v>
      </c>
      <c r="AA298" s="342">
        <f>7.69*10^-4+9.29*10^-2+1.74*10^-1+5.39*10^-4</f>
        <v>0.26820800000000006</v>
      </c>
      <c r="AB298" s="73"/>
      <c r="AC298" s="73"/>
      <c r="AD298" s="73"/>
      <c r="AE298" s="75"/>
      <c r="AF298" s="107"/>
      <c r="AG298" s="129"/>
      <c r="AH298" s="129"/>
      <c r="AI298" s="75"/>
      <c r="AJ298" s="385">
        <f ca="1">IF(OR($E298="Ecoinvent",$E298="Betonsortenrechner",$E298="KBOB",$V298&lt;=0,Table24[[#This Row],[VALID_TO]]&lt;=TODAY()),0,1)</f>
        <v>1</v>
      </c>
      <c r="AK298" s="199">
        <v>1</v>
      </c>
      <c r="AL298" s="199">
        <f ca="1">IF(AND(Table24[[#This Row],[ValidEPD]]&lt;&gt;0,Table24[[#This Row],[Man_Ausschluss]]&lt;&gt;0),1,0)</f>
        <v>1</v>
      </c>
      <c r="AM298" s="17" cm="1">
        <f t="array" aca="1" ref="AM298" ca="1">IF(Table24[[#This Row],[gültig]]&lt;&gt;0,
IF(
OR(
V298=MIN(_xlfn._xlws.FILTER($V$2:$V$298,($P$2:$P$298=P298)*($N$2:$N$298=N298)*($AL$2:$AL$298&lt;&gt;0))),
V298=MAX(_xlfn._xlws.FILTER($V$2:$V$298,($P$2:$P$298=P298)*($N$2:$N$298=N298)*($AL$2:$AL$298&lt;&gt;0))),
ROWS(_xlfn._xlws.FILTER($V$2:$V$298,($P$2:$P$298=P298)*($N$2:$N$298=N298)*($AL$2:$AL$298&lt;&gt;0)))&lt;=2
),1,0),0)</f>
        <v>1</v>
      </c>
      <c r="AN298" s="56"/>
      <c r="AO298" s="343" t="s">
        <v>935</v>
      </c>
      <c r="AP298" s="1"/>
    </row>
  </sheetData>
  <phoneticPr fontId="36" type="noConversion"/>
  <conditionalFormatting sqref="AN2:AN295 AN296:AO1048576">
    <cfRule type="cellIs" dxfId="0" priority="2" operator="equal">
      <formula>1</formula>
    </cfRule>
  </conditionalFormatting>
  <pageMargins left="0.7" right="0.7" top="0.75" bottom="0.75" header="0.3" footer="0.3"/>
  <pageSetup orientation="portrait" r:id="rId1"/>
  <drawing r:id="rId2"/>
  <legacy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AEC17-54D0-422B-913B-12777967F81E}">
  <dimension ref="A1:M27"/>
  <sheetViews>
    <sheetView zoomScale="85" zoomScaleNormal="85" workbookViewId="0">
      <selection activeCell="B8" sqref="B8"/>
    </sheetView>
  </sheetViews>
  <sheetFormatPr baseColWidth="10" defaultColWidth="9.1640625" defaultRowHeight="15" x14ac:dyDescent="0.2"/>
  <cols>
    <col min="1" max="1" width="14.83203125" bestFit="1" customWidth="1"/>
    <col min="2" max="2" width="11.1640625" customWidth="1"/>
    <col min="3" max="3" width="27.33203125" bestFit="1" customWidth="1"/>
    <col min="4" max="5" width="27.33203125" customWidth="1"/>
    <col min="6" max="6" width="27" bestFit="1" customWidth="1"/>
    <col min="7" max="7" width="29.6640625" customWidth="1"/>
    <col min="8" max="8" width="24" bestFit="1" customWidth="1"/>
    <col min="9" max="9" width="11.83203125" customWidth="1"/>
    <col min="10" max="10" width="14.1640625" customWidth="1"/>
    <col min="11" max="11" width="10.6640625" customWidth="1"/>
    <col min="12" max="12" width="10.5" customWidth="1"/>
    <col min="13" max="13" width="11.6640625" bestFit="1" customWidth="1"/>
  </cols>
  <sheetData>
    <row r="1" spans="1:13" x14ac:dyDescent="0.2">
      <c r="A1" s="20" t="s">
        <v>403</v>
      </c>
      <c r="B1" s="20" t="s">
        <v>395</v>
      </c>
      <c r="C1" s="20" t="s">
        <v>396</v>
      </c>
      <c r="D1" s="20" t="s">
        <v>397</v>
      </c>
      <c r="E1" s="20" t="s">
        <v>398</v>
      </c>
      <c r="F1" s="20" t="s">
        <v>399</v>
      </c>
      <c r="G1" s="20" t="s">
        <v>400</v>
      </c>
      <c r="H1" s="20" t="s">
        <v>401</v>
      </c>
      <c r="I1" s="20" t="s">
        <v>402</v>
      </c>
      <c r="J1" s="20" t="s">
        <v>823</v>
      </c>
      <c r="K1" s="20" t="s">
        <v>937</v>
      </c>
      <c r="L1" s="20" t="s">
        <v>938</v>
      </c>
      <c r="M1" s="20" t="s">
        <v>939</v>
      </c>
    </row>
    <row r="2" spans="1:13" x14ac:dyDescent="0.2">
      <c r="A2" s="19">
        <v>1</v>
      </c>
      <c r="B2" s="19" t="s">
        <v>27</v>
      </c>
      <c r="C2" s="19">
        <v>20000000</v>
      </c>
      <c r="D2" s="19">
        <v>2200000</v>
      </c>
      <c r="E2" s="19"/>
      <c r="F2" s="19">
        <v>900000</v>
      </c>
      <c r="G2" s="19">
        <v>30000000000</v>
      </c>
      <c r="H2" s="19">
        <v>25000</v>
      </c>
      <c r="I2" s="19"/>
      <c r="J2" s="346">
        <v>2</v>
      </c>
      <c r="K2" s="346">
        <v>13500000</v>
      </c>
      <c r="L2" s="346">
        <v>1540000</v>
      </c>
      <c r="M2" s="346">
        <v>13500000</v>
      </c>
    </row>
    <row r="3" spans="1:13" x14ac:dyDescent="0.2">
      <c r="A3" s="19">
        <v>2</v>
      </c>
      <c r="B3" s="19" t="s">
        <v>6</v>
      </c>
      <c r="C3" s="19">
        <v>25000000</v>
      </c>
      <c r="D3" s="19">
        <v>2600000</v>
      </c>
      <c r="E3" s="19"/>
      <c r="F3" s="19">
        <v>1000000</v>
      </c>
      <c r="G3" s="19">
        <v>32000000000</v>
      </c>
      <c r="H3" s="19">
        <v>25000</v>
      </c>
      <c r="I3" s="19"/>
      <c r="J3" s="19">
        <v>2</v>
      </c>
      <c r="K3" s="19">
        <v>16500000</v>
      </c>
      <c r="L3" s="19">
        <v>1820000</v>
      </c>
      <c r="M3" s="19">
        <v>16500000</v>
      </c>
    </row>
    <row r="4" spans="1:13" x14ac:dyDescent="0.2">
      <c r="A4" s="19">
        <v>3</v>
      </c>
      <c r="B4" s="19" t="s">
        <v>11</v>
      </c>
      <c r="C4" s="19">
        <v>30000000</v>
      </c>
      <c r="D4" s="19">
        <v>2900000</v>
      </c>
      <c r="E4" s="19"/>
      <c r="F4" s="19">
        <v>1100000</v>
      </c>
      <c r="G4" s="19">
        <v>34000000000</v>
      </c>
      <c r="H4" s="19">
        <v>25000</v>
      </c>
      <c r="I4" s="19"/>
      <c r="J4" s="19">
        <v>2</v>
      </c>
      <c r="K4" s="19">
        <v>20000000</v>
      </c>
      <c r="L4" s="19">
        <v>2030000</v>
      </c>
      <c r="M4" s="19">
        <v>20000000</v>
      </c>
    </row>
    <row r="5" spans="1:13" x14ac:dyDescent="0.2">
      <c r="A5" s="19">
        <v>4</v>
      </c>
      <c r="B5" s="19" t="s">
        <v>688</v>
      </c>
      <c r="C5" s="19">
        <f>60*10^6</f>
        <v>60000000</v>
      </c>
      <c r="D5" s="19">
        <f>4.1*10^6</f>
        <v>4099999.9999999995</v>
      </c>
      <c r="E5" s="19"/>
      <c r="F5" s="19">
        <v>1400000</v>
      </c>
      <c r="G5" s="19">
        <v>39000000000</v>
      </c>
      <c r="H5" s="19">
        <v>25000</v>
      </c>
      <c r="I5" s="19"/>
      <c r="J5" s="19">
        <v>2</v>
      </c>
      <c r="K5" s="19">
        <v>30900000</v>
      </c>
      <c r="L5" s="19">
        <v>2870000</v>
      </c>
      <c r="M5" s="19">
        <v>30900000</v>
      </c>
    </row>
    <row r="6" spans="1:13" x14ac:dyDescent="0.2">
      <c r="A6" s="19">
        <v>5</v>
      </c>
      <c r="B6" s="19" t="s">
        <v>0</v>
      </c>
      <c r="C6" s="19">
        <v>500000000</v>
      </c>
      <c r="D6" s="19">
        <v>500000000</v>
      </c>
      <c r="E6" s="19">
        <v>500000000</v>
      </c>
      <c r="F6" s="19"/>
      <c r="G6" s="347">
        <v>200000000000</v>
      </c>
      <c r="H6" s="19">
        <v>7850</v>
      </c>
      <c r="I6" s="19"/>
      <c r="J6" s="19"/>
      <c r="K6" s="19">
        <v>435000000</v>
      </c>
      <c r="L6" s="19">
        <v>435000000</v>
      </c>
      <c r="M6" s="19">
        <v>435000000</v>
      </c>
    </row>
    <row r="7" spans="1:13" x14ac:dyDescent="0.2">
      <c r="A7" s="19">
        <v>6</v>
      </c>
      <c r="B7" s="19" t="s">
        <v>394</v>
      </c>
      <c r="C7" s="19"/>
      <c r="D7" s="19"/>
      <c r="E7" s="19">
        <v>16000000</v>
      </c>
      <c r="F7" s="19">
        <v>1500000</v>
      </c>
      <c r="G7" s="19">
        <v>8000000000</v>
      </c>
      <c r="H7" s="19">
        <v>5000</v>
      </c>
      <c r="I7" s="19">
        <v>8.0000000000000004E-4</v>
      </c>
      <c r="J7" s="19">
        <v>0.6</v>
      </c>
      <c r="K7" s="19">
        <f>9.4*10^6</f>
        <v>9400000</v>
      </c>
      <c r="L7" s="19">
        <f>5*10^6</f>
        <v>5000000</v>
      </c>
      <c r="M7" s="19">
        <f>10*10^6</f>
        <v>10000000</v>
      </c>
    </row>
    <row r="8" spans="1:13" x14ac:dyDescent="0.2">
      <c r="A8" s="19">
        <v>7</v>
      </c>
      <c r="B8" s="21" t="s">
        <v>113</v>
      </c>
      <c r="C8" s="21"/>
      <c r="D8" s="21"/>
      <c r="E8" s="21">
        <v>24000000</v>
      </c>
      <c r="F8" s="21">
        <v>1500000</v>
      </c>
      <c r="G8" s="21">
        <v>11000000000</v>
      </c>
      <c r="H8" s="21">
        <v>5000</v>
      </c>
      <c r="I8" s="21">
        <v>8.0000000000000004E-4</v>
      </c>
      <c r="J8" s="19">
        <v>0.6</v>
      </c>
      <c r="K8" s="19">
        <f>14.1*10^6</f>
        <v>14100000</v>
      </c>
      <c r="L8" s="19">
        <f>8.5*10^6</f>
        <v>8500000</v>
      </c>
      <c r="M8" s="19">
        <f>12.4*10^6</f>
        <v>12400000</v>
      </c>
    </row>
    <row r="9" spans="1:13" x14ac:dyDescent="0.2">
      <c r="A9" s="19">
        <v>8</v>
      </c>
      <c r="B9" s="19" t="s">
        <v>534</v>
      </c>
      <c r="C9" s="19"/>
      <c r="D9" s="19"/>
      <c r="E9" s="19">
        <f>30*10^6</f>
        <v>30000000</v>
      </c>
      <c r="F9" s="19">
        <f>1.5*10^6</f>
        <v>1500000</v>
      </c>
      <c r="G9" s="19">
        <f>12000*10^6</f>
        <v>12000000000</v>
      </c>
      <c r="H9" s="19">
        <v>5000</v>
      </c>
      <c r="I9" s="19">
        <v>8.0000000000000004E-4</v>
      </c>
      <c r="J9" s="19">
        <v>0.6</v>
      </c>
      <c r="K9" s="19">
        <f>17.6*10^6</f>
        <v>17600000</v>
      </c>
      <c r="L9" s="19">
        <f>11.2*10^6</f>
        <v>11200000</v>
      </c>
      <c r="M9" s="19">
        <f>14.1*10^6</f>
        <v>14100000</v>
      </c>
    </row>
    <row r="10" spans="1:13" x14ac:dyDescent="0.2">
      <c r="A10" s="19">
        <v>9</v>
      </c>
      <c r="B10" s="19" t="s">
        <v>1</v>
      </c>
      <c r="C10" s="19"/>
      <c r="D10" s="19"/>
      <c r="E10" s="19">
        <v>24000000</v>
      </c>
      <c r="F10" s="19">
        <v>1800000</v>
      </c>
      <c r="G10" s="19">
        <v>11500000000</v>
      </c>
      <c r="H10" s="19">
        <v>5000</v>
      </c>
      <c r="I10" s="19">
        <v>6.9999999999999999E-4</v>
      </c>
      <c r="J10" s="19">
        <v>0.6</v>
      </c>
      <c r="K10" s="19">
        <v>16000000</v>
      </c>
      <c r="L10" s="19">
        <f>12.8*10^6</f>
        <v>12800000</v>
      </c>
      <c r="M10" s="19">
        <f>16*10^6</f>
        <v>16000000</v>
      </c>
    </row>
    <row r="11" spans="1:13" x14ac:dyDescent="0.2">
      <c r="A11" s="19">
        <v>10</v>
      </c>
      <c r="B11" s="21" t="s">
        <v>535</v>
      </c>
      <c r="C11" s="21"/>
      <c r="D11" s="21"/>
      <c r="E11" s="19">
        <v>24000000</v>
      </c>
      <c r="F11" s="19">
        <v>1800000</v>
      </c>
      <c r="G11" s="19">
        <v>11000000000</v>
      </c>
      <c r="H11" s="19">
        <v>5000</v>
      </c>
      <c r="I11" s="19">
        <v>6.9999999999999999E-4</v>
      </c>
      <c r="J11" s="19">
        <v>0.6</v>
      </c>
      <c r="K11" s="19">
        <v>16000000</v>
      </c>
      <c r="L11" s="19">
        <f>11.3*10^6</f>
        <v>11300000</v>
      </c>
      <c r="M11" s="19">
        <f>14.3*10^6</f>
        <v>14300000</v>
      </c>
    </row>
    <row r="12" spans="1:13" x14ac:dyDescent="0.2">
      <c r="A12" s="19">
        <v>11</v>
      </c>
      <c r="B12" s="21" t="s">
        <v>824</v>
      </c>
      <c r="C12" s="21"/>
      <c r="D12" s="21"/>
      <c r="E12" s="21">
        <v>28000000</v>
      </c>
      <c r="F12" s="21">
        <v>1800000</v>
      </c>
      <c r="G12" s="21">
        <v>12600000000</v>
      </c>
      <c r="H12" s="21">
        <v>5000</v>
      </c>
      <c r="I12" s="21">
        <v>6.9999999999999999E-4</v>
      </c>
      <c r="J12" s="19">
        <v>0.6</v>
      </c>
      <c r="K12" s="19">
        <v>18700000</v>
      </c>
      <c r="L12" s="19">
        <f>14.9*10^6</f>
        <v>14900000</v>
      </c>
      <c r="M12" s="19">
        <f>18.7*10^6</f>
        <v>18700000</v>
      </c>
    </row>
    <row r="13" spans="1:13" x14ac:dyDescent="0.2">
      <c r="A13" s="19">
        <v>12</v>
      </c>
      <c r="B13" s="21" t="s">
        <v>522</v>
      </c>
      <c r="C13" s="21"/>
      <c r="D13" s="21"/>
      <c r="E13" s="21">
        <v>28000000</v>
      </c>
      <c r="F13" s="21">
        <v>1800000</v>
      </c>
      <c r="G13" s="21">
        <v>12500000000</v>
      </c>
      <c r="H13" s="21">
        <v>5000</v>
      </c>
      <c r="I13" s="21">
        <v>6.9999999999999999E-4</v>
      </c>
      <c r="J13" s="19">
        <v>0.6</v>
      </c>
      <c r="K13" s="19">
        <f>18.7*10^6</f>
        <v>18700000</v>
      </c>
      <c r="L13" s="19">
        <f>13*10^6</f>
        <v>13000000</v>
      </c>
      <c r="M13" s="19">
        <f>16*10^6</f>
        <v>16000000</v>
      </c>
    </row>
    <row r="14" spans="1:13" x14ac:dyDescent="0.2">
      <c r="A14" s="19">
        <v>13</v>
      </c>
      <c r="B14" s="19" t="s">
        <v>585</v>
      </c>
      <c r="C14" s="19"/>
      <c r="D14" s="19"/>
      <c r="E14" s="19">
        <v>30000000</v>
      </c>
      <c r="F14" s="19">
        <f>1.8*10^6</f>
        <v>1800000</v>
      </c>
      <c r="G14" s="19">
        <v>13600000000</v>
      </c>
      <c r="H14" s="19">
        <v>5000</v>
      </c>
      <c r="I14" s="19">
        <v>6.9999999999999999E-4</v>
      </c>
      <c r="J14" s="19">
        <v>0.6</v>
      </c>
      <c r="K14" s="19">
        <v>20000000</v>
      </c>
      <c r="L14" s="19">
        <f>24*10^6/1.5</f>
        <v>16000000</v>
      </c>
      <c r="M14" s="19">
        <v>20000000</v>
      </c>
    </row>
    <row r="15" spans="1:13" x14ac:dyDescent="0.2">
      <c r="A15" s="19">
        <v>14</v>
      </c>
      <c r="B15" s="19" t="s">
        <v>536</v>
      </c>
      <c r="C15" s="19"/>
      <c r="D15" s="19"/>
      <c r="E15" s="19">
        <v>30000000</v>
      </c>
      <c r="F15" s="19">
        <f>1.8*10^6</f>
        <v>1800000</v>
      </c>
      <c r="G15" s="19">
        <v>13000000000</v>
      </c>
      <c r="H15" s="19">
        <v>5000</v>
      </c>
      <c r="I15" s="19">
        <v>6.9999999999999999E-4</v>
      </c>
      <c r="J15" s="19">
        <v>0.6</v>
      </c>
      <c r="K15" s="19">
        <v>20000000</v>
      </c>
      <c r="L15" s="19">
        <f>19.5*10^6/1.5</f>
        <v>13000000</v>
      </c>
      <c r="M15" s="19">
        <v>16333333.333333334</v>
      </c>
    </row>
    <row r="16" spans="1:13" x14ac:dyDescent="0.2">
      <c r="A16" s="19">
        <v>15</v>
      </c>
      <c r="B16" s="21" t="s">
        <v>826</v>
      </c>
      <c r="C16" s="21"/>
      <c r="D16" s="21"/>
      <c r="E16" s="21">
        <v>32000000</v>
      </c>
      <c r="F16" s="21">
        <v>1800000</v>
      </c>
      <c r="G16" s="21">
        <v>14200000000</v>
      </c>
      <c r="H16" s="21">
        <v>5000</v>
      </c>
      <c r="I16" s="21">
        <v>6.9999999999999999E-4</v>
      </c>
      <c r="J16" s="21">
        <v>0.6</v>
      </c>
      <c r="K16" s="19">
        <v>21300000</v>
      </c>
      <c r="L16" s="19">
        <v>17100000</v>
      </c>
      <c r="M16" s="19">
        <v>21300000</v>
      </c>
    </row>
    <row r="17" spans="1:13" x14ac:dyDescent="0.2">
      <c r="A17" s="19">
        <v>16</v>
      </c>
      <c r="B17" s="21" t="s">
        <v>825</v>
      </c>
      <c r="C17" s="21"/>
      <c r="D17" s="21"/>
      <c r="E17" s="21">
        <v>32000000</v>
      </c>
      <c r="F17" s="21">
        <v>1800000</v>
      </c>
      <c r="G17" s="21">
        <v>13500000000</v>
      </c>
      <c r="H17" s="21">
        <v>5000</v>
      </c>
      <c r="I17" s="21">
        <v>6.9999999999999999E-4</v>
      </c>
      <c r="J17" s="19">
        <v>0.6</v>
      </c>
      <c r="K17" s="19">
        <v>21300000</v>
      </c>
      <c r="L17" s="19">
        <v>13000000</v>
      </c>
      <c r="M17" s="19">
        <v>16300000</v>
      </c>
    </row>
    <row r="18" spans="1:13" x14ac:dyDescent="0.2">
      <c r="A18" s="19">
        <v>17</v>
      </c>
      <c r="B18" s="268" t="s">
        <v>112</v>
      </c>
      <c r="C18" s="268"/>
      <c r="D18" s="268"/>
      <c r="E18" s="268"/>
      <c r="F18" s="19"/>
      <c r="G18" s="19"/>
      <c r="H18" s="19"/>
      <c r="I18" s="19"/>
      <c r="J18" s="19">
        <v>0.8</v>
      </c>
      <c r="K18" s="19"/>
      <c r="L18" s="19"/>
      <c r="M18" s="19"/>
    </row>
    <row r="19" spans="1:13" x14ac:dyDescent="0.2">
      <c r="A19" s="19">
        <v>18</v>
      </c>
      <c r="B19" s="268" t="s">
        <v>827</v>
      </c>
      <c r="C19" s="268"/>
      <c r="D19" s="268"/>
      <c r="E19" s="268"/>
      <c r="F19" s="19"/>
      <c r="G19" s="19"/>
      <c r="H19" s="19"/>
      <c r="I19" s="19"/>
      <c r="J19" s="19">
        <v>1.5</v>
      </c>
      <c r="K19" s="19"/>
      <c r="L19" s="19"/>
      <c r="M19" s="19"/>
    </row>
    <row r="20" spans="1:13" x14ac:dyDescent="0.2">
      <c r="A20" s="19">
        <v>19</v>
      </c>
      <c r="B20" s="268" t="s">
        <v>828</v>
      </c>
      <c r="C20" s="268"/>
      <c r="D20" s="268"/>
      <c r="E20" s="268"/>
      <c r="F20" s="19"/>
      <c r="G20" s="19"/>
      <c r="H20" s="19"/>
      <c r="I20" s="19"/>
      <c r="J20" s="19">
        <v>0.6</v>
      </c>
      <c r="K20" s="19"/>
      <c r="L20" s="19"/>
      <c r="M20" s="19"/>
    </row>
    <row r="21" spans="1:13" x14ac:dyDescent="0.2">
      <c r="A21" s="19">
        <v>20</v>
      </c>
      <c r="B21" s="21" t="s">
        <v>537</v>
      </c>
      <c r="C21" s="21">
        <v>235000000</v>
      </c>
      <c r="D21" s="21">
        <v>235000000</v>
      </c>
      <c r="E21" s="21">
        <v>235000000</v>
      </c>
      <c r="F21" s="21"/>
      <c r="G21" s="21">
        <v>210000000000</v>
      </c>
      <c r="H21" s="19">
        <v>78500</v>
      </c>
      <c r="I21" s="21"/>
      <c r="J21" s="21"/>
      <c r="K21" s="19">
        <v>223809523.80952379</v>
      </c>
      <c r="L21" s="19">
        <v>223809523.80952379</v>
      </c>
      <c r="M21" s="19">
        <v>223809523.80952379</v>
      </c>
    </row>
    <row r="22" spans="1:13" x14ac:dyDescent="0.2">
      <c r="A22" s="19">
        <v>21</v>
      </c>
      <c r="B22" s="21" t="s">
        <v>538</v>
      </c>
      <c r="C22" s="21">
        <v>355000000</v>
      </c>
      <c r="D22" s="21">
        <v>355000000</v>
      </c>
      <c r="E22" s="21">
        <v>355000000</v>
      </c>
      <c r="F22" s="21"/>
      <c r="G22" s="21">
        <v>210000000000</v>
      </c>
      <c r="H22" s="19">
        <v>78500</v>
      </c>
      <c r="I22" s="21"/>
      <c r="J22" s="21"/>
      <c r="K22" s="19">
        <v>338095238.09523809</v>
      </c>
      <c r="L22" s="19">
        <v>338095238.09523809</v>
      </c>
      <c r="M22" s="19">
        <v>338095238.09523809</v>
      </c>
    </row>
    <row r="23" spans="1:13" x14ac:dyDescent="0.2">
      <c r="A23" s="19">
        <v>22</v>
      </c>
      <c r="B23" s="21" t="s">
        <v>539</v>
      </c>
      <c r="C23" s="21">
        <v>460000000</v>
      </c>
      <c r="D23" s="21">
        <v>460000000</v>
      </c>
      <c r="E23" s="21">
        <v>460000000</v>
      </c>
      <c r="F23" s="21"/>
      <c r="G23" s="21">
        <v>210000000000</v>
      </c>
      <c r="H23" s="19">
        <v>78500</v>
      </c>
      <c r="I23" s="21"/>
      <c r="J23" s="21"/>
      <c r="K23" s="19">
        <v>438095238.09523809</v>
      </c>
      <c r="L23" s="19">
        <v>438095238.09523809</v>
      </c>
      <c r="M23" s="19">
        <v>438095238.09523809</v>
      </c>
    </row>
    <row r="24" spans="1:13" x14ac:dyDescent="0.2">
      <c r="A24" s="19">
        <v>23</v>
      </c>
      <c r="B24" s="21" t="s">
        <v>541</v>
      </c>
      <c r="C24" s="21">
        <v>500000000</v>
      </c>
      <c r="D24" s="21">
        <v>500000000</v>
      </c>
      <c r="E24" s="21">
        <v>500000000</v>
      </c>
      <c r="F24" s="21"/>
      <c r="G24" s="21">
        <v>210000000000</v>
      </c>
      <c r="H24" s="19">
        <v>78500</v>
      </c>
      <c r="I24" s="21"/>
      <c r="J24" s="21"/>
      <c r="K24" s="19">
        <v>476190476.19047618</v>
      </c>
      <c r="L24" s="19">
        <v>476190476.19047618</v>
      </c>
      <c r="M24" s="19">
        <v>476190476.19047618</v>
      </c>
    </row>
    <row r="25" spans="1:13" x14ac:dyDescent="0.2">
      <c r="A25" s="19">
        <v>24</v>
      </c>
      <c r="B25" s="21" t="s">
        <v>545</v>
      </c>
      <c r="C25" s="21">
        <v>275000000</v>
      </c>
      <c r="D25" s="21">
        <v>275000000</v>
      </c>
      <c r="E25" s="21">
        <v>275000000</v>
      </c>
      <c r="F25" s="21"/>
      <c r="G25" s="21">
        <v>210000000000</v>
      </c>
      <c r="H25" s="19">
        <v>78500</v>
      </c>
      <c r="I25" s="21"/>
      <c r="J25" s="21"/>
      <c r="K25" s="19">
        <v>261904761.90476188</v>
      </c>
      <c r="L25" s="19">
        <v>261904761.90476188</v>
      </c>
      <c r="M25" s="19">
        <v>261904761.90476188</v>
      </c>
    </row>
    <row r="26" spans="1:13" x14ac:dyDescent="0.2">
      <c r="A26" s="19">
        <v>25</v>
      </c>
      <c r="B26" s="21" t="s">
        <v>553</v>
      </c>
      <c r="C26" s="21">
        <v>700000000</v>
      </c>
      <c r="D26" s="21">
        <v>700000000</v>
      </c>
      <c r="E26" s="21">
        <v>700000000</v>
      </c>
      <c r="F26" s="21"/>
      <c r="G26" s="21">
        <v>205000000000</v>
      </c>
      <c r="H26" s="21">
        <v>78500</v>
      </c>
      <c r="I26" s="21"/>
      <c r="J26" s="21"/>
      <c r="K26" s="19">
        <v>667000000</v>
      </c>
      <c r="L26" s="19">
        <v>667000000</v>
      </c>
      <c r="M26" s="19">
        <v>667000000</v>
      </c>
    </row>
    <row r="27" spans="1:13" x14ac:dyDescent="0.2">
      <c r="A27" s="19">
        <v>26</v>
      </c>
      <c r="B27" s="21" t="s">
        <v>555</v>
      </c>
      <c r="C27" s="21">
        <v>670000000</v>
      </c>
      <c r="D27" s="21">
        <v>670000000</v>
      </c>
      <c r="E27" s="21">
        <v>670000000</v>
      </c>
      <c r="F27" s="21"/>
      <c r="G27" s="21">
        <v>210000000000</v>
      </c>
      <c r="H27" s="21">
        <v>78500</v>
      </c>
      <c r="I27" s="21"/>
      <c r="J27" s="21"/>
      <c r="K27" s="19">
        <v>638000000</v>
      </c>
      <c r="L27" s="19">
        <v>638000000</v>
      </c>
      <c r="M27" s="19">
        <v>638000000</v>
      </c>
    </row>
  </sheetData>
  <phoneticPr fontId="36" type="noConversion"/>
  <pageMargins left="0.7" right="0.7" top="0.75" bottom="0.75" header="0.3" footer="0.3"/>
  <pageSetup paperSize="9" orientation="portrait" horizontalDpi="30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60A30-8D92-49EC-964A-A8F2973B4787}">
  <dimension ref="A1:T12"/>
  <sheetViews>
    <sheetView topLeftCell="J1" workbookViewId="0">
      <selection activeCell="O20" sqref="O20"/>
    </sheetView>
  </sheetViews>
  <sheetFormatPr baseColWidth="10" defaultColWidth="10.6640625" defaultRowHeight="13" x14ac:dyDescent="0.2"/>
  <cols>
    <col min="1" max="1" width="14.1640625" style="9" bestFit="1" customWidth="1"/>
    <col min="2" max="2" width="14.1640625" style="9" customWidth="1"/>
    <col min="3" max="3" width="37.33203125" style="9" customWidth="1"/>
    <col min="4" max="4" width="12.6640625" style="9" bestFit="1" customWidth="1"/>
    <col min="5" max="5" width="13.6640625" style="9" bestFit="1" customWidth="1"/>
    <col min="6" max="6" width="19.33203125" style="9" bestFit="1" customWidth="1"/>
    <col min="7" max="7" width="18.33203125" style="9" bestFit="1" customWidth="1"/>
    <col min="8" max="8" width="15.6640625" style="9" bestFit="1" customWidth="1"/>
    <col min="9" max="9" width="15.6640625" style="9" customWidth="1"/>
    <col min="10" max="10" width="13.83203125" style="9" customWidth="1"/>
    <col min="11" max="11" width="16.83203125" style="9" customWidth="1"/>
    <col min="12" max="12" width="21.33203125" style="9" customWidth="1"/>
    <col min="13" max="14" width="7.6640625" style="9" customWidth="1"/>
    <col min="15" max="15" width="19.83203125" style="9" customWidth="1"/>
    <col min="16" max="17" width="7.6640625" style="9" customWidth="1"/>
    <col min="18" max="18" width="19.83203125" style="9" customWidth="1"/>
    <col min="19" max="20" width="7.6640625" style="9" customWidth="1"/>
    <col min="21" max="16384" width="10.6640625" style="9"/>
  </cols>
  <sheetData>
    <row r="1" spans="1:20" s="57" customFormat="1" ht="28" x14ac:dyDescent="0.2">
      <c r="A1" s="290" t="s">
        <v>7</v>
      </c>
      <c r="B1" s="290" t="s">
        <v>479</v>
      </c>
      <c r="C1" s="290" t="s">
        <v>8</v>
      </c>
      <c r="D1" s="290" t="s">
        <v>383</v>
      </c>
      <c r="E1" s="290" t="s">
        <v>384</v>
      </c>
      <c r="F1" s="290" t="s">
        <v>385</v>
      </c>
      <c r="G1" s="290" t="s">
        <v>386</v>
      </c>
      <c r="H1" s="290" t="s">
        <v>387</v>
      </c>
      <c r="I1" s="290" t="s">
        <v>899</v>
      </c>
      <c r="J1" s="291" t="s">
        <v>822</v>
      </c>
      <c r="K1" s="291" t="s">
        <v>829</v>
      </c>
      <c r="L1" s="302" t="s">
        <v>857</v>
      </c>
      <c r="M1" s="302" t="s">
        <v>859</v>
      </c>
      <c r="N1" s="303" t="s">
        <v>921</v>
      </c>
      <c r="O1" s="300" t="s">
        <v>858</v>
      </c>
      <c r="P1" s="300" t="s">
        <v>859</v>
      </c>
      <c r="Q1" s="301" t="s">
        <v>921</v>
      </c>
      <c r="R1" s="304" t="s">
        <v>922</v>
      </c>
      <c r="S1" s="304" t="s">
        <v>859</v>
      </c>
      <c r="T1" s="304" t="s">
        <v>921</v>
      </c>
    </row>
    <row r="2" spans="1:20" ht="14" x14ac:dyDescent="0.2">
      <c r="A2" s="9" t="s">
        <v>902</v>
      </c>
      <c r="B2" s="292" t="s">
        <v>900</v>
      </c>
      <c r="C2" s="293" t="s">
        <v>388</v>
      </c>
      <c r="D2" s="9">
        <v>1.0999999999999999E-2</v>
      </c>
      <c r="F2" s="294">
        <f>6.1/D2</f>
        <v>554.5454545454545</v>
      </c>
      <c r="G2" s="295">
        <f>F2*10</f>
        <v>5545.454545454545</v>
      </c>
      <c r="H2" s="298">
        <f>7.8/D2/(F2)</f>
        <v>1.278688524590164</v>
      </c>
      <c r="I2" s="294">
        <f>H2*10^3</f>
        <v>1278.688524590164</v>
      </c>
      <c r="J2" s="9">
        <v>30</v>
      </c>
      <c r="K2" s="9">
        <v>30</v>
      </c>
      <c r="L2" s="9">
        <f>$D$2*1000</f>
        <v>11</v>
      </c>
      <c r="M2" s="299">
        <f>L2/10^3*$G2/10^3</f>
        <v>6.0999999999999992E-2</v>
      </c>
      <c r="N2" s="299">
        <f t="shared" ref="N2:N11" si="0">F2*L2/10^6*1*1*I2</f>
        <v>7.8000000000000007</v>
      </c>
      <c r="O2" s="9">
        <f>$D$2*1000</f>
        <v>11</v>
      </c>
      <c r="P2" s="299">
        <f>O2/10^3*$G2/10^3</f>
        <v>6.0999999999999992E-2</v>
      </c>
      <c r="Q2" s="299">
        <f>F2*O2/10^6*1*1*I2</f>
        <v>7.8000000000000007</v>
      </c>
      <c r="R2" s="9">
        <f>$D$2*1000</f>
        <v>11</v>
      </c>
      <c r="S2" s="299">
        <f>R2/10^3*$G2/10^3</f>
        <v>6.0999999999999992E-2</v>
      </c>
      <c r="T2" s="299">
        <f>I2*R2/10^6*1*1*L2</f>
        <v>0.15472131147540985</v>
      </c>
    </row>
    <row r="3" spans="1:20" ht="14" x14ac:dyDescent="0.2">
      <c r="A3" s="9" t="s">
        <v>903</v>
      </c>
      <c r="B3" s="296" t="s">
        <v>896</v>
      </c>
      <c r="C3" s="293" t="s">
        <v>389</v>
      </c>
      <c r="D3" s="9">
        <v>8.5000000000000006E-2</v>
      </c>
      <c r="E3" s="297">
        <v>21000000000</v>
      </c>
      <c r="F3" s="9">
        <v>1850</v>
      </c>
      <c r="G3" s="295">
        <f t="shared" ref="G3:G11" si="1">F3*10</f>
        <v>18500</v>
      </c>
      <c r="H3" s="298">
        <v>0.12</v>
      </c>
      <c r="I3" s="294">
        <f t="shared" ref="I3:I11" si="2">H3*10^3</f>
        <v>120</v>
      </c>
      <c r="J3" s="9">
        <v>60</v>
      </c>
      <c r="K3" s="9">
        <v>30</v>
      </c>
      <c r="L3" s="9">
        <f>$D$3*1000</f>
        <v>85</v>
      </c>
      <c r="M3" s="299">
        <f>L3/10^3*$G3/10^3</f>
        <v>1.5725</v>
      </c>
      <c r="N3" s="299">
        <f t="shared" si="0"/>
        <v>18.87</v>
      </c>
      <c r="O3" s="9">
        <f>$D$3*1000</f>
        <v>85</v>
      </c>
      <c r="P3" s="299">
        <f t="shared" ref="M3:P6" si="3">O3/10^3*$G3/10^3</f>
        <v>1.5725</v>
      </c>
      <c r="Q3" s="299">
        <f t="shared" ref="Q3:Q11" si="4">F3*O3/10^6*1*1*I3</f>
        <v>18.87</v>
      </c>
      <c r="R3" s="9">
        <f>$D$3*1000</f>
        <v>85</v>
      </c>
      <c r="S3" s="299">
        <f t="shared" ref="S3:S7" si="5">R3/10^3*$G3/10^3</f>
        <v>1.5725</v>
      </c>
      <c r="T3" s="299">
        <f t="shared" ref="T3:T11" si="6">I3*R3/10^6*1*1*L3</f>
        <v>0.8670000000000001</v>
      </c>
    </row>
    <row r="4" spans="1:20" x14ac:dyDescent="0.2">
      <c r="A4" s="9" t="s">
        <v>904</v>
      </c>
      <c r="B4" s="296" t="s">
        <v>901</v>
      </c>
      <c r="C4" s="9" t="s">
        <v>390</v>
      </c>
      <c r="F4" s="9">
        <f>AVERAGE(20,100)</f>
        <v>60</v>
      </c>
      <c r="G4" s="295">
        <f>F4*10</f>
        <v>600</v>
      </c>
      <c r="H4" s="298">
        <f>1.1</f>
        <v>1.1000000000000001</v>
      </c>
      <c r="I4" s="294">
        <f t="shared" si="2"/>
        <v>1100</v>
      </c>
      <c r="J4" s="9">
        <v>60</v>
      </c>
      <c r="K4" s="9">
        <v>30</v>
      </c>
      <c r="L4" s="9">
        <v>30</v>
      </c>
      <c r="M4" s="299">
        <f>L4/10^3*$G4/10^3</f>
        <v>1.7999999999999999E-2</v>
      </c>
      <c r="N4" s="299">
        <f t="shared" si="0"/>
        <v>1.98</v>
      </c>
      <c r="O4" s="9">
        <v>30</v>
      </c>
      <c r="P4" s="299">
        <f t="shared" si="3"/>
        <v>1.7999999999999999E-2</v>
      </c>
      <c r="Q4" s="299">
        <f t="shared" si="4"/>
        <v>1.98</v>
      </c>
      <c r="R4" s="9">
        <v>30</v>
      </c>
      <c r="S4" s="299">
        <f t="shared" si="5"/>
        <v>1.7999999999999999E-2</v>
      </c>
      <c r="T4" s="299">
        <f t="shared" si="6"/>
        <v>0.99</v>
      </c>
    </row>
    <row r="5" spans="1:20" x14ac:dyDescent="0.2">
      <c r="A5" s="9" t="s">
        <v>905</v>
      </c>
      <c r="B5" s="9" t="s">
        <v>909</v>
      </c>
      <c r="C5" s="9" t="s">
        <v>391</v>
      </c>
      <c r="F5" s="9">
        <f>AVERAGE(1400,1500)</f>
        <v>1450</v>
      </c>
      <c r="G5" s="295">
        <f t="shared" si="1"/>
        <v>14500</v>
      </c>
      <c r="H5" s="9">
        <v>1.7999999999999999E-2</v>
      </c>
      <c r="I5" s="294">
        <f t="shared" si="2"/>
        <v>18</v>
      </c>
      <c r="J5" s="9">
        <v>60</v>
      </c>
      <c r="K5" s="9">
        <v>30</v>
      </c>
      <c r="L5" s="9">
        <v>60</v>
      </c>
      <c r="M5" s="299">
        <f>L5/10^3*$G5/10^3</f>
        <v>0.87</v>
      </c>
      <c r="N5" s="299">
        <f t="shared" si="0"/>
        <v>1.5659999999999998</v>
      </c>
      <c r="O5" s="9">
        <v>0</v>
      </c>
      <c r="P5" s="9">
        <f t="shared" si="3"/>
        <v>0</v>
      </c>
      <c r="Q5" s="9">
        <f t="shared" si="4"/>
        <v>0</v>
      </c>
      <c r="R5" s="9">
        <v>80</v>
      </c>
      <c r="S5" s="299">
        <f t="shared" si="5"/>
        <v>1.1599999999999999</v>
      </c>
      <c r="T5" s="299">
        <f t="shared" si="6"/>
        <v>8.6400000000000005E-2</v>
      </c>
    </row>
    <row r="6" spans="1:20" x14ac:dyDescent="0.2">
      <c r="A6" s="9" t="s">
        <v>906</v>
      </c>
      <c r="B6" s="9" t="s">
        <v>910</v>
      </c>
      <c r="C6" s="9" t="s">
        <v>392</v>
      </c>
      <c r="F6" s="9">
        <f>AVERAGE(32,160)</f>
        <v>96</v>
      </c>
      <c r="G6" s="295">
        <f t="shared" si="1"/>
        <v>960</v>
      </c>
      <c r="H6" s="9">
        <v>0.81599999999999995</v>
      </c>
      <c r="I6" s="294">
        <f t="shared" si="2"/>
        <v>816</v>
      </c>
      <c r="J6" s="9">
        <v>60</v>
      </c>
      <c r="K6" s="9">
        <v>30</v>
      </c>
      <c r="L6" s="9">
        <v>0</v>
      </c>
      <c r="M6" s="9">
        <f t="shared" si="3"/>
        <v>0</v>
      </c>
      <c r="N6" s="9">
        <f t="shared" si="0"/>
        <v>0</v>
      </c>
      <c r="O6" s="9">
        <v>0</v>
      </c>
      <c r="P6" s="9">
        <f t="shared" si="3"/>
        <v>0</v>
      </c>
      <c r="Q6" s="9">
        <f t="shared" si="4"/>
        <v>0</v>
      </c>
      <c r="R6" s="9">
        <v>0</v>
      </c>
      <c r="S6" s="9">
        <f t="shared" si="5"/>
        <v>0</v>
      </c>
      <c r="T6" s="9">
        <f t="shared" si="6"/>
        <v>0</v>
      </c>
    </row>
    <row r="7" spans="1:20" x14ac:dyDescent="0.2">
      <c r="A7" s="9" t="s">
        <v>907</v>
      </c>
      <c r="B7" s="9" t="s">
        <v>919</v>
      </c>
      <c r="C7" s="9" t="s">
        <v>920</v>
      </c>
      <c r="F7" s="9">
        <f>AVERAGE(32,160)</f>
        <v>96</v>
      </c>
      <c r="G7" s="295">
        <f t="shared" si="1"/>
        <v>960</v>
      </c>
      <c r="H7" s="9">
        <v>0.61699999999999999</v>
      </c>
      <c r="I7" s="294">
        <f t="shared" si="2"/>
        <v>617</v>
      </c>
      <c r="J7" s="9">
        <v>60</v>
      </c>
      <c r="K7" s="9">
        <v>30</v>
      </c>
      <c r="L7" s="9">
        <v>0</v>
      </c>
      <c r="M7" s="9">
        <f t="shared" ref="M7" si="7">L7/10^3*$G7/10^3</f>
        <v>0</v>
      </c>
      <c r="N7" s="9">
        <f t="shared" si="0"/>
        <v>0</v>
      </c>
      <c r="O7" s="9">
        <v>0</v>
      </c>
      <c r="P7" s="9">
        <f t="shared" ref="P7" si="8">O7/10^3*$G7/10^3</f>
        <v>0</v>
      </c>
      <c r="Q7" s="9">
        <f t="shared" si="4"/>
        <v>0</v>
      </c>
      <c r="R7" s="9">
        <v>0</v>
      </c>
      <c r="S7" s="9">
        <f t="shared" si="5"/>
        <v>0</v>
      </c>
      <c r="T7" s="9">
        <f t="shared" si="6"/>
        <v>0</v>
      </c>
    </row>
    <row r="8" spans="1:20" x14ac:dyDescent="0.2">
      <c r="A8" s="9" t="s">
        <v>908</v>
      </c>
      <c r="B8" s="9" t="s">
        <v>911</v>
      </c>
      <c r="C8" s="9" t="s">
        <v>393</v>
      </c>
      <c r="F8" s="295">
        <v>1200</v>
      </c>
      <c r="G8" s="295">
        <f t="shared" si="1"/>
        <v>12000</v>
      </c>
      <c r="H8" s="9">
        <v>0.55200000000000005</v>
      </c>
      <c r="I8" s="294">
        <f t="shared" si="2"/>
        <v>552</v>
      </c>
      <c r="J8" s="9">
        <v>30</v>
      </c>
      <c r="K8" s="9">
        <v>30</v>
      </c>
      <c r="L8" s="9">
        <v>0</v>
      </c>
      <c r="M8" s="9">
        <f>L8/10^3*$F8/10^3</f>
        <v>0</v>
      </c>
      <c r="N8" s="9">
        <f t="shared" si="0"/>
        <v>0</v>
      </c>
      <c r="O8" s="9">
        <v>0</v>
      </c>
      <c r="P8" s="9">
        <f>O8/10^3*$F8/10^3</f>
        <v>0</v>
      </c>
      <c r="Q8" s="9">
        <f t="shared" si="4"/>
        <v>0</v>
      </c>
      <c r="R8" s="9">
        <v>0</v>
      </c>
      <c r="S8" s="9">
        <f>R8/10^3*$F8/10^3</f>
        <v>0</v>
      </c>
      <c r="T8" s="9">
        <f t="shared" si="6"/>
        <v>0</v>
      </c>
    </row>
    <row r="9" spans="1:20" x14ac:dyDescent="0.2">
      <c r="A9" s="9" t="s">
        <v>916</v>
      </c>
      <c r="B9" s="9" t="s">
        <v>912</v>
      </c>
      <c r="C9" s="9" t="s">
        <v>913</v>
      </c>
      <c r="F9" s="295">
        <v>1180</v>
      </c>
      <c r="G9" s="295">
        <f t="shared" si="1"/>
        <v>11800</v>
      </c>
      <c r="H9" s="9">
        <v>0.33500000000000002</v>
      </c>
      <c r="I9" s="294">
        <f t="shared" si="2"/>
        <v>335</v>
      </c>
      <c r="J9" s="9">
        <v>30</v>
      </c>
      <c r="K9" s="9">
        <v>30</v>
      </c>
      <c r="L9" s="9">
        <v>0</v>
      </c>
      <c r="M9" s="9">
        <f t="shared" ref="M9:M10" si="9">L9/10^3*$F9/10^3</f>
        <v>0</v>
      </c>
      <c r="N9" s="9">
        <f t="shared" si="0"/>
        <v>0</v>
      </c>
      <c r="O9" s="9">
        <v>0</v>
      </c>
      <c r="P9" s="9">
        <f t="shared" ref="P9:P10" si="10">O9/10^3*$F9/10^3</f>
        <v>0</v>
      </c>
      <c r="Q9" s="9">
        <f t="shared" si="4"/>
        <v>0</v>
      </c>
      <c r="R9" s="9">
        <v>0</v>
      </c>
      <c r="S9" s="9">
        <f t="shared" ref="S9:S10" si="11">R9/10^3*$F9/10^3</f>
        <v>0</v>
      </c>
      <c r="T9" s="9">
        <f t="shared" si="6"/>
        <v>0</v>
      </c>
    </row>
    <row r="10" spans="1:20" x14ac:dyDescent="0.2">
      <c r="A10" s="9" t="s">
        <v>917</v>
      </c>
      <c r="B10" s="9" t="s">
        <v>914</v>
      </c>
      <c r="C10" s="9" t="s">
        <v>915</v>
      </c>
      <c r="F10" s="295">
        <v>850</v>
      </c>
      <c r="G10" s="295">
        <f t="shared" si="1"/>
        <v>8500</v>
      </c>
      <c r="H10" s="9">
        <v>0.30099999999999999</v>
      </c>
      <c r="I10" s="294">
        <f t="shared" si="2"/>
        <v>301</v>
      </c>
      <c r="J10" s="9">
        <v>30</v>
      </c>
      <c r="K10" s="9">
        <v>30</v>
      </c>
      <c r="L10" s="9">
        <v>0</v>
      </c>
      <c r="M10" s="9">
        <f t="shared" si="9"/>
        <v>0</v>
      </c>
      <c r="N10" s="9">
        <f t="shared" si="0"/>
        <v>0</v>
      </c>
      <c r="O10" s="9">
        <v>0</v>
      </c>
      <c r="P10" s="9">
        <f t="shared" si="10"/>
        <v>0</v>
      </c>
      <c r="Q10" s="9">
        <f t="shared" si="4"/>
        <v>0</v>
      </c>
      <c r="R10" s="9">
        <v>0</v>
      </c>
      <c r="S10" s="9">
        <f t="shared" si="11"/>
        <v>0</v>
      </c>
      <c r="T10" s="9">
        <f t="shared" si="6"/>
        <v>0</v>
      </c>
    </row>
    <row r="11" spans="1:20" ht="15" thickBot="1" x14ac:dyDescent="0.25">
      <c r="A11" s="9" t="s">
        <v>918</v>
      </c>
      <c r="B11" s="296" t="s">
        <v>897</v>
      </c>
      <c r="C11" s="293" t="s">
        <v>898</v>
      </c>
      <c r="D11" s="9">
        <v>0.06</v>
      </c>
      <c r="F11" s="9">
        <v>2000</v>
      </c>
      <c r="G11" s="295">
        <f t="shared" si="1"/>
        <v>20000</v>
      </c>
      <c r="H11" s="9">
        <v>9.11E-2</v>
      </c>
      <c r="I11" s="294">
        <f t="shared" si="2"/>
        <v>91.1</v>
      </c>
      <c r="J11" s="9">
        <v>60</v>
      </c>
      <c r="K11" s="9">
        <v>30</v>
      </c>
      <c r="L11" s="113">
        <v>0</v>
      </c>
      <c r="M11" s="113">
        <v>0</v>
      </c>
      <c r="N11" s="113">
        <f t="shared" si="0"/>
        <v>0</v>
      </c>
      <c r="O11" s="113">
        <v>0</v>
      </c>
      <c r="P11" s="113">
        <v>0</v>
      </c>
      <c r="Q11" s="113">
        <f t="shared" si="4"/>
        <v>0</v>
      </c>
      <c r="R11" s="113">
        <v>0</v>
      </c>
      <c r="S11" s="113">
        <v>0</v>
      </c>
      <c r="T11" s="113">
        <f t="shared" si="6"/>
        <v>0</v>
      </c>
    </row>
    <row r="12" spans="1:20" x14ac:dyDescent="0.2">
      <c r="L12" s="9">
        <f t="shared" ref="L12:Q12" si="12">SUM(L2:L11)</f>
        <v>186</v>
      </c>
      <c r="M12" s="299">
        <f t="shared" si="12"/>
        <v>2.5215000000000001</v>
      </c>
      <c r="N12" s="299">
        <f t="shared" si="12"/>
        <v>30.216000000000001</v>
      </c>
      <c r="O12" s="9">
        <f t="shared" si="12"/>
        <v>126</v>
      </c>
      <c r="P12" s="299">
        <f t="shared" si="12"/>
        <v>1.6515</v>
      </c>
      <c r="Q12" s="299">
        <f t="shared" si="12"/>
        <v>28.650000000000002</v>
      </c>
      <c r="R12" s="9">
        <f>SUM(R2:R11)</f>
        <v>206</v>
      </c>
      <c r="S12" s="299">
        <f t="shared" ref="S12:T12" si="13">SUM(S2:S11)</f>
        <v>2.8114999999999997</v>
      </c>
      <c r="T12" s="299">
        <f t="shared" si="13"/>
        <v>2.0981213114754098</v>
      </c>
    </row>
  </sheetData>
  <phoneticPr fontId="36" type="noConversion"/>
  <pageMargins left="0.7" right="0.7" top="0.78740157499999996" bottom="0.78740157499999996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510AD-05E7-4D40-AEB8-F3F85334DA29}">
  <dimension ref="A2:A31"/>
  <sheetViews>
    <sheetView topLeftCell="A15" workbookViewId="0">
      <selection activeCell="O29" sqref="O29"/>
    </sheetView>
  </sheetViews>
  <sheetFormatPr baseColWidth="10" defaultColWidth="8.83203125" defaultRowHeight="15" x14ac:dyDescent="0.2"/>
  <sheetData>
    <row r="2" spans="1:1" ht="24" x14ac:dyDescent="0.3">
      <c r="A2" s="140" t="s">
        <v>754</v>
      </c>
    </row>
    <row r="4" spans="1:1" s="142" customFormat="1" x14ac:dyDescent="0.2">
      <c r="A4" s="141" t="s">
        <v>755</v>
      </c>
    </row>
    <row r="5" spans="1:1" x14ac:dyDescent="0.2">
      <c r="A5" t="s">
        <v>762</v>
      </c>
    </row>
    <row r="6" spans="1:1" x14ac:dyDescent="0.2">
      <c r="A6" t="s">
        <v>763</v>
      </c>
    </row>
    <row r="7" spans="1:1" x14ac:dyDescent="0.2">
      <c r="A7" t="s">
        <v>764</v>
      </c>
    </row>
    <row r="8" spans="1:1" x14ac:dyDescent="0.2">
      <c r="A8" t="s">
        <v>821</v>
      </c>
    </row>
    <row r="10" spans="1:1" s="142" customFormat="1" x14ac:dyDescent="0.2">
      <c r="A10" s="141" t="s">
        <v>756</v>
      </c>
    </row>
    <row r="11" spans="1:1" x14ac:dyDescent="0.2">
      <c r="A11" t="s">
        <v>771</v>
      </c>
    </row>
    <row r="12" spans="1:1" x14ac:dyDescent="0.2">
      <c r="A12" t="s">
        <v>772</v>
      </c>
    </row>
    <row r="13" spans="1:1" x14ac:dyDescent="0.2">
      <c r="A13" t="s">
        <v>760</v>
      </c>
    </row>
    <row r="14" spans="1:1" x14ac:dyDescent="0.2">
      <c r="A14" t="s">
        <v>765</v>
      </c>
    </row>
    <row r="15" spans="1:1" x14ac:dyDescent="0.2">
      <c r="A15" t="s">
        <v>766</v>
      </c>
    </row>
    <row r="19" spans="1:1" s="142" customFormat="1" x14ac:dyDescent="0.2">
      <c r="A19" s="141" t="s">
        <v>757</v>
      </c>
    </row>
    <row r="23" spans="1:1" s="142" customFormat="1" x14ac:dyDescent="0.2">
      <c r="A23" s="141" t="s">
        <v>758</v>
      </c>
    </row>
    <row r="24" spans="1:1" x14ac:dyDescent="0.2">
      <c r="A24" t="s">
        <v>760</v>
      </c>
    </row>
    <row r="25" spans="1:1" x14ac:dyDescent="0.2">
      <c r="A25" t="s">
        <v>761</v>
      </c>
    </row>
    <row r="31" spans="1:1" s="142" customFormat="1" x14ac:dyDescent="0.2">
      <c r="A31" s="141" t="s">
        <v>759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clarification</vt:lpstr>
      <vt:lpstr>products</vt:lpstr>
      <vt:lpstr>material_prop</vt:lpstr>
      <vt:lpstr>floor_struc_prop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Buss  Christian</dc:creator>
  <cp:lastModifiedBy>Luiz Lindzus</cp:lastModifiedBy>
  <dcterms:created xsi:type="dcterms:W3CDTF">2024-07-01T08:56:09Z</dcterms:created>
  <dcterms:modified xsi:type="dcterms:W3CDTF">2026-10-10T09:41:27Z</dcterms:modified>
</cp:coreProperties>
</file>