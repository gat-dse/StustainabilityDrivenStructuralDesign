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alk\PycharmProjects\StustainabilityDrivenStructuralDesign\Database\"/>
    </mc:Choice>
  </mc:AlternateContent>
  <xr:revisionPtr revIDLastSave="0" documentId="13_ncr:1_{EE111EDC-62D8-49F8-9974-81E5DDCC3609}" xr6:coauthVersionLast="47" xr6:coauthVersionMax="47" xr10:uidLastSave="{00000000-0000-0000-0000-000000000000}"/>
  <bookViews>
    <workbookView xWindow="25490" yWindow="-40" windowWidth="25820" windowHeight="15500" activeTab="2" xr2:uid="{58B6788A-438B-478E-898A-D53025B55ED1}"/>
  </bookViews>
  <sheets>
    <sheet name="clarification" sheetId="5" r:id="rId1"/>
    <sheet name="products" sheetId="1" r:id="rId2"/>
    <sheet name="material_prop" sheetId="2" r:id="rId3"/>
    <sheet name="floor_struc_pr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4" i="1" l="1"/>
  <c r="Z53" i="1"/>
  <c r="Y53" i="1"/>
  <c r="Z51" i="1"/>
  <c r="Y51" i="1"/>
  <c r="Z179" i="1"/>
  <c r="Y179" i="1"/>
  <c r="Z123" i="1"/>
  <c r="Y123" i="1"/>
  <c r="Z86" i="1"/>
  <c r="Y86" i="1"/>
  <c r="Z178" i="1"/>
  <c r="Y178" i="1"/>
  <c r="Z122" i="1"/>
  <c r="Y122" i="1"/>
  <c r="Z50" i="1"/>
  <c r="Y50" i="1"/>
  <c r="Z48" i="1"/>
  <c r="Y48" i="1"/>
  <c r="Z47" i="1"/>
  <c r="Y47" i="1"/>
  <c r="Z46" i="1"/>
  <c r="Y46" i="1"/>
  <c r="Z45" i="1"/>
  <c r="Y45" i="1"/>
  <c r="Z43" i="1"/>
  <c r="Y43" i="1"/>
  <c r="Z106" i="1"/>
  <c r="Y106" i="1"/>
  <c r="Z105" i="1"/>
  <c r="Y105" i="1"/>
  <c r="Z104" i="1"/>
  <c r="Y104" i="1"/>
  <c r="X116" i="1"/>
  <c r="X109" i="1"/>
  <c r="Z103" i="1"/>
  <c r="Y103" i="1"/>
  <c r="Z102" i="1"/>
  <c r="Y102" i="1"/>
  <c r="Z100" i="1"/>
  <c r="Y100" i="1"/>
  <c r="Z99" i="1"/>
  <c r="Y99" i="1"/>
  <c r="Z98" i="1"/>
  <c r="Y98" i="1"/>
  <c r="Z121" i="1"/>
  <c r="Y121" i="1"/>
  <c r="Z113" i="1"/>
  <c r="Y113" i="1"/>
  <c r="Z97" i="1"/>
  <c r="Y97" i="1"/>
  <c r="Z117" i="1"/>
  <c r="Y117" i="1"/>
  <c r="Z112" i="1"/>
  <c r="Y112" i="1"/>
  <c r="Z96" i="1"/>
  <c r="Y96" i="1"/>
  <c r="Z120" i="1"/>
  <c r="Y120" i="1"/>
  <c r="Z111" i="1"/>
  <c r="Y111" i="1"/>
  <c r="Z95" i="1"/>
  <c r="Y95" i="1"/>
  <c r="Z44" i="1"/>
  <c r="Y44" i="1"/>
  <c r="Z61" i="1"/>
  <c r="Y61" i="1"/>
  <c r="Z60" i="1"/>
  <c r="W60" i="1"/>
  <c r="Y60" i="1"/>
  <c r="Z59" i="1"/>
  <c r="Y59" i="1"/>
  <c r="Z58" i="1"/>
  <c r="Y58" i="1"/>
  <c r="Z57" i="1"/>
  <c r="Y57" i="1"/>
  <c r="W57" i="1"/>
  <c r="Z56" i="1"/>
  <c r="Y56" i="1"/>
  <c r="Z42" i="1"/>
  <c r="W42" i="1"/>
  <c r="Y42" i="1"/>
  <c r="X95" i="1" l="1"/>
  <c r="AB8" i="1"/>
  <c r="W8" i="1"/>
  <c r="U8" i="1" s="1"/>
  <c r="AA8" i="1" s="1"/>
  <c r="V8" i="1"/>
  <c r="AB7" i="1"/>
  <c r="V7" i="1"/>
  <c r="U7" i="1" s="1"/>
  <c r="AA7" i="1" s="1"/>
  <c r="AC7" i="1" s="1" a="1"/>
  <c r="AC7" i="1" s="1"/>
  <c r="X94" i="1"/>
  <c r="X110" i="1"/>
  <c r="X119" i="1"/>
  <c r="X111" i="1"/>
  <c r="X120" i="1"/>
  <c r="X41" i="1"/>
  <c r="X96" i="1"/>
  <c r="X112" i="1"/>
  <c r="X117" i="1"/>
  <c r="X97" i="1"/>
  <c r="X113" i="1"/>
  <c r="X121" i="1"/>
  <c r="X98" i="1"/>
  <c r="X87" i="1"/>
  <c r="X107" i="1"/>
  <c r="X114" i="1"/>
  <c r="X118" i="1"/>
  <c r="X42" i="1"/>
  <c r="X99" i="1"/>
  <c r="X43" i="1"/>
  <c r="X44" i="1"/>
  <c r="X45" i="1"/>
  <c r="X46" i="1"/>
  <c r="X47" i="1"/>
  <c r="X48" i="1"/>
  <c r="X49" i="1"/>
  <c r="X50" i="1"/>
  <c r="X122" i="1"/>
  <c r="X178" i="1"/>
  <c r="X86" i="1"/>
  <c r="X123" i="1"/>
  <c r="X179" i="1"/>
  <c r="X51" i="1"/>
  <c r="X26" i="1"/>
  <c r="X52" i="1"/>
  <c r="X73" i="1"/>
  <c r="X53" i="1"/>
  <c r="X54" i="1"/>
  <c r="X55" i="1"/>
  <c r="X100" i="1"/>
  <c r="X101" i="1"/>
  <c r="X88" i="1"/>
  <c r="X108" i="1"/>
  <c r="X115" i="1"/>
  <c r="X102" i="1"/>
  <c r="X103" i="1"/>
  <c r="X89" i="1"/>
  <c r="X104" i="1"/>
  <c r="X105" i="1"/>
  <c r="X56" i="1"/>
  <c r="X57" i="1"/>
  <c r="X58" i="1"/>
  <c r="X59" i="1"/>
  <c r="X60" i="1"/>
  <c r="X61" i="1"/>
  <c r="X106" i="1"/>
  <c r="W180" i="1"/>
  <c r="U180" i="1" s="1"/>
  <c r="AA180" i="1" s="1"/>
  <c r="W181" i="1"/>
  <c r="U181" i="1" s="1"/>
  <c r="AA181" i="1" s="1"/>
  <c r="AB181" i="1"/>
  <c r="AB25" i="1"/>
  <c r="V25" i="1"/>
  <c r="U25" i="1" s="1"/>
  <c r="AB167" i="1"/>
  <c r="W167" i="1"/>
  <c r="U167" i="1" s="1"/>
  <c r="AA167" i="1" s="1"/>
  <c r="AB166" i="1"/>
  <c r="W166" i="1"/>
  <c r="U166" i="1" s="1"/>
  <c r="AA166" i="1" s="1"/>
  <c r="AC166" i="1" s="1" a="1"/>
  <c r="AC166" i="1" s="1"/>
  <c r="AB173" i="1"/>
  <c r="W173" i="1"/>
  <c r="U173" i="1" s="1"/>
  <c r="AA173" i="1" s="1"/>
  <c r="AB164" i="1"/>
  <c r="W164" i="1"/>
  <c r="U164" i="1" s="1"/>
  <c r="AA164" i="1" s="1"/>
  <c r="AB163" i="1"/>
  <c r="W163" i="1"/>
  <c r="V163" i="1"/>
  <c r="AB155" i="1"/>
  <c r="W155" i="1"/>
  <c r="V155" i="1"/>
  <c r="AB162" i="1"/>
  <c r="U162" i="1"/>
  <c r="AA162" i="1" s="1"/>
  <c r="AC162" i="1" s="1" a="1"/>
  <c r="AC162" i="1" s="1"/>
  <c r="AB154" i="1"/>
  <c r="U154" i="1"/>
  <c r="AA154" i="1" s="1"/>
  <c r="AC154" i="1" s="1" a="1"/>
  <c r="AC154" i="1" s="1"/>
  <c r="AB175" i="1"/>
  <c r="U175" i="1"/>
  <c r="AA175" i="1" s="1"/>
  <c r="AB172" i="1"/>
  <c r="U172" i="1"/>
  <c r="AA172" i="1" s="1"/>
  <c r="AB161" i="1"/>
  <c r="U161" i="1"/>
  <c r="AA161" i="1" s="1"/>
  <c r="AB160" i="1"/>
  <c r="W160" i="1"/>
  <c r="V160" i="1"/>
  <c r="AB177" i="1"/>
  <c r="U177" i="1"/>
  <c r="AA177" i="1" s="1"/>
  <c r="AC177" i="1" s="1" a="1"/>
  <c r="AC177" i="1" s="1"/>
  <c r="AB171" i="1"/>
  <c r="U171" i="1"/>
  <c r="AA171" i="1" s="1"/>
  <c r="AC171" i="1" s="1" a="1"/>
  <c r="AC171" i="1" s="1"/>
  <c r="AB159" i="1"/>
  <c r="U159" i="1"/>
  <c r="AA159" i="1" s="1"/>
  <c r="AC159" i="1" s="1" a="1"/>
  <c r="AC159" i="1" s="1"/>
  <c r="AB174" i="1"/>
  <c r="W174" i="1"/>
  <c r="U174" i="1" s="1"/>
  <c r="AA174" i="1" s="1"/>
  <c r="AB170" i="1"/>
  <c r="W170" i="1"/>
  <c r="U170" i="1" s="1"/>
  <c r="AA170" i="1" s="1"/>
  <c r="AB158" i="1"/>
  <c r="W158" i="1"/>
  <c r="U158" i="1" s="1"/>
  <c r="AA158" i="1" s="1"/>
  <c r="AB169" i="1"/>
  <c r="W169" i="1"/>
  <c r="U169" i="1" s="1"/>
  <c r="AA169" i="1" s="1"/>
  <c r="AB157" i="1"/>
  <c r="W157" i="1"/>
  <c r="U157" i="1" s="1"/>
  <c r="AA157" i="1" s="1"/>
  <c r="AB176" i="1"/>
  <c r="U176" i="1"/>
  <c r="AA176" i="1" s="1"/>
  <c r="AC176" i="1" s="1" a="1"/>
  <c r="AC176" i="1" s="1"/>
  <c r="AB168" i="1"/>
  <c r="U168" i="1"/>
  <c r="AA168" i="1" s="1"/>
  <c r="AC168" i="1" s="1" a="1"/>
  <c r="AC168" i="1" s="1"/>
  <c r="AB156" i="1"/>
  <c r="U156" i="1"/>
  <c r="AA156" i="1" s="1"/>
  <c r="AC156" i="1" s="1" a="1"/>
  <c r="AC156" i="1" s="1"/>
  <c r="AB116" i="1"/>
  <c r="W116" i="1"/>
  <c r="V116" i="1"/>
  <c r="AB109" i="1"/>
  <c r="W109" i="1"/>
  <c r="V109" i="1"/>
  <c r="AB115" i="1"/>
  <c r="W115" i="1"/>
  <c r="V115" i="1"/>
  <c r="AB108" i="1"/>
  <c r="W108" i="1"/>
  <c r="V108" i="1"/>
  <c r="AB73" i="1"/>
  <c r="W73" i="1"/>
  <c r="V73" i="1"/>
  <c r="AB52" i="1"/>
  <c r="W52" i="1"/>
  <c r="V52" i="1"/>
  <c r="AB179" i="1"/>
  <c r="W179" i="1"/>
  <c r="V179" i="1"/>
  <c r="AB123" i="1"/>
  <c r="W123" i="1"/>
  <c r="V123" i="1"/>
  <c r="AB86" i="1"/>
  <c r="W86" i="1"/>
  <c r="V86" i="1"/>
  <c r="AB178" i="1"/>
  <c r="W178" i="1"/>
  <c r="V178" i="1"/>
  <c r="AB122" i="1"/>
  <c r="W122" i="1"/>
  <c r="V122" i="1"/>
  <c r="AB118" i="1"/>
  <c r="W118" i="1"/>
  <c r="V118" i="1"/>
  <c r="AB114" i="1"/>
  <c r="W114" i="1"/>
  <c r="V114" i="1"/>
  <c r="AB107" i="1"/>
  <c r="W107" i="1"/>
  <c r="V107" i="1"/>
  <c r="AB121" i="1"/>
  <c r="W121" i="1"/>
  <c r="V121" i="1"/>
  <c r="AB113" i="1"/>
  <c r="W113" i="1"/>
  <c r="V113" i="1"/>
  <c r="AB117" i="1"/>
  <c r="W117" i="1"/>
  <c r="V117" i="1"/>
  <c r="AB112" i="1"/>
  <c r="W112" i="1"/>
  <c r="V112" i="1"/>
  <c r="AB120" i="1"/>
  <c r="W120" i="1"/>
  <c r="V120" i="1"/>
  <c r="AB111" i="1"/>
  <c r="W111" i="1"/>
  <c r="V111" i="1"/>
  <c r="AB119" i="1"/>
  <c r="W119" i="1"/>
  <c r="V119" i="1"/>
  <c r="AB110" i="1"/>
  <c r="W110" i="1"/>
  <c r="V110" i="1"/>
  <c r="AB9" i="1"/>
  <c r="AA126" i="1"/>
  <c r="AA127" i="1"/>
  <c r="AA128" i="1"/>
  <c r="AA129" i="1"/>
  <c r="AA130" i="1"/>
  <c r="AA125" i="1"/>
  <c r="AA63" i="1"/>
  <c r="AA28" i="1"/>
  <c r="AA29" i="1"/>
  <c r="AA30" i="1"/>
  <c r="AA64" i="1"/>
  <c r="AB139" i="1"/>
  <c r="AB138" i="1"/>
  <c r="AB141" i="1"/>
  <c r="AB140" i="1"/>
  <c r="AB6" i="1"/>
  <c r="AB5" i="1"/>
  <c r="AB4" i="1"/>
  <c r="AB3" i="1"/>
  <c r="AB2" i="1"/>
  <c r="AB137" i="1"/>
  <c r="AB136" i="1"/>
  <c r="AB135" i="1"/>
  <c r="AB153" i="1"/>
  <c r="AB152" i="1"/>
  <c r="AB165" i="1"/>
  <c r="AB151" i="1"/>
  <c r="AB150" i="1"/>
  <c r="AB134" i="1"/>
  <c r="AB149" i="1"/>
  <c r="AB148" i="1"/>
  <c r="AB147" i="1"/>
  <c r="AB146" i="1"/>
  <c r="AB145" i="1"/>
  <c r="AB144" i="1"/>
  <c r="AB133" i="1"/>
  <c r="AB143" i="1"/>
  <c r="AB132" i="1"/>
  <c r="AB142" i="1"/>
  <c r="AB131" i="1"/>
  <c r="AB106" i="1"/>
  <c r="AB61" i="1"/>
  <c r="AB60" i="1"/>
  <c r="AB59" i="1"/>
  <c r="AB58" i="1"/>
  <c r="AB57" i="1"/>
  <c r="AB56" i="1"/>
  <c r="AB105" i="1"/>
  <c r="AB104" i="1"/>
  <c r="AB89" i="1"/>
  <c r="AB103" i="1"/>
  <c r="AB102" i="1"/>
  <c r="AB88" i="1"/>
  <c r="AB101" i="1"/>
  <c r="AB100" i="1"/>
  <c r="AB55" i="1"/>
  <c r="AB54" i="1"/>
  <c r="AB53" i="1"/>
  <c r="AB26" i="1"/>
  <c r="AB51" i="1"/>
  <c r="AB50" i="1"/>
  <c r="AB49" i="1"/>
  <c r="AB48" i="1"/>
  <c r="AB47" i="1"/>
  <c r="AB46" i="1"/>
  <c r="AB45" i="1"/>
  <c r="AB43" i="1"/>
  <c r="AB99" i="1"/>
  <c r="AB42" i="1"/>
  <c r="AB87" i="1"/>
  <c r="AB98" i="1"/>
  <c r="AB97" i="1"/>
  <c r="AB96" i="1"/>
  <c r="AB41" i="1"/>
  <c r="AB95" i="1"/>
  <c r="AB94" i="1"/>
  <c r="AB130" i="1"/>
  <c r="AB129" i="1"/>
  <c r="AB128" i="1"/>
  <c r="AB127" i="1"/>
  <c r="AB126" i="1"/>
  <c r="AB180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82" i="1"/>
  <c r="AB81" i="1"/>
  <c r="AB71" i="1"/>
  <c r="AB70" i="1"/>
  <c r="AB80" i="1"/>
  <c r="AB69" i="1"/>
  <c r="AB36" i="1"/>
  <c r="U155" i="1" l="1"/>
  <c r="AA155" i="1" s="1"/>
  <c r="U163" i="1"/>
  <c r="AA163" i="1" s="1"/>
  <c r="U109" i="1"/>
  <c r="AA109" i="1" s="1"/>
  <c r="AC109" i="1" s="1" a="1"/>
  <c r="AC109" i="1" s="1"/>
  <c r="U160" i="1"/>
  <c r="AA160" i="1" s="1"/>
  <c r="U108" i="1"/>
  <c r="AA108" i="1" s="1"/>
  <c r="U114" i="1"/>
  <c r="AA114" i="1" s="1"/>
  <c r="AC114" i="1" s="1" a="1"/>
  <c r="AC114" i="1" s="1"/>
  <c r="U116" i="1"/>
  <c r="AA116" i="1" s="1"/>
  <c r="AC116" i="1" s="1" a="1"/>
  <c r="AC116" i="1" s="1"/>
  <c r="U86" i="1"/>
  <c r="AA86" i="1" s="1"/>
  <c r="U52" i="1"/>
  <c r="AA52" i="1" s="1"/>
  <c r="AC52" i="1" s="1" a="1"/>
  <c r="AC52" i="1" s="1"/>
  <c r="U123" i="1"/>
  <c r="AA123" i="1" s="1"/>
  <c r="U115" i="1"/>
  <c r="AA115" i="1" s="1"/>
  <c r="U73" i="1"/>
  <c r="AA73" i="1" s="1"/>
  <c r="AC73" i="1" s="1" a="1"/>
  <c r="AC73" i="1" s="1"/>
  <c r="U118" i="1"/>
  <c r="AA118" i="1" s="1"/>
  <c r="AC118" i="1" s="1" a="1"/>
  <c r="AC118" i="1" s="1"/>
  <c r="U122" i="1"/>
  <c r="AA122" i="1" s="1"/>
  <c r="U178" i="1"/>
  <c r="AA178" i="1" s="1"/>
  <c r="U107" i="1"/>
  <c r="AA107" i="1" s="1"/>
  <c r="AC107" i="1" s="1" a="1"/>
  <c r="AC107" i="1" s="1"/>
  <c r="U179" i="1"/>
  <c r="AA179" i="1" s="1"/>
  <c r="U121" i="1"/>
  <c r="AA121" i="1" s="1"/>
  <c r="U120" i="1"/>
  <c r="AA120" i="1" s="1"/>
  <c r="U113" i="1"/>
  <c r="AA113" i="1" s="1"/>
  <c r="U112" i="1"/>
  <c r="AA112" i="1" s="1"/>
  <c r="U117" i="1"/>
  <c r="AA117" i="1" s="1"/>
  <c r="U111" i="1"/>
  <c r="AA111" i="1" s="1"/>
  <c r="U119" i="1"/>
  <c r="AA119" i="1" s="1"/>
  <c r="AC119" i="1" s="1" a="1"/>
  <c r="AC119" i="1" s="1"/>
  <c r="U110" i="1"/>
  <c r="AA110" i="1" s="1"/>
  <c r="AC110" i="1" s="1" a="1"/>
  <c r="AC110" i="1" s="1"/>
  <c r="W106" i="1"/>
  <c r="V106" i="1"/>
  <c r="U85" i="1"/>
  <c r="AA85" i="1" s="1"/>
  <c r="U72" i="1"/>
  <c r="AA72" i="1" s="1"/>
  <c r="U84" i="1"/>
  <c r="AA84" i="1" s="1"/>
  <c r="U83" i="1"/>
  <c r="AA83" i="1" s="1"/>
  <c r="U38" i="1"/>
  <c r="AA38" i="1" s="1"/>
  <c r="U37" i="1"/>
  <c r="AA37" i="1" s="1"/>
  <c r="V82" i="1"/>
  <c r="W152" i="1"/>
  <c r="U152" i="1" s="1"/>
  <c r="AA152" i="1" s="1"/>
  <c r="W135" i="1"/>
  <c r="V135" i="1"/>
  <c r="W153" i="1"/>
  <c r="U153" i="1" s="1"/>
  <c r="AA153" i="1" s="1"/>
  <c r="W165" i="1"/>
  <c r="U165" i="1" s="1"/>
  <c r="W151" i="1"/>
  <c r="U151" i="1" s="1"/>
  <c r="AA151" i="1" s="1"/>
  <c r="W150" i="1"/>
  <c r="U150" i="1" s="1"/>
  <c r="AA150" i="1" s="1"/>
  <c r="W134" i="1"/>
  <c r="U134" i="1" s="1"/>
  <c r="AA134" i="1" s="1"/>
  <c r="W149" i="1"/>
  <c r="V149" i="1"/>
  <c r="U148" i="1"/>
  <c r="AA148" i="1" s="1"/>
  <c r="U147" i="1"/>
  <c r="AA147" i="1" s="1"/>
  <c r="W146" i="1"/>
  <c r="V146" i="1"/>
  <c r="V131" i="1"/>
  <c r="U135" i="1" l="1"/>
  <c r="AA135" i="1" s="1"/>
  <c r="U149" i="1"/>
  <c r="AA149" i="1" s="1"/>
  <c r="U106" i="1"/>
  <c r="AA106" i="1" s="1"/>
  <c r="U146" i="1"/>
  <c r="AA146" i="1" s="1"/>
  <c r="W103" i="1"/>
  <c r="V99" i="1"/>
  <c r="V101" i="1"/>
  <c r="U101" i="1" s="1"/>
  <c r="AA101" i="1" s="1"/>
  <c r="W61" i="1"/>
  <c r="V60" i="1"/>
  <c r="G4" i="4"/>
  <c r="E2" i="4"/>
  <c r="G2" i="4" s="1"/>
  <c r="AC63" i="1" a="1"/>
  <c r="AC63" i="1" s="1"/>
  <c r="AC28" i="1" a="1"/>
  <c r="AC28" i="1" s="1"/>
  <c r="AC29" i="1" a="1"/>
  <c r="AC29" i="1" s="1"/>
  <c r="AC30" i="1" a="1"/>
  <c r="AC30" i="1" s="1"/>
  <c r="AC64" i="1" a="1"/>
  <c r="AC64" i="1" s="1"/>
  <c r="U124" i="1"/>
  <c r="AA124" i="1" s="1"/>
  <c r="W44" i="1"/>
  <c r="W66" i="1"/>
  <c r="W67" i="1"/>
  <c r="W68" i="1"/>
  <c r="W78" i="1"/>
  <c r="W79" i="1"/>
  <c r="V61" i="1"/>
  <c r="W59" i="1"/>
  <c r="V59" i="1"/>
  <c r="W58" i="1"/>
  <c r="V58" i="1"/>
  <c r="V57" i="1"/>
  <c r="W56" i="1"/>
  <c r="V56" i="1"/>
  <c r="W105" i="1"/>
  <c r="V105" i="1"/>
  <c r="W104" i="1"/>
  <c r="V104" i="1"/>
  <c r="W89" i="1"/>
  <c r="V89" i="1"/>
  <c r="V103" i="1"/>
  <c r="W102" i="1"/>
  <c r="V102" i="1"/>
  <c r="W88" i="1"/>
  <c r="V88" i="1"/>
  <c r="W100" i="1"/>
  <c r="V100" i="1"/>
  <c r="W55" i="1"/>
  <c r="V55" i="1"/>
  <c r="V54" i="1"/>
  <c r="U54" i="1" s="1"/>
  <c r="AA54" i="1" s="1"/>
  <c r="W53" i="1"/>
  <c r="V53" i="1"/>
  <c r="W26" i="1"/>
  <c r="V26" i="1"/>
  <c r="W51" i="1"/>
  <c r="V51" i="1"/>
  <c r="W50" i="1"/>
  <c r="V50" i="1"/>
  <c r="W49" i="1"/>
  <c r="V49" i="1"/>
  <c r="W48" i="1"/>
  <c r="V48" i="1"/>
  <c r="W47" i="1"/>
  <c r="V47" i="1"/>
  <c r="V46" i="1"/>
  <c r="W46" i="1"/>
  <c r="P139" i="1"/>
  <c r="P138" i="1"/>
  <c r="W5" i="1"/>
  <c r="V5" i="1"/>
  <c r="W140" i="1"/>
  <c r="U140" i="1" s="1"/>
  <c r="AA140" i="1" s="1"/>
  <c r="W141" i="1"/>
  <c r="U141" i="1" s="1"/>
  <c r="AA141" i="1" s="1"/>
  <c r="V6" i="1"/>
  <c r="U6" i="1" s="1"/>
  <c r="AA6" i="1" s="1"/>
  <c r="W136" i="1"/>
  <c r="U136" i="1" s="1"/>
  <c r="AA136" i="1" s="1"/>
  <c r="W137" i="1"/>
  <c r="U137" i="1" s="1"/>
  <c r="AA137" i="1" s="1"/>
  <c r="W4" i="1"/>
  <c r="V4" i="1"/>
  <c r="W3" i="1"/>
  <c r="V3" i="1"/>
  <c r="V2" i="1"/>
  <c r="U2" i="1" s="1"/>
  <c r="AA2" i="1" s="1"/>
  <c r="U142" i="1"/>
  <c r="AA142" i="1" s="1"/>
  <c r="U145" i="1"/>
  <c r="AA145" i="1" s="1"/>
  <c r="V74" i="1"/>
  <c r="U74" i="1" s="1"/>
  <c r="AA74" i="1" s="1"/>
  <c r="V40" i="1"/>
  <c r="U40" i="1" s="1"/>
  <c r="V39" i="1"/>
  <c r="U39" i="1" s="1"/>
  <c r="AA39" i="1" s="1"/>
  <c r="V93" i="1"/>
  <c r="U93" i="1" s="1"/>
  <c r="AA93" i="1" s="1"/>
  <c r="V92" i="1"/>
  <c r="U92" i="1" s="1"/>
  <c r="AA92" i="1" s="1"/>
  <c r="V91" i="1"/>
  <c r="U91" i="1" s="1"/>
  <c r="AA91" i="1" s="1"/>
  <c r="V90" i="1"/>
  <c r="U90" i="1" s="1"/>
  <c r="V96" i="1"/>
  <c r="W144" i="1"/>
  <c r="U144" i="1" s="1"/>
  <c r="AA144" i="1" s="1"/>
  <c r="W133" i="1"/>
  <c r="U133" i="1" s="1"/>
  <c r="AA133" i="1" s="1"/>
  <c r="W143" i="1"/>
  <c r="U143" i="1" s="1"/>
  <c r="AA143" i="1" s="1"/>
  <c r="V132" i="1"/>
  <c r="U132" i="1" s="1"/>
  <c r="AA132" i="1" s="1"/>
  <c r="W131" i="1"/>
  <c r="V79" i="1"/>
  <c r="V78" i="1"/>
  <c r="V68" i="1"/>
  <c r="V67" i="1"/>
  <c r="V66" i="1"/>
  <c r="W65" i="1"/>
  <c r="W35" i="1"/>
  <c r="V35" i="1"/>
  <c r="W34" i="1"/>
  <c r="V34" i="1"/>
  <c r="W33" i="1"/>
  <c r="V33" i="1"/>
  <c r="W32" i="1"/>
  <c r="W31" i="1"/>
  <c r="V27" i="1"/>
  <c r="U27" i="1" s="1"/>
  <c r="AA27" i="1" s="1"/>
  <c r="V76" i="1"/>
  <c r="U76" i="1" s="1"/>
  <c r="AA76" i="1" s="1"/>
  <c r="V62" i="1"/>
  <c r="U62" i="1" s="1"/>
  <c r="AA62" i="1" s="1"/>
  <c r="V75" i="1"/>
  <c r="U75" i="1" s="1"/>
  <c r="AA75" i="1" s="1"/>
  <c r="W45" i="1"/>
  <c r="V45" i="1"/>
  <c r="V44" i="1"/>
  <c r="W41" i="1"/>
  <c r="V41" i="1"/>
  <c r="W43" i="1"/>
  <c r="V43" i="1"/>
  <c r="V94" i="1"/>
  <c r="W99" i="1"/>
  <c r="V42" i="1"/>
  <c r="W87" i="1"/>
  <c r="V87" i="1"/>
  <c r="W98" i="1"/>
  <c r="V98" i="1"/>
  <c r="W97" i="1"/>
  <c r="V97" i="1"/>
  <c r="W139" i="1" l="1"/>
  <c r="V138" i="1"/>
  <c r="AA90" i="1"/>
  <c r="AC90" i="1" s="1" a="1"/>
  <c r="AC90" i="1" s="1"/>
  <c r="AA40" i="1"/>
  <c r="AC40" i="1" s="1" a="1"/>
  <c r="AC40" i="1" s="1"/>
  <c r="AC74" i="1" a="1"/>
  <c r="AC74" i="1" s="1"/>
  <c r="U56" i="1"/>
  <c r="AA56" i="1" s="1"/>
  <c r="AC101" i="1" a="1"/>
  <c r="AC101" i="1" s="1"/>
  <c r="AC39" i="1" a="1"/>
  <c r="AC39" i="1" s="1"/>
  <c r="AC27" i="1" a="1"/>
  <c r="AC27" i="1" s="1"/>
  <c r="AC93" i="1" a="1"/>
  <c r="AC93" i="1" s="1"/>
  <c r="AC76" i="1" a="1"/>
  <c r="AC76" i="1" s="1"/>
  <c r="AC92" i="1" a="1"/>
  <c r="AC92" i="1" s="1"/>
  <c r="AC62" i="1" a="1"/>
  <c r="AC62" i="1" s="1"/>
  <c r="AC91" i="1" a="1"/>
  <c r="AC91" i="1" s="1"/>
  <c r="U33" i="1"/>
  <c r="AA33" i="1" s="1"/>
  <c r="U79" i="1"/>
  <c r="AA79" i="1" s="1"/>
  <c r="U67" i="1"/>
  <c r="AA67" i="1" s="1"/>
  <c r="U5" i="1"/>
  <c r="AA5" i="1" s="1"/>
  <c r="U68" i="1"/>
  <c r="AA68" i="1" s="1"/>
  <c r="U78" i="1"/>
  <c r="AA78" i="1" s="1"/>
  <c r="U34" i="1"/>
  <c r="AA34" i="1" s="1"/>
  <c r="U104" i="1"/>
  <c r="AA104" i="1" s="1"/>
  <c r="U60" i="1"/>
  <c r="AA60" i="1" s="1"/>
  <c r="U66" i="1"/>
  <c r="AA66" i="1" s="1"/>
  <c r="U35" i="1"/>
  <c r="AA35" i="1" s="1"/>
  <c r="U105" i="1"/>
  <c r="AA105" i="1" s="1"/>
  <c r="U58" i="1"/>
  <c r="AA58" i="1" s="1"/>
  <c r="U61" i="1"/>
  <c r="AA61" i="1" s="1"/>
  <c r="U59" i="1"/>
  <c r="AA59" i="1" s="1"/>
  <c r="U102" i="1"/>
  <c r="AA102" i="1" s="1"/>
  <c r="U57" i="1"/>
  <c r="AA57" i="1" s="1"/>
  <c r="U48" i="1"/>
  <c r="AA48" i="1" s="1"/>
  <c r="U103" i="1"/>
  <c r="AA103" i="1" s="1"/>
  <c r="U89" i="1"/>
  <c r="AA89" i="1" s="1"/>
  <c r="U100" i="1"/>
  <c r="AA100" i="1" s="1"/>
  <c r="U88" i="1"/>
  <c r="AA88" i="1" s="1"/>
  <c r="U47" i="1"/>
  <c r="AA47" i="1" s="1"/>
  <c r="U55" i="1"/>
  <c r="AA55" i="1" s="1"/>
  <c r="U53" i="1"/>
  <c r="AA53" i="1" s="1"/>
  <c r="U51" i="1"/>
  <c r="AA51" i="1" s="1"/>
  <c r="U26" i="1"/>
  <c r="AA26" i="1" s="1"/>
  <c r="U50" i="1"/>
  <c r="AA50" i="1" s="1"/>
  <c r="U46" i="1"/>
  <c r="AA46" i="1" s="1"/>
  <c r="U49" i="1"/>
  <c r="AA49" i="1" s="1"/>
  <c r="W138" i="1"/>
  <c r="V139" i="1"/>
  <c r="U3" i="1"/>
  <c r="AA3" i="1" s="1"/>
  <c r="U131" i="1"/>
  <c r="AA131" i="1" s="1"/>
  <c r="U4" i="1"/>
  <c r="AA4" i="1" s="1"/>
  <c r="U42" i="1"/>
  <c r="AA42" i="1" s="1"/>
  <c r="U45" i="1"/>
  <c r="AA45" i="1" s="1"/>
  <c r="U44" i="1"/>
  <c r="U43" i="1"/>
  <c r="AA43" i="1" s="1"/>
  <c r="U41" i="1"/>
  <c r="AA41" i="1" s="1"/>
  <c r="U97" i="1"/>
  <c r="AA97" i="1" s="1"/>
  <c r="U87" i="1"/>
  <c r="AA87" i="1" s="1"/>
  <c r="U98" i="1"/>
  <c r="AA98" i="1" s="1"/>
  <c r="U99" i="1"/>
  <c r="AA99" i="1" s="1"/>
  <c r="W94" i="1"/>
  <c r="U94" i="1" s="1"/>
  <c r="AA94" i="1" s="1"/>
  <c r="W96" i="1"/>
  <c r="W95" i="1"/>
  <c r="V95" i="1"/>
  <c r="V70" i="1"/>
  <c r="W126" i="1"/>
  <c r="W82" i="1"/>
  <c r="W81" i="1"/>
  <c r="V81" i="1"/>
  <c r="W71" i="1"/>
  <c r="V71" i="1"/>
  <c r="W70" i="1"/>
  <c r="W80" i="1"/>
  <c r="V80" i="1"/>
  <c r="W36" i="1"/>
  <c r="V36" i="1"/>
  <c r="W69" i="1"/>
  <c r="V69" i="1"/>
  <c r="W24" i="1"/>
  <c r="U24" i="1" s="1"/>
  <c r="AA24" i="1" s="1"/>
  <c r="W23" i="1"/>
  <c r="U23" i="1" s="1"/>
  <c r="AA23" i="1" s="1"/>
  <c r="W22" i="1"/>
  <c r="V22" i="1"/>
  <c r="W21" i="1"/>
  <c r="V21" i="1"/>
  <c r="W20" i="1"/>
  <c r="V20" i="1"/>
  <c r="W19" i="1"/>
  <c r="V19" i="1"/>
  <c r="W18" i="1"/>
  <c r="U18" i="1" s="1"/>
  <c r="AA18" i="1" s="1"/>
  <c r="W16" i="1"/>
  <c r="U16" i="1" s="1"/>
  <c r="AA16" i="1" s="1"/>
  <c r="W17" i="1"/>
  <c r="U17" i="1" s="1"/>
  <c r="AA17" i="1" s="1"/>
  <c r="V9" i="1"/>
  <c r="W15" i="1"/>
  <c r="V15" i="1"/>
  <c r="W14" i="1"/>
  <c r="V14" i="1"/>
  <c r="W13" i="1"/>
  <c r="U13" i="1" s="1"/>
  <c r="AA13" i="1" s="1"/>
  <c r="W12" i="1"/>
  <c r="V12" i="1"/>
  <c r="W11" i="1"/>
  <c r="V11" i="1"/>
  <c r="W10" i="1"/>
  <c r="W9" i="1"/>
  <c r="V77" i="1"/>
  <c r="U77" i="1" s="1"/>
  <c r="AA77" i="1" s="1"/>
  <c r="V65" i="1"/>
  <c r="U65" i="1" s="1"/>
  <c r="AA65" i="1" s="1"/>
  <c r="V32" i="1"/>
  <c r="U32" i="1" s="1"/>
  <c r="AA32" i="1" s="1"/>
  <c r="V31" i="1"/>
  <c r="U31" i="1" s="1"/>
  <c r="AA31" i="1" s="1"/>
  <c r="U139" i="1" l="1"/>
  <c r="AA139" i="1" s="1"/>
  <c r="U138" i="1"/>
  <c r="AA138" i="1" s="1"/>
  <c r="U10" i="1"/>
  <c r="AA10" i="1" s="1"/>
  <c r="AA25" i="1"/>
  <c r="AC25" i="1" s="1" a="1"/>
  <c r="AC25" i="1" s="1"/>
  <c r="U20" i="1"/>
  <c r="AA20" i="1" s="1"/>
  <c r="U95" i="1"/>
  <c r="AA95" i="1" s="1"/>
  <c r="U19" i="1"/>
  <c r="AA19" i="1" s="1"/>
  <c r="AC75" i="1" a="1"/>
  <c r="AC75" i="1" s="1"/>
  <c r="AC47" i="1" a="1"/>
  <c r="AC47" i="1" s="1"/>
  <c r="AC105" i="1" a="1"/>
  <c r="AC105" i="1" s="1"/>
  <c r="AC32" i="1" a="1"/>
  <c r="AC32" i="1" s="1"/>
  <c r="AC65" i="1" a="1"/>
  <c r="AC65" i="1" s="1"/>
  <c r="AC34" i="1" a="1"/>
  <c r="AC34" i="1" s="1"/>
  <c r="AC78" i="1" a="1"/>
  <c r="AC78" i="1" s="1"/>
  <c r="AC68" i="1" a="1"/>
  <c r="AC68" i="1" s="1"/>
  <c r="AC67" i="1" a="1"/>
  <c r="AC67" i="1" s="1"/>
  <c r="AC79" i="1" a="1"/>
  <c r="AC79" i="1" s="1"/>
  <c r="AC33" i="1" a="1"/>
  <c r="AC33" i="1" s="1"/>
  <c r="AC35" i="1" a="1"/>
  <c r="AC35" i="1" s="1"/>
  <c r="AC66" i="1" a="1"/>
  <c r="AC66" i="1" s="1"/>
  <c r="AC31" i="1" a="1"/>
  <c r="AC31" i="1" s="1"/>
  <c r="U36" i="1"/>
  <c r="AA36" i="1" s="1"/>
  <c r="U81" i="1"/>
  <c r="AA81" i="1" s="1"/>
  <c r="U82" i="1"/>
  <c r="AA82" i="1" s="1"/>
  <c r="U71" i="1"/>
  <c r="AA71" i="1" s="1"/>
  <c r="U80" i="1"/>
  <c r="AA80" i="1" s="1"/>
  <c r="U70" i="1"/>
  <c r="AA70" i="1" s="1"/>
  <c r="U69" i="1"/>
  <c r="AA69" i="1" s="1"/>
  <c r="U12" i="1"/>
  <c r="AA12" i="1" s="1"/>
  <c r="U15" i="1"/>
  <c r="AA15" i="1" s="1"/>
  <c r="U22" i="1"/>
  <c r="AA22" i="1" s="1"/>
  <c r="U14" i="1"/>
  <c r="AA14" i="1" s="1"/>
  <c r="U21" i="1"/>
  <c r="AA21" i="1" s="1"/>
  <c r="U9" i="1"/>
  <c r="AA9" i="1" s="1"/>
  <c r="U11" i="1"/>
  <c r="AA11" i="1" s="1"/>
  <c r="U96" i="1"/>
  <c r="AA96" i="1" s="1"/>
  <c r="AC58" i="1" l="1" a="1"/>
  <c r="AC58" i="1" s="1"/>
  <c r="AC103" i="1" a="1"/>
  <c r="AC103" i="1" s="1"/>
  <c r="AC8" i="1" a="1"/>
  <c r="AC8" i="1" s="1"/>
  <c r="AC181" i="1" a="1"/>
  <c r="AC181" i="1" s="1"/>
  <c r="AC164" i="1" a="1"/>
  <c r="AC164" i="1" s="1"/>
  <c r="AC167" i="1" a="1"/>
  <c r="AC167" i="1" s="1"/>
  <c r="AC173" i="1" a="1"/>
  <c r="AC173" i="1" s="1"/>
  <c r="AC155" i="1" a="1"/>
  <c r="AC155" i="1" s="1"/>
  <c r="AC163" i="1" a="1"/>
  <c r="AC163" i="1" s="1"/>
  <c r="AC161" i="1" a="1"/>
  <c r="AC161" i="1" s="1"/>
  <c r="AC160" i="1" a="1"/>
  <c r="AC160" i="1" s="1"/>
  <c r="AC172" i="1" a="1"/>
  <c r="AC172" i="1" s="1"/>
  <c r="AC175" i="1" a="1"/>
  <c r="AC175" i="1" s="1"/>
  <c r="AC158" i="1" a="1"/>
  <c r="AC158" i="1" s="1"/>
  <c r="AC170" i="1" a="1"/>
  <c r="AC170" i="1" s="1"/>
  <c r="AC174" i="1" a="1"/>
  <c r="AC174" i="1" s="1"/>
  <c r="AC169" i="1" a="1"/>
  <c r="AC169" i="1" s="1"/>
  <c r="AC157" i="1" a="1"/>
  <c r="AC157" i="1" s="1"/>
  <c r="AC178" i="1" a="1"/>
  <c r="AC178" i="1" s="1"/>
  <c r="AC108" i="1" a="1"/>
  <c r="AC108" i="1" s="1"/>
  <c r="AC115" i="1" a="1"/>
  <c r="AC115" i="1" s="1"/>
  <c r="AC179" i="1" a="1"/>
  <c r="AC179" i="1" s="1"/>
  <c r="AC122" i="1" a="1"/>
  <c r="AC122" i="1" s="1"/>
  <c r="AC123" i="1" a="1"/>
  <c r="AC123" i="1" s="1"/>
  <c r="AC86" i="1" a="1"/>
  <c r="AC86" i="1" s="1"/>
  <c r="AC113" i="1" a="1"/>
  <c r="AC113" i="1" s="1"/>
  <c r="AC121" i="1" a="1"/>
  <c r="AC121" i="1" s="1"/>
  <c r="AC111" i="1" a="1"/>
  <c r="AC111" i="1" s="1"/>
  <c r="AC112" i="1" a="1"/>
  <c r="AC112" i="1" s="1"/>
  <c r="AC117" i="1" a="1"/>
  <c r="AC117" i="1" s="1"/>
  <c r="AC120" i="1" a="1"/>
  <c r="AC120" i="1" s="1"/>
  <c r="AC77" i="1" a="1"/>
  <c r="AC77" i="1" s="1"/>
  <c r="AC127" i="1" l="1" a="1"/>
  <c r="AC127" i="1" s="1"/>
  <c r="AC125" i="1" a="1"/>
  <c r="AC125" i="1" s="1"/>
  <c r="AC131" i="1" a="1"/>
  <c r="AC131" i="1" s="1"/>
  <c r="AC130" i="1" a="1"/>
  <c r="AC130" i="1" s="1"/>
  <c r="AC128" i="1" a="1"/>
  <c r="AC128" i="1" s="1"/>
  <c r="AC129" i="1" a="1"/>
  <c r="AC129" i="1" s="1"/>
  <c r="AC126" i="1" a="1"/>
  <c r="AC126" i="1" s="1"/>
  <c r="AC36" i="1" a="1"/>
  <c r="AC36" i="1" s="1"/>
  <c r="AC72" i="1" a="1"/>
  <c r="AC72" i="1" s="1"/>
  <c r="AC85" i="1" a="1"/>
  <c r="AC85" i="1" s="1"/>
  <c r="AC124" i="1" a="1"/>
  <c r="AC124" i="1" s="1"/>
  <c r="AC84" i="1" a="1"/>
  <c r="AC84" i="1" s="1"/>
  <c r="AC83" i="1" a="1"/>
  <c r="AC83" i="1" s="1"/>
  <c r="AC37" i="1" a="1"/>
  <c r="AC37" i="1" s="1"/>
  <c r="AC38" i="1" a="1"/>
  <c r="AC38" i="1" s="1"/>
  <c r="AC153" i="1" a="1"/>
  <c r="AC153" i="1" s="1"/>
  <c r="AC135" i="1" a="1"/>
  <c r="AC135" i="1" s="1"/>
  <c r="AC152" i="1" a="1"/>
  <c r="AC152" i="1" s="1"/>
  <c r="AC106" i="1" a="1"/>
  <c r="AC106" i="1" s="1"/>
  <c r="AC165" i="1" a="1"/>
  <c r="AC165" i="1" s="1"/>
  <c r="AC151" i="1" a="1"/>
  <c r="AC151" i="1" s="1"/>
  <c r="AC134" i="1" a="1"/>
  <c r="AC134" i="1" s="1"/>
  <c r="AC150" i="1" a="1"/>
  <c r="AC150" i="1" s="1"/>
  <c r="AC149" i="1" a="1"/>
  <c r="AC149" i="1" s="1"/>
  <c r="AC147" i="1" a="1"/>
  <c r="AC147" i="1" s="1"/>
  <c r="AC148" i="1" a="1"/>
  <c r="AC148" i="1" s="1"/>
  <c r="AC146" i="1" a="1"/>
  <c r="AC146" i="1" s="1"/>
  <c r="AC53" i="1" a="1"/>
  <c r="AC53" i="1" s="1"/>
  <c r="AC55" i="1" a="1"/>
  <c r="AC55" i="1" s="1"/>
  <c r="AC44" i="1" a="1"/>
  <c r="AC44" i="1" s="1"/>
  <c r="AC50" i="1" a="1"/>
  <c r="AC50" i="1" s="1"/>
  <c r="AC99" i="1" a="1"/>
  <c r="AC99" i="1" s="1"/>
  <c r="AC102" i="1" a="1"/>
  <c r="AC102" i="1" s="1"/>
  <c r="AC100" i="1" a="1"/>
  <c r="AC100" i="1" s="1"/>
  <c r="AC48" i="1" a="1"/>
  <c r="AC48" i="1" s="1"/>
  <c r="AC49" i="1" a="1"/>
  <c r="AC49" i="1" s="1"/>
  <c r="AC98" i="1" a="1"/>
  <c r="AC98" i="1" s="1"/>
  <c r="AC96" i="1" a="1"/>
  <c r="AC96" i="1" s="1"/>
  <c r="AC60" i="1" a="1"/>
  <c r="AC60" i="1" s="1"/>
  <c r="AC97" i="1" a="1"/>
  <c r="AC97" i="1" s="1"/>
  <c r="AC94" i="1" a="1"/>
  <c r="AC94" i="1" s="1"/>
  <c r="AC26" i="1" a="1"/>
  <c r="AC26" i="1" s="1"/>
  <c r="AC42" i="1" a="1"/>
  <c r="AC42" i="1" s="1"/>
  <c r="AC15" i="1" a="1"/>
  <c r="AC15" i="1" s="1"/>
  <c r="AC88" i="1" a="1"/>
  <c r="AC88" i="1" s="1"/>
  <c r="AC46" i="1" a="1"/>
  <c r="AC46" i="1" s="1"/>
  <c r="AC41" i="1" a="1"/>
  <c r="AC41" i="1" s="1"/>
  <c r="AC95" i="1" a="1"/>
  <c r="AC95" i="1" s="1"/>
  <c r="AC59" i="1" a="1"/>
  <c r="AC59" i="1" s="1"/>
  <c r="AC51" i="1" a="1"/>
  <c r="AC51" i="1" s="1"/>
  <c r="AC45" i="1" a="1"/>
  <c r="AC45" i="1" s="1"/>
  <c r="AC89" i="1" a="1"/>
  <c r="AC89" i="1" s="1"/>
  <c r="AC56" i="1" a="1"/>
  <c r="AC56" i="1" s="1"/>
  <c r="AC104" i="1" a="1"/>
  <c r="AC104" i="1" s="1"/>
  <c r="AC57" i="1" a="1"/>
  <c r="AC57" i="1" s="1"/>
  <c r="AC61" i="1" a="1"/>
  <c r="AC61" i="1" s="1"/>
  <c r="AC71" i="1" a="1"/>
  <c r="AC71" i="1" s="1"/>
  <c r="AC87" i="1" a="1"/>
  <c r="AC87" i="1" s="1"/>
  <c r="AC43" i="1" a="1"/>
  <c r="AC43" i="1" s="1"/>
  <c r="AC54" i="1" a="1"/>
  <c r="AC54" i="1" s="1"/>
  <c r="AC180" i="1" a="1"/>
  <c r="AC180" i="1" s="1"/>
  <c r="AC144" i="1" a="1"/>
  <c r="AC144" i="1" s="1"/>
  <c r="AC139" i="1" a="1"/>
  <c r="AC139" i="1" s="1"/>
  <c r="AC145" i="1" a="1"/>
  <c r="AC145" i="1" s="1"/>
  <c r="AC14" i="1" a="1"/>
  <c r="AC14" i="1" s="1"/>
  <c r="AC80" i="1" a="1"/>
  <c r="AC80" i="1" s="1"/>
  <c r="AC5" i="1" a="1"/>
  <c r="AC5" i="1" s="1"/>
  <c r="AC13" i="1" a="1"/>
  <c r="AC13" i="1" s="1"/>
  <c r="AC6" i="1" a="1"/>
  <c r="AC6" i="1" s="1"/>
  <c r="AC11" i="1" a="1"/>
  <c r="AC11" i="1" s="1"/>
  <c r="AC16" i="1" a="1"/>
  <c r="AC16" i="1" s="1"/>
  <c r="AC138" i="1" a="1"/>
  <c r="AC138" i="1" s="1"/>
  <c r="AC143" i="1" a="1"/>
  <c r="AC143" i="1" s="1"/>
  <c r="AC140" i="1" a="1"/>
  <c r="AC140" i="1" s="1"/>
  <c r="AC23" i="1" a="1"/>
  <c r="AC23" i="1" s="1"/>
  <c r="AC70" i="1" a="1"/>
  <c r="AC70" i="1" s="1"/>
  <c r="AC142" i="1" a="1"/>
  <c r="AC142" i="1" s="1"/>
  <c r="AC69" i="1" a="1"/>
  <c r="AC69" i="1" s="1"/>
  <c r="AC24" i="1" a="1"/>
  <c r="AC24" i="1" s="1"/>
  <c r="AC19" i="1" a="1"/>
  <c r="AC19" i="1" s="1"/>
  <c r="AC17" i="1" a="1"/>
  <c r="AC17" i="1" s="1"/>
  <c r="AC12" i="1" a="1"/>
  <c r="AC12" i="1" s="1"/>
  <c r="AC81" i="1" a="1"/>
  <c r="AC81" i="1" s="1"/>
  <c r="AC22" i="1" a="1"/>
  <c r="AC22" i="1" s="1"/>
  <c r="AC141" i="1" a="1"/>
  <c r="AC141" i="1" s="1"/>
  <c r="AC4" i="1" a="1"/>
  <c r="AC4" i="1" s="1"/>
  <c r="AC136" i="1" a="1"/>
  <c r="AC136" i="1" s="1"/>
  <c r="AC20" i="1" a="1"/>
  <c r="AC20" i="1" s="1"/>
  <c r="AC9" i="1" a="1"/>
  <c r="AC9" i="1" s="1"/>
  <c r="AC2" i="1" a="1"/>
  <c r="AC2" i="1" s="1"/>
  <c r="AC21" i="1" a="1"/>
  <c r="AC21" i="1" s="1"/>
  <c r="AC3" i="1" a="1"/>
  <c r="AC3" i="1" s="1"/>
  <c r="AC132" i="1" a="1"/>
  <c r="AC132" i="1" s="1"/>
  <c r="AC137" i="1" a="1"/>
  <c r="AC137" i="1" s="1"/>
  <c r="AC82" i="1" a="1"/>
  <c r="AC82" i="1" s="1"/>
  <c r="AC18" i="1" a="1"/>
  <c r="AC18" i="1" s="1"/>
  <c r="AC133" i="1" a="1"/>
  <c r="AC133" i="1" s="1"/>
  <c r="AC10" i="1" a="1"/>
  <c r="AC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<sst xmlns="http://schemas.openxmlformats.org/spreadsheetml/2006/main" count="2876" uniqueCount="588">
  <si>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</si>
  <si>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</si>
  <si>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</si>
  <si>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</si>
  <si>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</si>
  <si>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</si>
  <si>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</si>
  <si>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</si>
  <si>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</si>
  <si>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</si>
  <si>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</si>
  <si>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</si>
  <si>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</si>
  <si>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</si>
  <si>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</si>
  <si>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</si>
  <si>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</si>
  <si>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</si>
  <si>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</si>
  <si>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</si>
  <si>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</si>
  <si>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</si>
  <si>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</si>
  <si>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</si>
  <si>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</si>
  <si>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</si>
  <si>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</si>
  <si>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</si>
  <si>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</si>
  <si>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</si>
  <si>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</si>
  <si>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</si>
  <si>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</si>
  <si>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</si>
  <si>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</si>
  <si>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</si>
  <si>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</si>
  <si>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</si>
  <si>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</si>
  <si>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</si>
  <si>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</si>
  <si>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</si>
  <si>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</si>
  <si>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</si>
  <si>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</si>
  <si>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</si>
  <si>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</si>
  <si>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</si>
  <si>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</si>
  <si>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</si>
  <si>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</si>
  <si>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</si>
  <si>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</si>
  <si>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</si>
  <si>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</si>
  <si>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</si>
  <si>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</si>
  <si>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</si>
  <si>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</si>
  <si>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</si>
  <si>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</si>
  <si>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</si>
  <si>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</si>
  <si>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</si>
  <si>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</si>
  <si>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</si>
  <si>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</si>
  <si>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</si>
  <si>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</si>
  <si>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</si>
  <si>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</si>
  <si>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</si>
  <si>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</si>
  <si>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</si>
  <si>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</si>
  <si>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</si>
  <si>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</si>
  <si>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</si>
  <si>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</si>
  <si>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</si>
  <si>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</si>
  <si>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</si>
  <si>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</si>
  <si>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</si>
  <si>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</si>
  <si>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</si>
  <si>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</si>
  <si>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</si>
  <si>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</si>
  <si>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</si>
  <si>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</si>
  <si>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</si>
  <si>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</si>
  <si>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</si>
  <si>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</si>
  <si>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</si>
  <si>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</si>
  <si>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</si>
  <si>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</si>
  <si>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</si>
  <si>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</si>
  <si>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</si>
  <si>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</si>
  <si>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</si>
  <si>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</si>
  <si>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</si>
  <si>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</si>
  <si>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</si>
  <si>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</si>
  <si>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</si>
  <si>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</si>
  <si>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</si>
  <si>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</si>
  <si>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</si>
  <si>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</si>
  <si>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</si>
  <si>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</si>
  <si>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</si>
  <si>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</si>
  <si>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</si>
  <si>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</si>
  <si>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</si>
  <si>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</si>
  <si>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</si>
  <si>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</si>
  <si>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</si>
  <si>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</si>
  <si>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</si>
  <si>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</si>
  <si>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</si>
  <si>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</si>
  <si>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</si>
  <si>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</si>
  <si>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</si>
  <si>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</si>
  <si>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</si>
  <si>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</si>
  <si>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</si>
  <si>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</si>
  <si>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</si>
  <si>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</si>
  <si>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</si>
  <si>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</si>
  <si>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</si>
  <si>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</si>
  <si>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</si>
  <si>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</si>
  <si>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</si>
  <si>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</si>
  <si>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</si>
  <si>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</si>
  <si>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</si>
  <si>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</si>
  <si>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</si>
  <si>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</si>
  <si>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</si>
  <si>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</si>
  <si>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</si>
  <si>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</si>
  <si>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</si>
  <si>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</si>
  <si>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</si>
  <si>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</si>
  <si>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</si>
  <si>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</si>
  <si>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</si>
  <si>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</si>
  <si>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</si>
  <si>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</si>
  <si>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</si>
  <si>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</si>
  <si>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</si>
  <si>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</si>
  <si>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</si>
  <si>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</si>
  <si>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</si>
  <si>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</si>
  <si>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</si>
  <si>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</si>
  <si>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</si>
  <si>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</si>
  <si>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</si>
  <si>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</si>
  <si>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</si>
  <si>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</si>
  <si>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</si>
  <si>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</si>
  <si>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</si>
  <si>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</si>
  <si>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</si>
  <si>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</si>
  <si>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</si>
  <si>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</si>
  <si>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</si>
  <si>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</si>
  <si>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</si>
  <si>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</si>
  <si>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</si>
  <si>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</si>
  <si>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</si>
  <si>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</si>
  <si>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</si>
  <si>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</si>
  <si>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</si>
  <si>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</si>
  <si>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</si>
  <si>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</si>
  <si>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</si>
  <si>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</si>
  <si>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</si>
  <si>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</si>
  <si>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</si>
  <si>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</si>
  <si>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</si>
  <si>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</si>
  <si>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</si>
  <si>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</si>
  <si>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</si>
  <si>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</si>
  <si>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</si>
  <si>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</si>
  <si>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</si>
  <si>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</si>
  <si>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</si>
  <si>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</si>
  <si>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</si>
  <si>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</si>
  <si>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</si>
  <si>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</si>
  <si>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</si>
  <si>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</si>
  <si>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</si>
  <si>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</si>
  <si>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</si>
  <si>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</si>
  <si>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</si>
  <si>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</si>
  <si>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</si>
  <si>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</si>
  <si>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</si>
  <si>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</si>
  <si>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</si>
  <si>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</si>
  <si>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</si>
  <si>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</si>
  <si>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</si>
  <si>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</si>
  <si>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</si>
  <si>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</si>
  <si>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</si>
  <si>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</si>
  <si>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</si>
  <si>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</si>
  <si>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</si>
  <si>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</si>
  <si>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</si>
  <si>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</si>
  <si>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</si>
  <si>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</si>
  <si>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</si>
  <si>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</si>
  <si>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</si>
  <si>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</si>
  <si>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</si>
  <si>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</si>
  <si>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</si>
  <si>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</si>
  <si>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</si>
  <si>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</si>
  <si>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</si>
  <si>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</si>
  <si>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</si>
  <si>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</si>
  <si>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</si>
  <si>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</si>
  <si>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</si>
  <si>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</si>
  <si>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</si>
  <si>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</si>
  <si>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</si>
  <si>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</si>
  <si>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</si>
  <si>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</si>
  <si>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</si>
  <si>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</si>
  <si>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</si>
  <si>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</si>
  <si>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</si>
  <si>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</si>
  <si>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</si>
  <si>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</si>
  <si>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</si>
  <si>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</si>
  <si>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</si>
  <si>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</si>
  <si>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</si>
  <si>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</si>
  <si>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</si>
  <si>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</si>
  <si>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</si>
  <si>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</si>
  <si>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</si>
  <si>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</si>
  <si>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</si>
  <si>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</si>
  <si>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</si>
  <si>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</si>
  <si>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</si>
  <si>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</si>
  <si>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</si>
  <si>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</si>
  <si>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</si>
  <si>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</si>
  <si>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</si>
  <si>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</si>
  <si>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</si>
  <si>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</si>
  <si>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</si>
  <si>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</si>
  <si>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</si>
  <si>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</si>
  <si>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</si>
  <si>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</si>
  <si>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</si>
  <si>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</si>
  <si>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</si>
  <si>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</si>
  <si>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</si>
  <si>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</si>
  <si>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</si>
  <si>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</si>
  <si>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</si>
  <si>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</si>
  <si>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</si>
  <si>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</si>
  <si>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</si>
  <si>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</si>
  <si>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</si>
  <si>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</si>
  <si>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</si>
  <si>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</si>
  <si>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</si>
  <si>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</si>
  <si>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</si>
  <si>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</si>
  <si>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</si>
  <si>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</si>
  <si>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</si>
  <si>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</si>
  <si>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</si>
  <si>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</si>
  <si>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</si>
  <si>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</si>
  <si>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</si>
  <si>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</si>
  <si>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</si>
  <si>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</si>
  <si>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</si>
  <si>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</si>
  <si>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</si>
  <si>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</si>
  <si>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</si>
  <si>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</si>
  <si>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</si>
  <si>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</si>
  <si>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</si>
  <si>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</si>
  <si>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</si>
  <si>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</si>
  <si>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</si>
  <si>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</si>
  <si>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</si>
  <si>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</si>
  <si>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</si>
  <si>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</si>
  <si>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</si>
  <si>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</si>
  <si>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</si>
  <si>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</si>
  <si>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</si>
  <si>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</si>
  <si>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</si>
  <si>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</si>
  <si>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</si>
  <si>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</si>
  <si>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</si>
  <si>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</si>
  <si>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</si>
  <si>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</si>
  <si>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</si>
  <si>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</si>
  <si>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</si>
  <si>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</si>
  <si>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</si>
  <si>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</si>
  <si>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</si>
  <si>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</si>
  <si>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</si>
  <si>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</si>
  <si>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</si>
  <si>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</si>
  <si>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</si>
  <si>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</si>
  <si>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</si>
  <si>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</si>
  <si>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</si>
  <si>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</si>
  <si>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</si>
  <si>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</si>
  <si>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</si>
  <si>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</si>
  <si>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</si>
  <si>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</si>
  <si>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</si>
  <si>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</si>
  <si>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</si>
  <si>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</si>
  <si>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</si>
  <si>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</si>
  <si>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</si>
  <si>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</si>
  <si>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</si>
  <si>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</si>
  <si>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</si>
  <si>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</si>
  <si>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</si>
  <si>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</si>
  <si>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</si>
  <si>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</si>
  <si>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</si>
  <si>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</si>
  <si>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</si>
  <si>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</si>
  <si>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</si>
  <si>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</si>
  <si>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</si>
  <si>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</si>
  <si>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</si>
  <si>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</si>
  <si>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</si>
  <si>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</si>
  <si>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</si>
  <si>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</si>
  <si>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</si>
  <si>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</si>
  <si>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</si>
  <si>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</si>
  <si>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</si>
  <si>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</si>
  <si>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</si>
  <si>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</si>
  <si>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</si>
  <si>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</si>
  <si>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</si>
  <si>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</si>
  <si>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</si>
  <si>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</si>
  <si>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</si>
  <si>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</si>
  <si>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</si>
  <si>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</si>
  <si>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</si>
  <si>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</si>
  <si>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</si>
  <si>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</si>
  <si>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</si>
  <si>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</si>
  <si>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</si>
  <si>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</si>
  <si>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</si>
  <si>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</si>
  <si>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</si>
  <si>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</si>
  <si>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</si>
  <si>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</si>
  <si>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</si>
  <si>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</si>
  <si>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</si>
  <si>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</si>
  <si>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</si>
  <si>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</si>
  <si>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</si>
  <si>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</si>
  <si>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</si>
  <si>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</si>
  <si>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</si>
  <si>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</si>
  <si>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</si>
  <si>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</si>
  <si>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</si>
  <si>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</si>
  <si>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</si>
  <si>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</si>
  <si>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</si>
  <si>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</si>
  <si>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</si>
  <si>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</si>
  <si>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</si>
  <si>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</si>
  <si>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</si>
  <si>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</si>
  <si>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</si>
  <si>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</si>
  <si>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</si>
  <si>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</si>
  <si>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</si>
  <si>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</si>
  <si>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</si>
  <si>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</si>
  <si>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</si>
  <si>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</si>
  <si>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</si>
  <si>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</si>
  <si>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</si>
  <si>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</si>
  <si>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</si>
  <si>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</si>
  <si>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</si>
  <si>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</si>
  <si>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</si>
  <si>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</si>
  <si>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Ausstellungslander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</si>
  <si>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</si>
  <si>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</si>
  <si>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</si>
  <si>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</si>
  <si>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</si>
  <si>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</si>
  <si>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</si>
  <si>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</si>
  <si>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Gesamtes GWP mit A1 bis A3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</si>
  <si>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</si>
  <si>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</si>
  <si>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</si>
  <si>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</si>
  <si>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</si>
  <si>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</si>
  <si>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</si>
  <si>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</si>
  <si>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</si>
  <si>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</si>
  <si>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</si>
  <si>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</si>
  <si>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</si>
  <si>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</si>
  <si>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</si>
  <si>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</si>
  <si>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</si>
  <si>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</si>
  <si>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</si>
  <si>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</si>
  <si>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</si>
  <si>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</si>
  <si>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</si>
  <si>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</si>
  <si>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</si>
  <si>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</si>
  <si>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</si>
  <si>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</si>
  <si>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</si>
  <si>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</si>
  <si>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</si>
  <si>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</si>
  <si>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</si>
  <si>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</si>
  <si>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</si>
  <si>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</si>
  <si>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</si>
  <si>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</si>
  <si>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</si>
  <si>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</si>
  <si>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</si>
  <si>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</si>
  <si>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</si>
  <si>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</si>
  <si>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</si>
  <si>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</si>
  <si>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</si>
  <si>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</si>
  <si>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Biogener Kohlenstoff</t>
  </si>
  <si>
    <t>Anmerkung II</t>
  </si>
  <si>
    <t>Anmerkung I</t>
  </si>
  <si>
    <t>GWP-biogenic</t>
  </si>
  <si>
    <t>A1toA3_GWP-biogenic</t>
  </si>
  <si>
    <t>C1toC4_GWP-biogenic</t>
  </si>
  <si>
    <t>GL28h</t>
  </si>
  <si>
    <t>GL32c</t>
  </si>
  <si>
    <t>GL32h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</si>
</sst>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24" fillId="0" borderId="0"/>
  </cellStyleXfs>
  <cellXfs count="250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12" fillId="4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12" fillId="5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49" fontId="12" fillId="4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0" fontId="5" fillId="4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19" fillId="6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0" xfId="0" applyFont="1"/>
    <xf numFmtId="14" fontId="9" fillId="0" borderId="2" xfId="0" quotePrefix="1" applyNumberFormat="1" applyFont="1" applyBorder="1"/>
    <xf numFmtId="0" fontId="9" fillId="0" borderId="11" xfId="0" applyFont="1" applyBorder="1"/>
    <xf numFmtId="49" fontId="9" fillId="0" borderId="21" xfId="0" applyNumberFormat="1" applyFont="1" applyBorder="1"/>
    <xf numFmtId="0" fontId="21" fillId="0" borderId="2" xfId="0" applyFont="1" applyBorder="1"/>
    <xf numFmtId="0" fontId="16" fillId="0" borderId="2" xfId="0" applyFont="1" applyBorder="1"/>
    <xf numFmtId="165" fontId="5" fillId="0" borderId="0" xfId="0" applyNumberFormat="1" applyFont="1" applyAlignment="1">
      <alignment wrapText="1"/>
    </xf>
    <xf numFmtId="165" fontId="0" fillId="0" borderId="0" xfId="0" applyNumberFormat="1"/>
    <xf numFmtId="0" fontId="22" fillId="0" borderId="7" xfId="0" applyFont="1" applyBorder="1"/>
    <xf numFmtId="165" fontId="23" fillId="0" borderId="0" xfId="0" applyNumberFormat="1" applyFont="1" applyAlignment="1">
      <alignment wrapText="1"/>
    </xf>
    <xf numFmtId="166" fontId="22" fillId="0" borderId="7" xfId="0" applyNumberFormat="1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12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2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0" fontId="7" fillId="0" borderId="0" xfId="0" applyFont="1"/>
    <xf numFmtId="0" fontId="14" fillId="0" borderId="0" xfId="0" applyFont="1"/>
    <xf numFmtId="0" fontId="9" fillId="0" borderId="12" xfId="0" applyFont="1" applyBorder="1"/>
    <xf numFmtId="0" fontId="20" fillId="0" borderId="0" xfId="0" applyFont="1"/>
    <xf numFmtId="0" fontId="16" fillId="0" borderId="0" xfId="0" applyFont="1"/>
    <xf numFmtId="0" fontId="25" fillId="0" borderId="10" xfId="0" applyFont="1" applyBorder="1"/>
    <xf numFmtId="0" fontId="25" fillId="0" borderId="0" xfId="0" applyFont="1"/>
    <xf numFmtId="0" fontId="26" fillId="0" borderId="0" xfId="0" applyFont="1" applyAlignment="1">
      <alignment horizontal="left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5" fillId="8" borderId="19" xfId="0" applyFont="1" applyFill="1" applyBorder="1" applyAlignment="1">
      <alignment horizontal="right" wrapText="1"/>
    </xf>
    <xf numFmtId="14" fontId="14" fillId="0" borderId="7" xfId="0" applyNumberFormat="1" applyFont="1" applyBorder="1" applyAlignment="1">
      <alignment horizontal="left"/>
    </xf>
    <xf numFmtId="14" fontId="9" fillId="0" borderId="8" xfId="0" applyNumberFormat="1" applyFont="1" applyBorder="1"/>
    <xf numFmtId="14" fontId="9" fillId="0" borderId="7" xfId="0" applyNumberFormat="1" applyFont="1" applyBorder="1"/>
    <xf numFmtId="14" fontId="10" fillId="0" borderId="7" xfId="0" applyNumberFormat="1" applyFont="1" applyBorder="1" applyAlignment="1">
      <alignment horizontal="left"/>
    </xf>
    <xf numFmtId="14" fontId="10" fillId="0" borderId="7" xfId="0" applyNumberFormat="1" applyFont="1" applyBorder="1"/>
    <xf numFmtId="0" fontId="10" fillId="0" borderId="7" xfId="0" applyFont="1" applyBorder="1" applyAlignment="1">
      <alignment horizontal="left"/>
    </xf>
    <xf numFmtId="0" fontId="10" fillId="0" borderId="10" xfId="0" applyFont="1" applyBorder="1"/>
    <xf numFmtId="0" fontId="10" fillId="0" borderId="0" xfId="0" applyFont="1"/>
    <xf numFmtId="0" fontId="10" fillId="0" borderId="2" xfId="0" applyFont="1" applyBorder="1"/>
    <xf numFmtId="0" fontId="10" fillId="0" borderId="7" xfId="0" applyFont="1" applyBorder="1"/>
    <xf numFmtId="0" fontId="10" fillId="0" borderId="20" xfId="0" applyFont="1" applyBorder="1" applyAlignment="1">
      <alignment horizontal="left"/>
    </xf>
    <xf numFmtId="0" fontId="10" fillId="0" borderId="2" xfId="0" quotePrefix="1" applyFont="1" applyBorder="1"/>
    <xf numFmtId="49" fontId="10" fillId="0" borderId="20" xfId="0" applyNumberFormat="1" applyFont="1" applyBorder="1"/>
    <xf numFmtId="0" fontId="10" fillId="0" borderId="20" xfId="0" applyFont="1" applyBorder="1"/>
    <xf numFmtId="1" fontId="10" fillId="0" borderId="7" xfId="0" applyNumberFormat="1" applyFont="1" applyBorder="1" applyAlignment="1">
      <alignment horizontal="right"/>
    </xf>
    <xf numFmtId="1" fontId="10" fillId="0" borderId="20" xfId="0" applyNumberFormat="1" applyFont="1" applyBorder="1" applyAlignment="1">
      <alignment horizontal="right"/>
    </xf>
    <xf numFmtId="0" fontId="10" fillId="0" borderId="25" xfId="0" applyFont="1" applyBorder="1"/>
    <xf numFmtId="0" fontId="27" fillId="0" borderId="0" xfId="0" applyFont="1"/>
    <xf numFmtId="0" fontId="10" fillId="0" borderId="7" xfId="0" applyFont="1" applyBorder="1" applyAlignment="1">
      <alignment horizontal="right"/>
    </xf>
    <xf numFmtId="0" fontId="3" fillId="9" borderId="0" xfId="0" applyFont="1" applyFill="1"/>
    <xf numFmtId="0" fontId="3" fillId="7" borderId="7" xfId="0" applyFont="1" applyFill="1" applyBorder="1" applyAlignment="1">
      <alignment horizontal="left"/>
    </xf>
    <xf numFmtId="0" fontId="4" fillId="7" borderId="2" xfId="0" applyFont="1" applyFill="1" applyBorder="1"/>
    <xf numFmtId="1" fontId="10" fillId="0" borderId="3" xfId="0" applyNumberFormat="1" applyFont="1" applyBorder="1" applyAlignment="1">
      <alignment horizontal="right"/>
    </xf>
    <xf numFmtId="1" fontId="10" fillId="0" borderId="17" xfId="0" applyNumberFormat="1" applyFont="1" applyBorder="1" applyAlignment="1">
      <alignment horizontal="right"/>
    </xf>
    <xf numFmtId="1" fontId="3" fillId="10" borderId="7" xfId="0" applyNumberFormat="1" applyFont="1" applyFill="1" applyBorder="1" applyAlignment="1">
      <alignment horizontal="right"/>
    </xf>
    <xf numFmtId="1" fontId="3" fillId="10" borderId="20" xfId="0" applyNumberFormat="1" applyFont="1" applyFill="1" applyBorder="1" applyAlignment="1">
      <alignment horizontal="right"/>
    </xf>
    <xf numFmtId="1" fontId="3" fillId="10" borderId="0" xfId="0" applyNumberFormat="1" applyFont="1" applyFill="1" applyAlignment="1">
      <alignment horizontal="right"/>
    </xf>
    <xf numFmtId="1" fontId="3" fillId="0" borderId="17" xfId="0" applyNumberFormat="1" applyFont="1" applyBorder="1" applyAlignment="1">
      <alignment horizontal="right"/>
    </xf>
    <xf numFmtId="0" fontId="0" fillId="0" borderId="17" xfId="0" applyBorder="1" applyAlignment="1">
      <alignment horizontal="right"/>
    </xf>
    <xf numFmtId="0" fontId="5" fillId="11" borderId="6" xfId="0" applyFont="1" applyFill="1" applyBorder="1" applyAlignment="1">
      <alignment horizontal="right" wrapText="1"/>
    </xf>
    <xf numFmtId="0" fontId="5" fillId="11" borderId="19" xfId="0" applyFont="1" applyFill="1" applyBorder="1" applyAlignment="1">
      <alignment horizontal="right" wrapText="1"/>
    </xf>
    <xf numFmtId="1" fontId="7" fillId="0" borderId="17" xfId="0" applyNumberFormat="1" applyFont="1" applyBorder="1" applyAlignment="1">
      <alignment horizontal="right"/>
    </xf>
    <xf numFmtId="1" fontId="14" fillId="0" borderId="17" xfId="0" applyNumberFormat="1" applyFont="1" applyBorder="1" applyAlignment="1">
      <alignment horizontal="right"/>
    </xf>
    <xf numFmtId="1" fontId="9" fillId="0" borderId="17" xfId="0" applyNumberFormat="1" applyFont="1" applyBorder="1" applyAlignment="1">
      <alignment horizontal="right"/>
    </xf>
    <xf numFmtId="1" fontId="9" fillId="0" borderId="18" xfId="0" applyNumberFormat="1" applyFont="1" applyBorder="1" applyAlignment="1">
      <alignment horizontal="right"/>
    </xf>
    <xf numFmtId="1" fontId="3" fillId="10" borderId="17" xfId="0" applyNumberFormat="1" applyFont="1" applyFill="1" applyBorder="1" applyAlignment="1">
      <alignment horizontal="right"/>
    </xf>
    <xf numFmtId="1" fontId="10" fillId="0" borderId="18" xfId="0" applyNumberFormat="1" applyFont="1" applyBorder="1" applyAlignment="1">
      <alignment horizontal="right"/>
    </xf>
    <xf numFmtId="1" fontId="3" fillId="0" borderId="18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0" fontId="11" fillId="11" borderId="6" xfId="0" applyFont="1" applyFill="1" applyBorder="1" applyAlignment="1">
      <alignment horizontal="right" wrapText="1"/>
    </xf>
    <xf numFmtId="0" fontId="28" fillId="0" borderId="28" xfId="0" applyFont="1" applyBorder="1" applyAlignment="1">
      <alignment horizontal="right" wrapText="1"/>
    </xf>
    <xf numFmtId="1" fontId="29" fillId="0" borderId="17" xfId="0" applyNumberFormat="1" applyFont="1" applyBorder="1" applyAlignment="1">
      <alignment horizontal="right" wrapText="1"/>
    </xf>
    <xf numFmtId="1" fontId="29" fillId="0" borderId="0" xfId="0" applyNumberFormat="1" applyFont="1" applyAlignment="1">
      <alignment horizontal="right"/>
    </xf>
    <xf numFmtId="1" fontId="29" fillId="0" borderId="21" xfId="0" applyNumberFormat="1" applyFont="1" applyBorder="1" applyAlignment="1">
      <alignment horizontal="right" wrapText="1"/>
    </xf>
    <xf numFmtId="1" fontId="29" fillId="0" borderId="12" xfId="0" applyNumberFormat="1" applyFont="1" applyBorder="1" applyAlignment="1">
      <alignment horizontal="right"/>
    </xf>
    <xf numFmtId="0" fontId="30" fillId="0" borderId="0" xfId="0" applyFont="1" applyAlignment="1">
      <alignment horizontal="right"/>
    </xf>
    <xf numFmtId="0" fontId="12" fillId="0" borderId="13" xfId="0" applyFont="1" applyBorder="1" applyAlignment="1">
      <alignment horizontal="left" wrapText="1"/>
    </xf>
    <xf numFmtId="0" fontId="7" fillId="0" borderId="17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9" fillId="0" borderId="12" xfId="0" quotePrefix="1" applyFont="1" applyBorder="1"/>
    <xf numFmtId="0" fontId="9" fillId="0" borderId="0" xfId="0" quotePrefix="1" applyFont="1"/>
    <xf numFmtId="165" fontId="22" fillId="0" borderId="8" xfId="0" applyNumberFormat="1" applyFont="1" applyBorder="1" applyAlignment="1">
      <alignment horizontal="left"/>
    </xf>
    <xf numFmtId="0" fontId="22" fillId="0" borderId="8" xfId="0" applyFont="1" applyBorder="1"/>
    <xf numFmtId="165" fontId="22" fillId="0" borderId="7" xfId="0" applyNumberFormat="1" applyFont="1" applyBorder="1" applyAlignment="1">
      <alignment horizontal="left"/>
    </xf>
    <xf numFmtId="0" fontId="22" fillId="0" borderId="0" xfId="0" applyFont="1"/>
    <xf numFmtId="166" fontId="22" fillId="0" borderId="0" xfId="0" applyNumberFormat="1" applyFont="1" applyAlignment="1">
      <alignment horizontal="left"/>
    </xf>
    <xf numFmtId="14" fontId="9" fillId="0" borderId="8" xfId="0" applyNumberFormat="1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3" xfId="0" quotePrefix="1" applyFont="1" applyBorder="1"/>
    <xf numFmtId="0" fontId="10" fillId="0" borderId="2" xfId="0" applyFont="1" applyBorder="1" applyAlignment="1">
      <alignment horizontal="left"/>
    </xf>
    <xf numFmtId="1" fontId="3" fillId="0" borderId="29" xfId="0" applyNumberFormat="1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1" fontId="3" fillId="0" borderId="30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right"/>
    </xf>
    <xf numFmtId="1" fontId="9" fillId="0" borderId="9" xfId="0" applyNumberFormat="1" applyFont="1" applyBorder="1" applyAlignment="1">
      <alignment horizontal="right"/>
    </xf>
    <xf numFmtId="1" fontId="29" fillId="0" borderId="17" xfId="0" applyNumberFormat="1" applyFont="1" applyBorder="1" applyAlignment="1">
      <alignment horizontal="right"/>
    </xf>
    <xf numFmtId="1" fontId="29" fillId="0" borderId="0" xfId="0" applyNumberFormat="1" applyFont="1" applyAlignment="1">
      <alignment horizontal="right" wrapText="1"/>
    </xf>
    <xf numFmtId="1" fontId="29" fillId="0" borderId="12" xfId="0" applyNumberFormat="1" applyFont="1" applyBorder="1" applyAlignment="1">
      <alignment horizontal="right" wrapText="1"/>
    </xf>
    <xf numFmtId="0" fontId="16" fillId="0" borderId="3" xfId="0" applyFont="1" applyBorder="1"/>
  </cellXfs>
  <cellStyles count="2">
    <cellStyle name="Normal" xfId="0" builtinId="0"/>
    <cellStyle name="Standard 2" xfId="1" xr:uid="{FDCFE4BD-E849-456C-8E2E-B78D9BD993F6}"/>
  </cellStyles>
  <dxfs count="83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3</xdr:col>
      <xdr:colOff>75557</xdr:colOff>
      <xdr:row>22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D4" totalsRowShown="0" headerRowDxfId="68" dataDxfId="67">
  <autoFilter ref="A3:AD4" xr:uid="{690E7B34-75E3-43BA-8CDD-44A4EFCCEFD5}"/>
  <tableColumns count="30">
    <tableColumn id="9" xr3:uid="{4327453A-1A7F-4476-BD0D-7087E884AB9B}" name="ID" dataDxfId="66"/>
    <tableColumn id="28" xr3:uid="{709ACE5D-F046-49EF-BF06-483AA13D3168}" name="Copy for strength" dataDxfId="65"/>
    <tableColumn id="14" xr3:uid="{CA8EE2DF-FBF4-419D-B883-CDEEDEA41BA4}" name="PRO_ID" dataDxfId="64"/>
    <tableColumn id="12" xr3:uid="{061493FC-B22F-42C9-AA1E-DB63409BA7F9}" name="EPD_ID" dataDxfId="63"/>
    <tableColumn id="1" xr3:uid="{1A694644-5436-4D17-ADBE-9AB769772E55}" name="SOURCE" dataDxfId="62"/>
    <tableColumn id="27" xr3:uid="{22179954-6B37-435E-BA83-58D93A8C10D0}" name="KBOB ID-Nr." dataDxfId="61"/>
    <tableColumn id="11" xr3:uid="{7A53B541-3CF9-4572-8ADB-18F5734B82A7}" name="EPD_DATE" dataDxfId="60"/>
    <tableColumn id="10" xr3:uid="{4FE41A4C-93F8-4064-9823-B085B8E0CEB9}" name="VALID_TO" dataDxfId="59"/>
    <tableColumn id="22" xr3:uid="{2C3C496D-7117-464E-A7C2-4C5813516008}" name="COUNTRY" dataDxfId="58"/>
    <tableColumn id="4" xr3:uid="{0BD9D6CA-5024-4126-A24C-41810042551C}" name="PRODUCT_NAME" dataDxfId="57"/>
    <tableColumn id="26" xr3:uid="{51E77B8B-89A7-4B44-8529-18C11CCD9A34}" name="OEKOBAUDAT_ID" dataDxfId="56"/>
    <tableColumn id="25" xr3:uid="{7E08604C-D678-49EE-8D86-4A7A1ED46F1A}" name="MATERIAL_GROUP" dataDxfId="55"/>
    <tableColumn id="2" xr3:uid="{BE662D94-99B6-4EFF-9032-1ED2F0E972D1}" name="MATERIAL" dataDxfId="54"/>
    <tableColumn id="5" xr3:uid="{2FBE4DF6-6BEB-4E41-BBD8-511C2A8FFAF9}" name="CEMENT" dataDxfId="53"/>
    <tableColumn id="6" xr3:uid="{BBAF53EB-136C-40FA-92AF-CD5CBEED9688}" name="MECH_PROP" dataDxfId="52"/>
    <tableColumn id="13" xr3:uid="{ED45B533-9B3C-451C-AEDE-468F3B99FA05}" name="DENSITY" dataDxfId="51"/>
    <tableColumn id="18" xr3:uid="{C2AF0B95-EE6A-447F-B660-2537C72D3E95}" name="EXPOSITIONSKLASSE" dataDxfId="50"/>
    <tableColumn id="17" xr3:uid="{499B5798-0764-4B6A-AB51-09C42CAFF2D2}" name="GROESSTKORN" dataDxfId="49"/>
    <tableColumn id="16" xr3:uid="{F57188E0-41C3-4A24-8800-10B71B64E948}" name="CHLORIDGEHALT" dataDxfId="48"/>
    <tableColumn id="15" xr3:uid="{A7A410CF-12B2-4540-BEF4-43BF328A783B}" name="KONSISTENZKLASSE" dataDxfId="47"/>
    <tableColumn id="7" xr3:uid="{3FCB1B2D-F01F-4D2B-BA30-AA53E3DB3EE8}" name="Total_GWP" dataDxfId="46"/>
    <tableColumn id="20" xr3:uid="{7BAB2BBF-8F43-4C9D-A5A0-A07EA347D700}" name="A1toA3_GWP" dataDxfId="45"/>
    <tableColumn id="21" xr3:uid="{77D6C102-FB35-4727-A3C8-E6A00274176F}" name="C1toC4_GWP" dataDxfId="44"/>
    <tableColumn id="30" xr3:uid="{B001553E-7930-428C-96E8-4D06EB4E44C4}" name="Biogener Kohlenstoff" dataDxfId="43"/>
    <tableColumn id="19" xr3:uid="{8C8FD9FA-44EB-4FBA-A534-66A4D0393E35}" name="ValidEPD" dataDxfId="42"/>
    <tableColumn id="29" xr3:uid="{AEC2B763-DD86-4F40-BD2C-83022A2E22DC}" name="noch gültig" dataDxfId="41"/>
    <tableColumn id="3" xr3:uid="{CDA61043-100D-4C39-BAC9-83C4A01A5EA7}" name="Statistik" dataDxfId="40"/>
    <tableColumn id="8" xr3:uid="{9A1C9F83-8C3A-43AF-82C8-FAFEC4BADC1F}" name="Cost" dataDxfId="39"/>
    <tableColumn id="24" xr3:uid="{6842DF33-E642-43FD-AD7E-4A71C905F11B}" name="Anmerkung" dataDxfId="38"/>
    <tableColumn id="23" xr3:uid="{2F1FC53A-6C91-424B-97F2-13507AAAC132}" name="Spalte 1" dataDxfId="3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F181" totalsRowShown="0" headerRowDxfId="36" dataDxfId="35">
  <autoFilter ref="A1:AF181" xr:uid="{690E7B34-75E3-43BA-8CDD-44A4EFCCEFD5}"/>
  <sortState xmlns:xlrd2="http://schemas.microsoft.com/office/spreadsheetml/2017/richdata2" ref="A2:AF181">
    <sortCondition ref="O1:O181"/>
  </sortState>
  <tableColumns count="32">
    <tableColumn id="9" xr3:uid="{1DBBD25D-72F9-4A81-9CFA-500505E3628D}" name="ID" dataDxfId="34"/>
    <tableColumn id="28" xr3:uid="{AF2749EE-34B8-415F-870D-E058200DE35E}" name="Copy for strength" dataDxfId="33"/>
    <tableColumn id="14" xr3:uid="{6844A52F-C967-44C0-BF5C-160C47AB6E64}" name="PRO_ID" dataDxfId="32"/>
    <tableColumn id="12" xr3:uid="{4EDF1E73-4744-474F-8DFE-7F72FB05613C}" name="EPD_ID" dataDxfId="31"/>
    <tableColumn id="1" xr3:uid="{1CF2E22E-1020-4F35-B31F-6350A15A5DE8}" name="SOURCE" dataDxfId="30"/>
    <tableColumn id="27" xr3:uid="{07F74D5D-9130-4120-B02C-A11234427F46}" name="KBOB ID-Nr." dataDxfId="29"/>
    <tableColumn id="11" xr3:uid="{81FE7F31-5F54-40F9-B99E-827E048F7DB5}" name="EPD_DATE" dataDxfId="28"/>
    <tableColumn id="10" xr3:uid="{54D8BA04-0FEF-4C3B-9B14-59E8F982CD3F}" name="VALID_TO" dataDxfId="27"/>
    <tableColumn id="22" xr3:uid="{3D6FC370-B8A8-40C3-9FC8-791B178DDFDF}" name="COUNTRY" dataDxfId="26"/>
    <tableColumn id="4" xr3:uid="{25C7280F-4E3E-4E39-BDBB-DC06DF090C5B}" name="PRODUCT_NAME" dataDxfId="25"/>
    <tableColumn id="26" xr3:uid="{1053A7DD-B11F-4E75-92EC-BC0F866E90B4}" name="OEKOBAUDAT_ID" dataDxfId="24"/>
    <tableColumn id="25" xr3:uid="{295F99F8-E318-45C9-833E-F0B45A26471A}" name="MATERIAL_GROUP" dataDxfId="23"/>
    <tableColumn id="2" xr3:uid="{1326FCEF-D1EE-4F3A-BB8B-77CB4EC72B0C}" name="MATERIAL" dataDxfId="22"/>
    <tableColumn id="5" xr3:uid="{9B2A7F84-D968-4A00-B61F-23BB0661E7A3}" name="CEMENT" dataDxfId="21"/>
    <tableColumn id="6" xr3:uid="{2F6E5831-6238-4360-9CFD-ED23A193E761}" name="MECH_PROP" dataDxfId="20"/>
    <tableColumn id="13" xr3:uid="{50DAB01C-8AF5-4E0C-9904-54F70B81BC55}" name="DENSITY" dataDxfId="19"/>
    <tableColumn id="18" xr3:uid="{F799A4D4-9543-475F-989E-CFBA47249558}" name="EXPOSITIONSKLASSE" dataDxfId="18"/>
    <tableColumn id="17" xr3:uid="{ECCBC067-991C-4C60-942D-806BCD77B990}" name="GROESSTKORN" dataDxfId="17"/>
    <tableColumn id="16" xr3:uid="{05157B85-D5FB-4844-9B53-D8AB09BCE0D9}" name="CHLORIDGEHALT" dataDxfId="16"/>
    <tableColumn id="15" xr3:uid="{9F53CF50-7148-405A-9295-1F0C3C45645A}" name="KONSISTENZKLASSE" dataDxfId="15"/>
    <tableColumn id="7" xr3:uid="{E23232F6-E86E-4AD2-8257-F30C0D1F7368}" name="Total_GWP" dataDxfId="14"/>
    <tableColumn id="20" xr3:uid="{0A9001B4-3AB4-4C58-B125-0B2AA4DB2681}" name="A1toA3_GWP" dataDxfId="13">
      <calculatedColumnFormula>119+10.9+238</calculatedColumnFormula>
    </tableColumn>
    <tableColumn id="21" xr3:uid="{2799394A-C481-45CE-B194-AAABAB0AED38}" name="C1toC4_GWP" dataDxfId="12">
      <calculatedColumnFormula>51.1+26+2.64+12.6</calculatedColumnFormula>
    </tableColumn>
    <tableColumn id="31" xr3:uid="{A1EC83FE-58BF-4EEF-9E55-CDAC7B250B81}" name="GWP-biogenic" dataDxfId="11"/>
    <tableColumn id="33" xr3:uid="{EB5FEDE4-AD27-4874-A819-0B2C01BDA1AC}" name="A1toA3_GWP-biogenic" dataDxfId="10">
      <calculatedColumnFormula>(-696)/Table2[[#This Row],[DENSITY]]*1000</calculatedColumnFormula>
    </tableColumn>
    <tableColumn id="32" xr3:uid="{4C94BFE2-8A39-4ADD-8C6F-CC09A734307D}" name="C1toC4_GWP-biogenic" dataDxfId="9">
      <calculatedColumnFormula>(1.42+759)/Table2[[#This Row],[DENSITY]]*1000</calculatedColumnFormula>
    </tableColumn>
    <tableColumn id="19" xr3:uid="{70561D70-9D02-4E93-A395-229DA8696DDA}" name="ValidEPD" dataDxfId="8">
      <calculatedColumnFormula>IF(OR($E2="Ecoinvent",$E2="Betonsortenrechner",$E2="KBOB",$U2&lt;=0),0,1)</calculatedColumnFormula>
    </tableColumn>
    <tableColumn id="29" xr3:uid="{92D55BC7-F55B-406A-B127-69EC2F0A8B77}" name="noch gültig" dataDxfId="7">
      <calculatedColumnFormula>IF(Table2[[#This Row],[VALID_TO]]&gt;=TODAY(), 1, 0)</calculatedColumnFormula>
    </tableColumn>
    <tableColumn id="3" xr3:uid="{DB90AC0A-8933-4040-BADE-E6EE11AC8BD7}" name="Statistik" dataDxfId="6">
      <calculatedColumnFormula array="1">IF($AA2&lt;&gt;0,
IF(AND(
                         U2&gt;=_xlfn.PERCENTILE.INC(_xlfn._xlws.FILTER($U$2:$U$197, ($M$2:$M$197=M2)*($AA$2:$AA$197=1)),0.1),
                         U2&lt;=_xlfn.PERCENTILE.INC(_xlfn._xlws.FILTER($U$2:$U$197, ($M$2:$M$197=M2)*($AA$2:$AA$197=1)),0.9)
               ),1,0),
0)</calculatedColumnFormula>
    </tableColumn>
    <tableColumn id="8" xr3:uid="{BBA6C134-63F9-4711-8B25-086098EC2CB0}" name="Cost" dataDxfId="5"/>
    <tableColumn id="24" xr3:uid="{5321A0E1-043C-4E95-A6DA-41830364B2BC}" name="Anmerkung I" dataDxfId="4"/>
    <tableColumn id="23" xr3:uid="{61456234-34E8-4222-B2D6-9DDA8E83B081}" name="Anmerkung II" dataDxfId="3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I13" totalsRowShown="0" headerRowDxfId="82" dataDxfId="80" headerRowBorderDxfId="81" tableBorderDxfId="79" totalsRowBorderDxfId="78">
  <autoFilter ref="A1:I13" xr:uid="{188FAA96-3B75-4826-B66B-A81D5BCFC670}"/>
  <tableColumns count="9">
    <tableColumn id="1" xr3:uid="{AF3C694B-2C8A-40EE-B8BB-2EC9EB81A87A}" name="mat_ID" dataDxfId="77"/>
    <tableColumn id="2" xr3:uid="{B447FBC2-C455-4332-8F47-150B112A57E0}" name="name" dataDxfId="76"/>
    <tableColumn id="3" xr3:uid="{BAFC6B47-7268-46CC-A881-892C9A1F4334}" name="strength_comp" dataDxfId="75"/>
    <tableColumn id="4" xr3:uid="{6FC4C8EB-7581-4E67-81CE-C724161F0838}" name="strength_tens" dataDxfId="74"/>
    <tableColumn id="5" xr3:uid="{A875970E-61A9-43B5-9361-7616A74C3147}" name="strength_bend" dataDxfId="73"/>
    <tableColumn id="6" xr3:uid="{EF5B3A69-DD70-420A-88FF-4FE8772A2E14}" name="strength_shea" dataDxfId="72"/>
    <tableColumn id="7" xr3:uid="{ED461A80-736C-42BD-81BC-C5C0C80FF34C}" name="E_modulus" dataDxfId="71"/>
    <tableColumn id="8" xr3:uid="{68E47481-7028-4427-B126-2A046FC46737}" name="density_load" dataDxfId="70"/>
    <tableColumn id="9" xr3:uid="{7AB34570-2BD4-417F-B141-70612577C7D6}" name="burn_rate" dataDxf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E1048345"/>
  <sheetViews>
    <sheetView showGridLines="0" topLeftCell="K1" zoomScale="94" zoomScaleNormal="100" workbookViewId="0">
      <selection activeCell="X4" sqref="X4"/>
    </sheetView>
  </sheetViews>
  <sheetFormatPr defaultColWidth="9.140625" defaultRowHeight="15" x14ac:dyDescent="0.25"/>
  <cols>
    <col min="1" max="1" width="6.5703125" style="43" customWidth="1"/>
    <col min="2" max="2" width="6.5703125" style="161" customWidth="1"/>
    <col min="3" max="3" width="5" style="70" customWidth="1"/>
    <col min="4" max="4" width="24" customWidth="1"/>
    <col min="5" max="5" width="24.28515625" customWidth="1"/>
    <col min="6" max="8" width="10.7109375" customWidth="1"/>
    <col min="9" max="9" width="10.7109375" style="41" customWidth="1"/>
    <col min="10" max="10" width="19.42578125" customWidth="1"/>
    <col min="11" max="12" width="10.7109375" customWidth="1"/>
    <col min="13" max="13" width="35" style="48" customWidth="1"/>
    <col min="14" max="16" width="10.7109375" customWidth="1"/>
    <col min="17" max="17" width="6.7109375" customWidth="1"/>
    <col min="18" max="19" width="6.7109375" style="42" customWidth="1"/>
    <col min="20" max="20" width="6.7109375" customWidth="1"/>
    <col min="21" max="21" width="10.28515625" style="82" customWidth="1"/>
    <col min="22" max="25" width="6.7109375" style="82" customWidth="1"/>
    <col min="26" max="26" width="8.28515625" style="82" customWidth="1"/>
    <col min="27" max="27" width="6.7109375" style="82" customWidth="1"/>
    <col min="28" max="28" width="6.7109375" customWidth="1"/>
    <col min="29" max="29" width="71" customWidth="1"/>
    <col min="30" max="30" width="23.7109375" style="144" bestFit="1" customWidth="1"/>
    <col min="31" max="32" width="23.7109375" bestFit="1" customWidth="1"/>
    <col min="33" max="33" width="15.5703125" bestFit="1" customWidth="1"/>
    <col min="34" max="60" width="23.7109375" bestFit="1" customWidth="1"/>
    <col min="61" max="61" width="15.5703125" bestFit="1" customWidth="1"/>
  </cols>
  <sheetData>
    <row r="1" spans="1:31" ht="24" x14ac:dyDescent="0.4">
      <c r="A1" s="162" t="s">
        <v>511</v>
      </c>
      <c r="C1" s="164"/>
      <c r="D1" s="163" t="s">
        <v>512</v>
      </c>
    </row>
    <row r="3" spans="1:31" s="69" customFormat="1" ht="67.5" customHeight="1" x14ac:dyDescent="0.25">
      <c r="A3" s="62" t="s">
        <v>339</v>
      </c>
      <c r="B3" s="156" t="s">
        <v>510</v>
      </c>
      <c r="C3" s="64" t="s">
        <v>322</v>
      </c>
      <c r="D3" s="64" t="s">
        <v>126</v>
      </c>
      <c r="E3" s="64" t="s">
        <v>382</v>
      </c>
      <c r="F3" s="143" t="s">
        <v>494</v>
      </c>
      <c r="G3" s="65" t="s">
        <v>386</v>
      </c>
      <c r="H3" s="65" t="s">
        <v>385</v>
      </c>
      <c r="I3" s="66" t="s">
        <v>384</v>
      </c>
      <c r="J3" s="89" t="s">
        <v>383</v>
      </c>
      <c r="K3" s="87" t="s">
        <v>379</v>
      </c>
      <c r="L3" s="63" t="s">
        <v>380</v>
      </c>
      <c r="M3" s="97" t="s">
        <v>381</v>
      </c>
      <c r="N3" s="96" t="s">
        <v>387</v>
      </c>
      <c r="O3" s="67" t="s">
        <v>388</v>
      </c>
      <c r="P3" s="67" t="s">
        <v>389</v>
      </c>
      <c r="Q3" s="65" t="s">
        <v>390</v>
      </c>
      <c r="R3" s="65" t="s">
        <v>391</v>
      </c>
      <c r="S3" s="65" t="s">
        <v>392</v>
      </c>
      <c r="T3" s="89" t="s">
        <v>393</v>
      </c>
      <c r="U3" s="104" t="s">
        <v>129</v>
      </c>
      <c r="V3" s="71" t="s">
        <v>128</v>
      </c>
      <c r="W3" s="118" t="s">
        <v>130</v>
      </c>
      <c r="X3" s="149" t="s">
        <v>579</v>
      </c>
      <c r="Y3" s="117" t="s">
        <v>508</v>
      </c>
      <c r="Z3" s="149" t="s">
        <v>507</v>
      </c>
      <c r="AA3" s="170" t="s">
        <v>394</v>
      </c>
      <c r="AB3" s="127" t="s">
        <v>127</v>
      </c>
      <c r="AC3" s="96" t="s">
        <v>335</v>
      </c>
      <c r="AD3" s="146" t="s">
        <v>495</v>
      </c>
      <c r="AE3" s="68"/>
    </row>
    <row r="4" spans="1:31" s="10" customFormat="1" x14ac:dyDescent="0.25">
      <c r="A4" s="83"/>
      <c r="B4" s="157"/>
      <c r="C4" s="86"/>
      <c r="D4" s="11"/>
      <c r="E4" s="12"/>
      <c r="F4" s="12"/>
      <c r="G4" s="25"/>
      <c r="H4" s="25"/>
      <c r="I4" s="25"/>
      <c r="J4" s="90"/>
      <c r="K4" s="44"/>
      <c r="L4" s="11"/>
      <c r="M4" s="98"/>
      <c r="N4" s="11"/>
      <c r="O4" s="25"/>
      <c r="P4" s="25"/>
      <c r="Q4" s="12"/>
      <c r="R4" s="12"/>
      <c r="S4" s="12"/>
      <c r="T4" s="110"/>
      <c r="U4" s="47"/>
      <c r="V4" s="22"/>
      <c r="W4" s="119"/>
      <c r="X4" s="154"/>
      <c r="Y4" s="47"/>
      <c r="Z4" s="150"/>
      <c r="AA4" s="126"/>
      <c r="AB4" s="128"/>
      <c r="AC4" s="11"/>
      <c r="AD4" s="21"/>
      <c r="AE4" s="21"/>
    </row>
    <row r="5" spans="1:31" s="167" customFormat="1" ht="396" x14ac:dyDescent="0.25">
      <c r="A5" s="165" t="s">
        <v>513</v>
      </c>
      <c r="B5" s="166" t="s">
        <v>514</v>
      </c>
      <c r="C5" s="168" t="s">
        <v>535</v>
      </c>
      <c r="D5" s="167" t="s">
        <v>515</v>
      </c>
      <c r="E5" s="167" t="s">
        <v>516</v>
      </c>
      <c r="F5" s="167" t="s">
        <v>518</v>
      </c>
      <c r="G5" s="167" t="s">
        <v>519</v>
      </c>
      <c r="H5" s="167" t="s">
        <v>520</v>
      </c>
      <c r="I5" s="167" t="s">
        <v>521</v>
      </c>
      <c r="J5" s="167" t="s">
        <v>522</v>
      </c>
      <c r="K5" s="167" t="s">
        <v>523</v>
      </c>
      <c r="L5" s="167" t="s">
        <v>524</v>
      </c>
      <c r="M5" s="167" t="s">
        <v>525</v>
      </c>
      <c r="N5" s="167" t="s">
        <v>526</v>
      </c>
      <c r="O5" s="167" t="s">
        <v>527</v>
      </c>
      <c r="P5" s="167" t="s">
        <v>528</v>
      </c>
      <c r="Q5" s="167" t="s">
        <v>529</v>
      </c>
      <c r="R5" s="167" t="s">
        <v>303</v>
      </c>
      <c r="S5" s="167" t="s">
        <v>303</v>
      </c>
      <c r="T5" s="167" t="s">
        <v>303</v>
      </c>
      <c r="U5" s="167" t="s">
        <v>530</v>
      </c>
      <c r="V5" s="167" t="s">
        <v>303</v>
      </c>
      <c r="W5" s="167" t="s">
        <v>303</v>
      </c>
      <c r="Y5" s="167" t="s">
        <v>531</v>
      </c>
      <c r="Z5" s="167" t="s">
        <v>532</v>
      </c>
      <c r="AA5" s="167" t="s">
        <v>534</v>
      </c>
      <c r="AB5" s="167" t="s">
        <v>533</v>
      </c>
      <c r="AD5" s="169"/>
    </row>
    <row r="8" spans="1:31" x14ac:dyDescent="0.25">
      <c r="C8" s="190" t="s">
        <v>537</v>
      </c>
    </row>
    <row r="1048331" spans="31:31" x14ac:dyDescent="0.25">
      <c r="AE1048331" s="68"/>
    </row>
    <row r="1048332" spans="31:31" x14ac:dyDescent="0.25">
      <c r="AE1048332" s="21"/>
    </row>
    <row r="1048333" spans="31:31" x14ac:dyDescent="0.25">
      <c r="AE1048333" s="21"/>
    </row>
    <row r="1048334" spans="31:31" x14ac:dyDescent="0.25">
      <c r="AE1048334" s="21"/>
    </row>
    <row r="1048335" spans="31:31" x14ac:dyDescent="0.25">
      <c r="AE1048335" s="21"/>
    </row>
    <row r="1048336" spans="31:31" x14ac:dyDescent="0.25">
      <c r="AE1048336" s="21"/>
    </row>
    <row r="1048337" spans="31:31" x14ac:dyDescent="0.25">
      <c r="AE1048337" s="21"/>
    </row>
    <row r="1048338" spans="31:31" x14ac:dyDescent="0.25">
      <c r="AE1048338" s="21"/>
    </row>
    <row r="1048339" spans="31:31" x14ac:dyDescent="0.25">
      <c r="AE1048339" s="137"/>
    </row>
    <row r="1048340" spans="31:31" x14ac:dyDescent="0.25">
      <c r="AE1048340" s="137"/>
    </row>
    <row r="1048341" spans="31:31" x14ac:dyDescent="0.25">
      <c r="AE1048341" s="137"/>
    </row>
    <row r="1048342" spans="31:31" x14ac:dyDescent="0.25">
      <c r="AE1048342" s="137"/>
    </row>
    <row r="1048343" spans="31:31" x14ac:dyDescent="0.25">
      <c r="AE1048343" s="137"/>
    </row>
    <row r="1048344" spans="31:31" x14ac:dyDescent="0.25">
      <c r="AE1048344" s="137"/>
    </row>
    <row r="1048345" spans="31:31" x14ac:dyDescent="0.25">
      <c r="AE1048345" s="21"/>
    </row>
  </sheetData>
  <conditionalFormatting sqref="AA1:AA1048576">
    <cfRule type="cellIs" dxfId="2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G1048523"/>
  <sheetViews>
    <sheetView showGridLines="0" zoomScale="85" zoomScaleNormal="85" workbookViewId="0">
      <pane xSplit="1" ySplit="1" topLeftCell="E97" activePane="bottomRight" state="frozen"/>
      <selection pane="topRight" activeCell="B1" sqref="B1"/>
      <selection pane="bottomLeft" activeCell="A2" sqref="A2"/>
      <selection pane="bottomRight" activeCell="O121" sqref="O119:O121"/>
    </sheetView>
  </sheetViews>
  <sheetFormatPr defaultColWidth="9.140625" defaultRowHeight="15" x14ac:dyDescent="0.25"/>
  <cols>
    <col min="1" max="1" width="6.5703125" style="43" customWidth="1"/>
    <col min="2" max="2" width="8" style="161" customWidth="1"/>
    <col min="3" max="3" width="5" style="70" customWidth="1"/>
    <col min="4" max="4" width="24" customWidth="1"/>
    <col min="5" max="5" width="24.28515625" customWidth="1"/>
    <col min="6" max="8" width="10.7109375" customWidth="1"/>
    <col min="9" max="9" width="10.7109375" style="41" customWidth="1"/>
    <col min="10" max="10" width="13.5703125" customWidth="1"/>
    <col min="11" max="12" width="10.7109375" customWidth="1"/>
    <col min="13" max="13" width="15" style="48" customWidth="1"/>
    <col min="14" max="16" width="10.7109375" customWidth="1"/>
    <col min="17" max="17" width="6.7109375" customWidth="1"/>
    <col min="18" max="19" width="6.7109375" style="42" customWidth="1"/>
    <col min="20" max="20" width="6.7109375" customWidth="1"/>
    <col min="21" max="21" width="12.42578125" style="82" customWidth="1"/>
    <col min="22" max="22" width="14.28515625" style="82" customWidth="1"/>
    <col min="23" max="23" width="13.5703125" style="82" customWidth="1"/>
    <col min="24" max="24" width="13.5703125" style="209" customWidth="1"/>
    <col min="25" max="25" width="13.5703125" style="82" customWidth="1"/>
    <col min="26" max="26" width="13.5703125" style="199" customWidth="1"/>
    <col min="27" max="27" width="6.7109375" style="82" customWidth="1"/>
    <col min="28" max="28" width="8.28515625" style="82" customWidth="1"/>
    <col min="29" max="29" width="6.7109375" style="216" customWidth="1"/>
    <col min="30" max="30" width="6.7109375" customWidth="1"/>
    <col min="31" max="32" width="87" customWidth="1"/>
    <col min="33" max="34" width="23.7109375" bestFit="1" customWidth="1"/>
    <col min="35" max="35" width="15.5703125" bestFit="1" customWidth="1"/>
    <col min="36" max="62" width="23.7109375" bestFit="1" customWidth="1"/>
    <col min="63" max="63" width="15.5703125" bestFit="1" customWidth="1"/>
  </cols>
  <sheetData>
    <row r="1" spans="1:33" s="69" customFormat="1" ht="67.5" customHeight="1" x14ac:dyDescent="0.25">
      <c r="A1" s="62" t="s">
        <v>339</v>
      </c>
      <c r="B1" s="156" t="s">
        <v>510</v>
      </c>
      <c r="C1" s="217" t="s">
        <v>322</v>
      </c>
      <c r="D1" s="64" t="s">
        <v>126</v>
      </c>
      <c r="E1" s="64" t="s">
        <v>382</v>
      </c>
      <c r="F1" s="143" t="s">
        <v>494</v>
      </c>
      <c r="G1" s="65" t="s">
        <v>386</v>
      </c>
      <c r="H1" s="65" t="s">
        <v>385</v>
      </c>
      <c r="I1" s="66" t="s">
        <v>384</v>
      </c>
      <c r="J1" s="89" t="s">
        <v>383</v>
      </c>
      <c r="K1" s="87" t="s">
        <v>379</v>
      </c>
      <c r="L1" s="63" t="s">
        <v>380</v>
      </c>
      <c r="M1" s="97" t="s">
        <v>381</v>
      </c>
      <c r="N1" s="96" t="s">
        <v>387</v>
      </c>
      <c r="O1" s="67" t="s">
        <v>388</v>
      </c>
      <c r="P1" s="67" t="s">
        <v>389</v>
      </c>
      <c r="Q1" s="65" t="s">
        <v>390</v>
      </c>
      <c r="R1" s="65" t="s">
        <v>391</v>
      </c>
      <c r="S1" s="65" t="s">
        <v>392</v>
      </c>
      <c r="T1" s="89" t="s">
        <v>393</v>
      </c>
      <c r="U1" s="104" t="s">
        <v>129</v>
      </c>
      <c r="V1" s="71" t="s">
        <v>128</v>
      </c>
      <c r="W1" s="118" t="s">
        <v>130</v>
      </c>
      <c r="X1" s="210" t="s">
        <v>582</v>
      </c>
      <c r="Y1" s="200" t="s">
        <v>583</v>
      </c>
      <c r="Z1" s="201" t="s">
        <v>584</v>
      </c>
      <c r="AA1" s="117" t="s">
        <v>508</v>
      </c>
      <c r="AB1" s="149" t="s">
        <v>507</v>
      </c>
      <c r="AC1" s="211" t="s">
        <v>394</v>
      </c>
      <c r="AD1" s="127" t="s">
        <v>127</v>
      </c>
      <c r="AE1" s="96" t="s">
        <v>581</v>
      </c>
      <c r="AF1" s="96" t="s">
        <v>580</v>
      </c>
      <c r="AG1" s="68"/>
    </row>
    <row r="2" spans="1:33" s="10" customFormat="1" x14ac:dyDescent="0.25">
      <c r="A2" s="8" t="s">
        <v>183</v>
      </c>
      <c r="B2" s="21" t="s">
        <v>517</v>
      </c>
      <c r="C2" s="228">
        <v>170</v>
      </c>
      <c r="D2" s="2" t="s">
        <v>166</v>
      </c>
      <c r="E2" s="3" t="s">
        <v>226</v>
      </c>
      <c r="F2" s="3"/>
      <c r="G2" s="32">
        <v>43941</v>
      </c>
      <c r="H2" s="32">
        <v>45766</v>
      </c>
      <c r="I2" s="26" t="s">
        <v>169</v>
      </c>
      <c r="J2" s="92" t="s">
        <v>164</v>
      </c>
      <c r="K2" s="2" t="s">
        <v>303</v>
      </c>
      <c r="L2" s="2" t="s">
        <v>326</v>
      </c>
      <c r="M2" s="100" t="s">
        <v>165</v>
      </c>
      <c r="N2" s="2" t="s">
        <v>427</v>
      </c>
      <c r="O2" s="26">
        <v>1860</v>
      </c>
      <c r="P2" s="26" t="s">
        <v>427</v>
      </c>
      <c r="Q2" s="3" t="s">
        <v>427</v>
      </c>
      <c r="R2" s="3" t="s">
        <v>427</v>
      </c>
      <c r="S2" s="3" t="s">
        <v>427</v>
      </c>
      <c r="T2" s="112" t="s">
        <v>427</v>
      </c>
      <c r="U2" s="107">
        <f>SUM(Table2[[#This Row],[A1toA3_GWP]:[C1toC4_GWP]])</f>
        <v>2250</v>
      </c>
      <c r="V2" s="75">
        <f>2.25*1000</f>
        <v>2250</v>
      </c>
      <c r="W2" s="121" t="s">
        <v>427</v>
      </c>
      <c r="X2" s="78"/>
      <c r="Y2" s="78"/>
      <c r="Z2" s="198"/>
      <c r="AA2" s="84">
        <f ca="1">IF(OR($E2="Ecoinvent",$E2="Betonsortenrechner",$E2="KBOB",$U2&lt;=0,Table2[[#This Row],[VALID_TO]]&lt;=TODAY()),0,1)</f>
        <v>0</v>
      </c>
      <c r="AB2" s="154">
        <f ca="1">IF(Table2[[#This Row],[VALID_TO]]&gt;=TODAY(), 1, 0)</f>
        <v>0</v>
      </c>
      <c r="AC2" s="246" cm="1">
        <f t="array" aca="1" ref="AC2" ca="1">IF($AA2&lt;&gt;0,
IF(AND(
                         U2&gt;=_xlfn.PERCENTILE.INC(_xlfn._xlws.FILTER($U$2:$U$197, ($M$2:$M$197=M2)*($AA$2:$AA$197=1)),0.1),
                         U2&lt;=_xlfn.PERCENTILE.INC(_xlfn._xlws.FILTER($U$2:$U$197, ($M$2:$M$197=M2)*($AA$2:$AA$197=1)),0.9)
               ),1,0),
0)</f>
        <v>0</v>
      </c>
      <c r="AD2" s="131"/>
      <c r="AE2" s="2" t="s">
        <v>170</v>
      </c>
      <c r="AF2" s="2"/>
      <c r="AG2" s="21"/>
    </row>
    <row r="3" spans="1:33" s="10" customFormat="1" x14ac:dyDescent="0.25">
      <c r="A3" s="8" t="s">
        <v>184</v>
      </c>
      <c r="B3" s="21" t="s">
        <v>517</v>
      </c>
      <c r="C3" s="222">
        <v>172</v>
      </c>
      <c r="D3" s="2" t="s">
        <v>168</v>
      </c>
      <c r="E3" s="3" t="s">
        <v>226</v>
      </c>
      <c r="F3" s="3"/>
      <c r="G3" s="32">
        <v>45399</v>
      </c>
      <c r="H3" s="32">
        <v>47224</v>
      </c>
      <c r="I3" s="26" t="s">
        <v>169</v>
      </c>
      <c r="J3" s="92" t="s">
        <v>164</v>
      </c>
      <c r="K3" s="2" t="s">
        <v>303</v>
      </c>
      <c r="L3" s="2" t="s">
        <v>326</v>
      </c>
      <c r="M3" s="100" t="s">
        <v>165</v>
      </c>
      <c r="N3" s="2" t="s">
        <v>427</v>
      </c>
      <c r="O3" s="26">
        <v>1860</v>
      </c>
      <c r="P3" s="26" t="s">
        <v>427</v>
      </c>
      <c r="Q3" s="3" t="s">
        <v>427</v>
      </c>
      <c r="R3" s="3" t="s">
        <v>427</v>
      </c>
      <c r="S3" s="3" t="s">
        <v>427</v>
      </c>
      <c r="T3" s="112" t="s">
        <v>427</v>
      </c>
      <c r="U3" s="107">
        <f>SUM(Table2[[#This Row],[A1toA3_GWP]:[C1toC4_GWP]])</f>
        <v>1014.65</v>
      </c>
      <c r="V3" s="75">
        <f>0.934*1000</f>
        <v>934</v>
      </c>
      <c r="W3" s="121">
        <f>(0.047+0.0321+0.00128+0.00027)*1000</f>
        <v>80.65000000000002</v>
      </c>
      <c r="X3" s="78"/>
      <c r="Y3" s="78"/>
      <c r="Z3" s="198"/>
      <c r="AA3" s="84">
        <f ca="1">IF(OR($E3="Ecoinvent",$E3="Betonsortenrechner",$E3="KBOB",$U3&lt;=0,Table2[[#This Row],[VALID_TO]]&lt;=TODAY()),0,1)</f>
        <v>1</v>
      </c>
      <c r="AB3" s="154">
        <f ca="1">IF(Table2[[#This Row],[VALID_TO]]&gt;=TODAY(), 1, 0)</f>
        <v>1</v>
      </c>
      <c r="AC3" s="246" cm="1">
        <f t="array" aca="1" ref="AC3" ca="1">IF($AA3&lt;&gt;0,
IF(AND(
                         U3&gt;=_xlfn.PERCENTILE.INC(_xlfn._xlws.FILTER($U$2:$U$197, ($M$2:$M$197=M3)*($AA$2:$AA$197=1)),0.1),
                         U3&lt;=_xlfn.PERCENTILE.INC(_xlfn._xlws.FILTER($U$2:$U$197, ($M$2:$M$197=M3)*($AA$2:$AA$197=1)),0.9)
               ),1,0),
0)</f>
        <v>1</v>
      </c>
      <c r="AD3" s="131"/>
      <c r="AE3" s="2" t="s">
        <v>170</v>
      </c>
      <c r="AF3" s="2"/>
      <c r="AG3" s="21"/>
    </row>
    <row r="4" spans="1:33" s="10" customFormat="1" x14ac:dyDescent="0.25">
      <c r="A4" s="8" t="s">
        <v>185</v>
      </c>
      <c r="B4" s="21"/>
      <c r="C4" s="225">
        <v>174</v>
      </c>
      <c r="D4" s="2" t="s">
        <v>172</v>
      </c>
      <c r="E4" s="3" t="s">
        <v>173</v>
      </c>
      <c r="F4" s="3"/>
      <c r="G4" s="32">
        <v>44181</v>
      </c>
      <c r="H4" s="32">
        <v>45993</v>
      </c>
      <c r="I4" s="26" t="s">
        <v>247</v>
      </c>
      <c r="J4" s="92" t="s">
        <v>164</v>
      </c>
      <c r="K4" s="2" t="s">
        <v>303</v>
      </c>
      <c r="L4" s="2" t="s">
        <v>326</v>
      </c>
      <c r="M4" s="100" t="s">
        <v>165</v>
      </c>
      <c r="N4" s="2" t="s">
        <v>427</v>
      </c>
      <c r="O4" s="26">
        <v>1860</v>
      </c>
      <c r="P4" s="26" t="s">
        <v>427</v>
      </c>
      <c r="Q4" s="3" t="s">
        <v>427</v>
      </c>
      <c r="R4" s="3" t="s">
        <v>427</v>
      </c>
      <c r="S4" s="3" t="s">
        <v>427</v>
      </c>
      <c r="T4" s="112" t="s">
        <v>427</v>
      </c>
      <c r="U4" s="107">
        <f>SUM(Table2[[#This Row],[A1toA3_GWP]:[C1toC4_GWP]])</f>
        <v>616.83500000000004</v>
      </c>
      <c r="V4" s="75">
        <f>0.584*1000</f>
        <v>584</v>
      </c>
      <c r="W4" s="121">
        <f>(0.0055+0.00817+0.0185+0.000665)*1000</f>
        <v>32.834999999999994</v>
      </c>
      <c r="X4" s="78"/>
      <c r="Y4" s="78"/>
      <c r="Z4" s="198"/>
      <c r="AA4" s="84">
        <f ca="1">IF(OR($E4="Ecoinvent",$E4="Betonsortenrechner",$E4="KBOB",$U4&lt;=0,Table2[[#This Row],[VALID_TO]]&lt;=TODAY()),0,1)</f>
        <v>0</v>
      </c>
      <c r="AB4" s="154">
        <f ca="1">IF(Table2[[#This Row],[VALID_TO]]&gt;=TODAY(), 1, 0)</f>
        <v>0</v>
      </c>
      <c r="AC4" s="246" cm="1">
        <f t="array" aca="1" ref="AC4" ca="1">IF($AA4&lt;&gt;0,
IF(AND(
                         U4&gt;=_xlfn.PERCENTILE.INC(_xlfn._xlws.FILTER($U$2:$U$197, ($M$2:$M$197=M4)*($AA$2:$AA$197=1)),0.1),
                         U4&lt;=_xlfn.PERCENTILE.INC(_xlfn._xlws.FILTER($U$2:$U$197, ($M$2:$M$197=M4)*($AA$2:$AA$197=1)),0.9)
               ),1,0),
0)</f>
        <v>0</v>
      </c>
      <c r="AD4" s="131"/>
      <c r="AE4" s="2"/>
      <c r="AF4" s="2"/>
      <c r="AG4" s="21"/>
    </row>
    <row r="5" spans="1:33" s="10" customFormat="1" x14ac:dyDescent="0.25">
      <c r="A5" s="8" t="s">
        <v>186</v>
      </c>
      <c r="B5" s="21"/>
      <c r="C5" s="222">
        <v>175</v>
      </c>
      <c r="D5" s="2" t="s">
        <v>180</v>
      </c>
      <c r="E5" s="3" t="s">
        <v>173</v>
      </c>
      <c r="F5" s="3"/>
      <c r="G5" s="32">
        <v>44181</v>
      </c>
      <c r="H5" s="32">
        <v>45993</v>
      </c>
      <c r="I5" s="26" t="s">
        <v>247</v>
      </c>
      <c r="J5" s="92" t="s">
        <v>164</v>
      </c>
      <c r="K5" s="2" t="s">
        <v>303</v>
      </c>
      <c r="L5" s="2" t="s">
        <v>326</v>
      </c>
      <c r="M5" s="100" t="s">
        <v>165</v>
      </c>
      <c r="N5" s="2" t="s">
        <v>427</v>
      </c>
      <c r="O5" s="26">
        <v>1860</v>
      </c>
      <c r="P5" s="26" t="s">
        <v>427</v>
      </c>
      <c r="Q5" s="3" t="s">
        <v>427</v>
      </c>
      <c r="R5" s="3" t="s">
        <v>427</v>
      </c>
      <c r="S5" s="3" t="s">
        <v>427</v>
      </c>
      <c r="T5" s="112" t="s">
        <v>427</v>
      </c>
      <c r="U5" s="107">
        <f>SUM(Table2[[#This Row],[A1toA3_GWP]:[C1toC4_GWP]])</f>
        <v>1866.032835</v>
      </c>
      <c r="V5" s="75">
        <f>1.866*1000</f>
        <v>1866</v>
      </c>
      <c r="W5" s="121">
        <f>(0.0055+0.00817+0.0185+0.000665)</f>
        <v>3.2834999999999996E-2</v>
      </c>
      <c r="X5" s="78"/>
      <c r="Y5" s="78"/>
      <c r="Z5" s="198"/>
      <c r="AA5" s="84">
        <f ca="1">IF(OR($E5="Ecoinvent",$E5="Betonsortenrechner",$E5="KBOB",$U5&lt;=0,Table2[[#This Row],[VALID_TO]]&lt;=TODAY()),0,1)</f>
        <v>0</v>
      </c>
      <c r="AB5" s="154">
        <f ca="1">IF(Table2[[#This Row],[VALID_TO]]&gt;=TODAY(), 1, 0)</f>
        <v>0</v>
      </c>
      <c r="AC5" s="246" cm="1">
        <f t="array" aca="1" ref="AC5" ca="1">IF($AA5&lt;&gt;0,
IF(AND(
                         U5&gt;=_xlfn.PERCENTILE.INC(_xlfn._xlws.FILTER($U$2:$U$197, ($M$2:$M$197=M5)*($AA$2:$AA$197=1)),0.1),
                         U5&lt;=_xlfn.PERCENTILE.INC(_xlfn._xlws.FILTER($U$2:$U$197, ($M$2:$M$197=M5)*($AA$2:$AA$197=1)),0.9)
               ),1,0),
0)</f>
        <v>0</v>
      </c>
      <c r="AD5" s="131"/>
      <c r="AE5" s="2"/>
      <c r="AF5" s="2"/>
      <c r="AG5" s="21"/>
    </row>
    <row r="6" spans="1:33" s="10" customFormat="1" x14ac:dyDescent="0.25">
      <c r="A6" s="8" t="s">
        <v>187</v>
      </c>
      <c r="B6" s="21"/>
      <c r="C6" s="225">
        <v>176</v>
      </c>
      <c r="D6" s="2" t="s">
        <v>571</v>
      </c>
      <c r="E6" s="3" t="s">
        <v>175</v>
      </c>
      <c r="F6" s="3"/>
      <c r="G6" s="32">
        <v>42370</v>
      </c>
      <c r="H6" s="32">
        <v>43831</v>
      </c>
      <c r="I6" s="26" t="s">
        <v>247</v>
      </c>
      <c r="J6" s="92" t="s">
        <v>164</v>
      </c>
      <c r="K6" s="2" t="s">
        <v>303</v>
      </c>
      <c r="L6" s="2" t="s">
        <v>326</v>
      </c>
      <c r="M6" s="100" t="s">
        <v>165</v>
      </c>
      <c r="N6" s="2" t="s">
        <v>427</v>
      </c>
      <c r="O6" s="26">
        <v>1860</v>
      </c>
      <c r="P6" s="26" t="s">
        <v>427</v>
      </c>
      <c r="Q6" s="3" t="s">
        <v>427</v>
      </c>
      <c r="R6" s="3" t="s">
        <v>427</v>
      </c>
      <c r="S6" s="3" t="s">
        <v>427</v>
      </c>
      <c r="T6" s="112" t="s">
        <v>427</v>
      </c>
      <c r="U6" s="107">
        <f>SUM(Table2[[#This Row],[A1toA3_GWP]:[C1toC4_GWP]])</f>
        <v>1042</v>
      </c>
      <c r="V6" s="75">
        <f>1.042*1000</f>
        <v>1042</v>
      </c>
      <c r="W6" s="121" t="s">
        <v>427</v>
      </c>
      <c r="X6" s="78"/>
      <c r="Y6" s="78"/>
      <c r="Z6" s="198"/>
      <c r="AA6" s="84">
        <f ca="1">IF(OR($E6="Ecoinvent",$E6="Betonsortenrechner",$E6="KBOB",$U6&lt;=0,Table2[[#This Row],[VALID_TO]]&lt;=TODAY()),0,1)</f>
        <v>0</v>
      </c>
      <c r="AB6" s="154">
        <f ca="1">IF(Table2[[#This Row],[VALID_TO]]&gt;=TODAY(), 1, 0)</f>
        <v>0</v>
      </c>
      <c r="AC6" s="246" cm="1">
        <f t="array" aca="1" ref="AC6" ca="1">IF($AA6&lt;&gt;0,
IF(AND(
                         U6&gt;=_xlfn.PERCENTILE.INC(_xlfn._xlws.FILTER($U$2:$U$197, ($M$2:$M$197=M6)*($AA$2:$AA$197=1)),0.1),
                         U6&lt;=_xlfn.PERCENTILE.INC(_xlfn._xlws.FILTER($U$2:$U$197, ($M$2:$M$197=M6)*($AA$2:$AA$197=1)),0.9)
               ),1,0),
0)</f>
        <v>0</v>
      </c>
      <c r="AD6" s="131"/>
      <c r="AE6" s="2"/>
      <c r="AF6" s="2"/>
      <c r="AG6" s="21"/>
    </row>
    <row r="7" spans="1:33" s="10" customFormat="1" x14ac:dyDescent="0.25">
      <c r="A7" s="8" t="s">
        <v>183</v>
      </c>
      <c r="B7" s="21" t="s">
        <v>538</v>
      </c>
      <c r="C7" s="225">
        <v>171</v>
      </c>
      <c r="D7" s="2" t="s">
        <v>166</v>
      </c>
      <c r="E7" s="3" t="s">
        <v>226</v>
      </c>
      <c r="F7" s="3"/>
      <c r="G7" s="32">
        <v>43941</v>
      </c>
      <c r="H7" s="32">
        <v>45766</v>
      </c>
      <c r="I7" s="26" t="s">
        <v>169</v>
      </c>
      <c r="J7" s="92" t="s">
        <v>164</v>
      </c>
      <c r="K7" s="2" t="s">
        <v>303</v>
      </c>
      <c r="L7" s="2" t="s">
        <v>326</v>
      </c>
      <c r="M7" s="100" t="s">
        <v>165</v>
      </c>
      <c r="N7" s="2" t="s">
        <v>427</v>
      </c>
      <c r="O7" s="26">
        <v>2160</v>
      </c>
      <c r="P7" s="26" t="s">
        <v>427</v>
      </c>
      <c r="Q7" s="3" t="s">
        <v>427</v>
      </c>
      <c r="R7" s="3" t="s">
        <v>427</v>
      </c>
      <c r="S7" s="3" t="s">
        <v>427</v>
      </c>
      <c r="T7" s="112" t="s">
        <v>427</v>
      </c>
      <c r="U7" s="107">
        <f>SUM(Table2[[#This Row],[A1toA3_GWP]:[C1toC4_GWP]])</f>
        <v>2250</v>
      </c>
      <c r="V7" s="75">
        <f>2.25*1000</f>
        <v>2250</v>
      </c>
      <c r="W7" s="121" t="s">
        <v>427</v>
      </c>
      <c r="X7" s="78"/>
      <c r="Y7" s="78"/>
      <c r="Z7" s="198"/>
      <c r="AA7" s="84">
        <f ca="1">IF(OR($E7="Ecoinvent",$E7="Betonsortenrechner",$E7="KBOB",$U7&lt;=0,Table2[[#This Row],[VALID_TO]]&lt;=TODAY()),0,1)</f>
        <v>0</v>
      </c>
      <c r="AB7" s="154">
        <f ca="1">IF(Table2[[#This Row],[VALID_TO]]&gt;=TODAY(), 1, 0)</f>
        <v>0</v>
      </c>
      <c r="AC7" s="246" cm="1">
        <f t="array" aca="1" ref="AC7" ca="1">IF($AA7&lt;&gt;0,
IF(AND(
                         U7&gt;=_xlfn.PERCENTILE.INC(_xlfn._xlws.FILTER($U$2:$U$197, ($M$2:$M$197=M7)*($AA$2:$AA$197=1)),0.1),
                         U7&lt;=_xlfn.PERCENTILE.INC(_xlfn._xlws.FILTER($U$2:$U$197, ($M$2:$M$197=M7)*($AA$2:$AA$197=1)),0.9)
               ),1,0),
0)</f>
        <v>0</v>
      </c>
      <c r="AD7" s="131"/>
      <c r="AE7" s="2" t="s">
        <v>170</v>
      </c>
      <c r="AF7" s="2"/>
      <c r="AG7" s="21"/>
    </row>
    <row r="8" spans="1:33" s="10" customFormat="1" x14ac:dyDescent="0.25">
      <c r="A8" s="8" t="s">
        <v>184</v>
      </c>
      <c r="B8" s="21" t="s">
        <v>538</v>
      </c>
      <c r="C8" s="222">
        <v>173</v>
      </c>
      <c r="D8" s="2" t="s">
        <v>168</v>
      </c>
      <c r="E8" s="3" t="s">
        <v>226</v>
      </c>
      <c r="F8" s="3"/>
      <c r="G8" s="32">
        <v>45399</v>
      </c>
      <c r="H8" s="32">
        <v>47224</v>
      </c>
      <c r="I8" s="26" t="s">
        <v>169</v>
      </c>
      <c r="J8" s="92" t="s">
        <v>164</v>
      </c>
      <c r="K8" s="2" t="s">
        <v>303</v>
      </c>
      <c r="L8" s="2" t="s">
        <v>326</v>
      </c>
      <c r="M8" s="100" t="s">
        <v>165</v>
      </c>
      <c r="N8" s="2" t="s">
        <v>427</v>
      </c>
      <c r="O8" s="26">
        <v>2160</v>
      </c>
      <c r="P8" s="26" t="s">
        <v>427</v>
      </c>
      <c r="Q8" s="3" t="s">
        <v>427</v>
      </c>
      <c r="R8" s="3" t="s">
        <v>427</v>
      </c>
      <c r="S8" s="3" t="s">
        <v>427</v>
      </c>
      <c r="T8" s="112" t="s">
        <v>427</v>
      </c>
      <c r="U8" s="107">
        <f>SUM(Table2[[#This Row],[A1toA3_GWP]:[C1toC4_GWP]])</f>
        <v>1014.65</v>
      </c>
      <c r="V8" s="75">
        <f>0.934*1000</f>
        <v>934</v>
      </c>
      <c r="W8" s="121">
        <f>(0.047+0.0321+0.00128+0.00027)*1000</f>
        <v>80.65000000000002</v>
      </c>
      <c r="X8" s="78"/>
      <c r="Y8" s="78"/>
      <c r="Z8" s="198"/>
      <c r="AA8" s="84">
        <f ca="1">IF(OR($E8="Ecoinvent",$E8="Betonsortenrechner",$E8="KBOB",$U8&lt;=0,Table2[[#This Row],[VALID_TO]]&lt;=TODAY()),0,1)</f>
        <v>1</v>
      </c>
      <c r="AB8" s="154">
        <f ca="1">IF(Table2[[#This Row],[VALID_TO]]&gt;=TODAY(), 1, 0)</f>
        <v>1</v>
      </c>
      <c r="AC8" s="246" cm="1">
        <f t="array" aca="1" ref="AC8" ca="1">IF($AA8&lt;&gt;0,
IF(AND(
                         U8&gt;=_xlfn.PERCENTILE.INC(_xlfn._xlws.FILTER($U$2:$U$197, ($M$2:$M$197=M8)*($AA$2:$AA$197=1)),0.1),
                         U8&lt;=_xlfn.PERCENTILE.INC(_xlfn._xlws.FILTER($U$2:$U$197, ($M$2:$M$197=M8)*($AA$2:$AA$197=1)),0.9)
               ),1,0),
0)</f>
        <v>1</v>
      </c>
      <c r="AD8" s="131"/>
      <c r="AE8" s="2" t="s">
        <v>170</v>
      </c>
      <c r="AF8" s="2"/>
      <c r="AG8" s="21"/>
    </row>
    <row r="9" spans="1:33" s="10" customFormat="1" x14ac:dyDescent="0.25">
      <c r="A9" s="8" t="s">
        <v>199</v>
      </c>
      <c r="B9" s="21"/>
      <c r="C9" s="225">
        <v>38</v>
      </c>
      <c r="D9" s="2" t="s">
        <v>47</v>
      </c>
      <c r="E9" s="3" t="s">
        <v>48</v>
      </c>
      <c r="F9" s="3"/>
      <c r="G9" s="175">
        <v>44627</v>
      </c>
      <c r="H9" s="32">
        <v>46404</v>
      </c>
      <c r="I9" s="32" t="s">
        <v>53</v>
      </c>
      <c r="J9" s="92" t="s">
        <v>49</v>
      </c>
      <c r="K9" s="6" t="s">
        <v>333</v>
      </c>
      <c r="L9" s="2" t="s">
        <v>326</v>
      </c>
      <c r="M9" s="103" t="s">
        <v>327</v>
      </c>
      <c r="N9" s="2" t="s">
        <v>427</v>
      </c>
      <c r="O9" s="176" t="s">
        <v>0</v>
      </c>
      <c r="P9" s="26">
        <v>7850</v>
      </c>
      <c r="Q9" s="3" t="s">
        <v>427</v>
      </c>
      <c r="R9" s="3" t="s">
        <v>427</v>
      </c>
      <c r="S9" s="3" t="s">
        <v>427</v>
      </c>
      <c r="T9" s="112" t="s">
        <v>427</v>
      </c>
      <c r="U9" s="107">
        <f>Table2[[#This Row],[A1toA3_GWP]]+Table2[[#This Row],[C1toC4_GWP]]</f>
        <v>460.23999999999995</v>
      </c>
      <c r="V9" s="24">
        <f>119+10.9+238</f>
        <v>367.9</v>
      </c>
      <c r="W9" s="121">
        <f>51.1+26+2.64+12.6</f>
        <v>92.339999999999989</v>
      </c>
      <c r="X9" s="78"/>
      <c r="Y9" s="78"/>
      <c r="Z9" s="198"/>
      <c r="AA9" s="84">
        <f ca="1">IF(OR($E9="Ecoinvent",$E9="Betonsortenrechner",$E9="KBOB",$U9&lt;=0,Table2[[#This Row],[VALID_TO]]&lt;=TODAY()),0,1)</f>
        <v>1</v>
      </c>
      <c r="AB9" s="154">
        <f ca="1">IF(Table2[[#This Row],[VALID_TO]]&gt;=TODAY(), 1, 0)</f>
        <v>1</v>
      </c>
      <c r="AC9" s="246" cm="1">
        <f t="array" aca="1" ref="AC9" ca="1">IF($AA9&lt;&gt;0,
IF(AND(
                         U9&gt;=_xlfn.PERCENTILE.INC(_xlfn._xlws.FILTER($U$2:$U$197, ($M$2:$M$197=M9)*($AA$2:$AA$197=1)),0.1),
                         U9&lt;=_xlfn.PERCENTILE.INC(_xlfn._xlws.FILTER($U$2:$U$197, ($M$2:$M$197=M9)*($AA$2:$AA$197=1)),0.9)
               ),1,0),
0)</f>
        <v>1</v>
      </c>
      <c r="AD9" s="131"/>
      <c r="AE9" s="2"/>
      <c r="AF9" s="2"/>
      <c r="AG9" s="137"/>
    </row>
    <row r="10" spans="1:33" s="10" customFormat="1" x14ac:dyDescent="0.25">
      <c r="A10" s="8" t="s">
        <v>212</v>
      </c>
      <c r="B10" s="21"/>
      <c r="C10" s="225">
        <v>39</v>
      </c>
      <c r="D10" s="2" t="s">
        <v>50</v>
      </c>
      <c r="E10" s="3" t="s">
        <v>51</v>
      </c>
      <c r="F10" s="3"/>
      <c r="G10" s="175">
        <v>44622</v>
      </c>
      <c r="H10" s="32">
        <v>46447</v>
      </c>
      <c r="I10" s="32" t="s">
        <v>273</v>
      </c>
      <c r="J10" s="92" t="s">
        <v>52</v>
      </c>
      <c r="K10" s="6" t="s">
        <v>333</v>
      </c>
      <c r="L10" s="2" t="s">
        <v>326</v>
      </c>
      <c r="M10" s="103" t="s">
        <v>327</v>
      </c>
      <c r="N10" s="2" t="s">
        <v>427</v>
      </c>
      <c r="O10" s="176" t="s">
        <v>0</v>
      </c>
      <c r="P10" s="26">
        <v>7850</v>
      </c>
      <c r="Q10" s="3" t="s">
        <v>427</v>
      </c>
      <c r="R10" s="3" t="s">
        <v>427</v>
      </c>
      <c r="S10" s="3" t="s">
        <v>427</v>
      </c>
      <c r="T10" s="112" t="s">
        <v>427</v>
      </c>
      <c r="U10" s="107">
        <f>Table2[[#This Row],[A1toA3_GWP]]+Table2[[#This Row],[C1toC4_GWP]]</f>
        <v>562.53</v>
      </c>
      <c r="V10" s="24">
        <v>474</v>
      </c>
      <c r="W10" s="121">
        <f>2.23+12.7+73.6</f>
        <v>88.53</v>
      </c>
      <c r="X10" s="78"/>
      <c r="Y10" s="78"/>
      <c r="Z10" s="198"/>
      <c r="AA10" s="84">
        <f ca="1">IF(OR($E10="Ecoinvent",$E10="Betonsortenrechner",$E10="KBOB",$U10&lt;=0,Table2[[#This Row],[VALID_TO]]&lt;=TODAY()),0,1)</f>
        <v>1</v>
      </c>
      <c r="AB10" s="154">
        <f ca="1">IF(Table2[[#This Row],[VALID_TO]]&gt;=TODAY(), 1, 0)</f>
        <v>1</v>
      </c>
      <c r="AC10" s="246" cm="1">
        <f t="array" aca="1" ref="AC10" ca="1">IF($AA10&lt;&gt;0,
IF(AND(
                         U10&gt;=_xlfn.PERCENTILE.INC(_xlfn._xlws.FILTER($U$2:$U$197, ($M$2:$M$197=M10)*($AA$2:$AA$197=1)),0.1),
                         U10&lt;=_xlfn.PERCENTILE.INC(_xlfn._xlws.FILTER($U$2:$U$197, ($M$2:$M$197=M10)*($AA$2:$AA$197=1)),0.9)
               ),1,0),
0)</f>
        <v>1</v>
      </c>
      <c r="AD10" s="131"/>
      <c r="AE10" s="2"/>
      <c r="AF10" s="2"/>
      <c r="AG10" s="137"/>
    </row>
    <row r="11" spans="1:33" s="10" customFormat="1" x14ac:dyDescent="0.25">
      <c r="A11" s="8" t="s">
        <v>208</v>
      </c>
      <c r="B11" s="21"/>
      <c r="C11" s="225">
        <v>40</v>
      </c>
      <c r="D11" s="2" t="s">
        <v>76</v>
      </c>
      <c r="E11" s="3" t="s">
        <v>55</v>
      </c>
      <c r="F11" s="3"/>
      <c r="G11" s="175">
        <v>40624</v>
      </c>
      <c r="H11" s="32">
        <v>46044</v>
      </c>
      <c r="I11" s="26" t="s">
        <v>301</v>
      </c>
      <c r="J11" s="92" t="s">
        <v>52</v>
      </c>
      <c r="K11" s="6" t="s">
        <v>333</v>
      </c>
      <c r="L11" s="2" t="s">
        <v>326</v>
      </c>
      <c r="M11" s="103" t="s">
        <v>327</v>
      </c>
      <c r="N11" s="2" t="s">
        <v>427</v>
      </c>
      <c r="O11" s="176" t="s">
        <v>0</v>
      </c>
      <c r="P11" s="26">
        <v>7850</v>
      </c>
      <c r="Q11" s="3" t="s">
        <v>427</v>
      </c>
      <c r="R11" s="3" t="s">
        <v>427</v>
      </c>
      <c r="S11" s="3" t="s">
        <v>427</v>
      </c>
      <c r="T11" s="112" t="s">
        <v>427</v>
      </c>
      <c r="U11" s="107">
        <f>Table2[[#This Row],[A1toA3_GWP]]+Table2[[#This Row],[C1toC4_GWP]]</f>
        <v>724.73</v>
      </c>
      <c r="V11" s="24">
        <f>348+119+120</f>
        <v>587</v>
      </c>
      <c r="W11" s="121">
        <f>38.2+24.4+1.93+73.2</f>
        <v>137.73000000000002</v>
      </c>
      <c r="X11" s="78"/>
      <c r="Y11" s="78"/>
      <c r="Z11" s="198"/>
      <c r="AA11" s="84">
        <f ca="1">IF(OR($E11="Ecoinvent",$E11="Betonsortenrechner",$E11="KBOB",$U11&lt;=0,Table2[[#This Row],[VALID_TO]]&lt;=TODAY()),0,1)</f>
        <v>0</v>
      </c>
      <c r="AB11" s="154">
        <f ca="1">IF(Table2[[#This Row],[VALID_TO]]&gt;=TODAY(), 1, 0)</f>
        <v>0</v>
      </c>
      <c r="AC11" s="246" cm="1">
        <f t="array" aca="1" ref="AC11" ca="1">IF($AA11&lt;&gt;0,
IF(AND(
                         U11&gt;=_xlfn.PERCENTILE.INC(_xlfn._xlws.FILTER($U$2:$U$197, ($M$2:$M$197=M11)*($AA$2:$AA$197=1)),0.1),
                         U11&lt;=_xlfn.PERCENTILE.INC(_xlfn._xlws.FILTER($U$2:$U$197, ($M$2:$M$197=M11)*($AA$2:$AA$197=1)),0.9)
               ),1,0),
0)</f>
        <v>0</v>
      </c>
      <c r="AD11" s="131"/>
      <c r="AE11" s="2"/>
      <c r="AF11" s="2"/>
      <c r="AG11" s="137"/>
    </row>
    <row r="12" spans="1:33" s="10" customFormat="1" x14ac:dyDescent="0.25">
      <c r="A12" s="8" t="s">
        <v>219</v>
      </c>
      <c r="B12" s="21"/>
      <c r="C12" s="225">
        <v>41</v>
      </c>
      <c r="D12" s="2" t="s">
        <v>57</v>
      </c>
      <c r="E12" s="3" t="s">
        <v>58</v>
      </c>
      <c r="F12" s="3"/>
      <c r="G12" s="175">
        <v>43810</v>
      </c>
      <c r="H12" s="32">
        <v>46012</v>
      </c>
      <c r="I12" s="26" t="s">
        <v>301</v>
      </c>
      <c r="J12" s="92" t="s">
        <v>52</v>
      </c>
      <c r="K12" s="6" t="s">
        <v>333</v>
      </c>
      <c r="L12" s="2" t="s">
        <v>326</v>
      </c>
      <c r="M12" s="103" t="s">
        <v>327</v>
      </c>
      <c r="N12" s="2" t="s">
        <v>427</v>
      </c>
      <c r="O12" s="176" t="s">
        <v>0</v>
      </c>
      <c r="P12" s="26">
        <v>7850</v>
      </c>
      <c r="Q12" s="3" t="s">
        <v>427</v>
      </c>
      <c r="R12" s="3" t="s">
        <v>427</v>
      </c>
      <c r="S12" s="3" t="s">
        <v>427</v>
      </c>
      <c r="T12" s="112" t="s">
        <v>427</v>
      </c>
      <c r="U12" s="107">
        <f>Table2[[#This Row],[A1toA3_GWP]]+Table2[[#This Row],[C1toC4_GWP]]</f>
        <v>715.3</v>
      </c>
      <c r="V12" s="24">
        <f>532.5+40+117</f>
        <v>689.5</v>
      </c>
      <c r="W12" s="121">
        <f>6.4+16.7+1.7+1</f>
        <v>25.8</v>
      </c>
      <c r="X12" s="78"/>
      <c r="Y12" s="78"/>
      <c r="Z12" s="198"/>
      <c r="AA12" s="84">
        <f ca="1">IF(OR($E12="Ecoinvent",$E12="Betonsortenrechner",$E12="KBOB",$U12&lt;=0,Table2[[#This Row],[VALID_TO]]&lt;=TODAY()),0,1)</f>
        <v>0</v>
      </c>
      <c r="AB12" s="154">
        <f ca="1">IF(Table2[[#This Row],[VALID_TO]]&gt;=TODAY(), 1, 0)</f>
        <v>0</v>
      </c>
      <c r="AC12" s="246" cm="1">
        <f t="array" aca="1" ref="AC12" ca="1">IF($AA12&lt;&gt;0,
IF(AND(
                         U12&gt;=_xlfn.PERCENTILE.INC(_xlfn._xlws.FILTER($U$2:$U$197, ($M$2:$M$197=M12)*($AA$2:$AA$197=1)),0.1),
                         U12&lt;=_xlfn.PERCENTILE.INC(_xlfn._xlws.FILTER($U$2:$U$197, ($M$2:$M$197=M12)*($AA$2:$AA$197=1)),0.9)
               ),1,0),
0)</f>
        <v>0</v>
      </c>
      <c r="AD12" s="131"/>
      <c r="AE12" s="2" t="s">
        <v>536</v>
      </c>
      <c r="AF12" s="2"/>
      <c r="AG12" s="137"/>
    </row>
    <row r="13" spans="1:33" s="40" customFormat="1" x14ac:dyDescent="0.25">
      <c r="A13" s="8" t="s">
        <v>209</v>
      </c>
      <c r="B13" s="21"/>
      <c r="C13" s="228">
        <v>42</v>
      </c>
      <c r="D13" s="2" t="s">
        <v>60</v>
      </c>
      <c r="E13" s="3" t="s">
        <v>59</v>
      </c>
      <c r="F13" s="3"/>
      <c r="G13" s="175">
        <v>45278</v>
      </c>
      <c r="H13" s="32">
        <v>47105</v>
      </c>
      <c r="I13" s="26" t="s">
        <v>300</v>
      </c>
      <c r="J13" s="92" t="s">
        <v>52</v>
      </c>
      <c r="K13" s="6" t="s">
        <v>333</v>
      </c>
      <c r="L13" s="2" t="s">
        <v>326</v>
      </c>
      <c r="M13" s="103" t="s">
        <v>327</v>
      </c>
      <c r="N13" s="2" t="s">
        <v>427</v>
      </c>
      <c r="O13" s="176" t="s">
        <v>0</v>
      </c>
      <c r="P13" s="26">
        <v>7850</v>
      </c>
      <c r="Q13" s="3" t="s">
        <v>427</v>
      </c>
      <c r="R13" s="3" t="s">
        <v>427</v>
      </c>
      <c r="S13" s="3" t="s">
        <v>427</v>
      </c>
      <c r="T13" s="112" t="s">
        <v>427</v>
      </c>
      <c r="U13" s="107">
        <f>Table2[[#This Row],[A1toA3_GWP]]+Table2[[#This Row],[C1toC4_GWP]]</f>
        <v>618.16999999999996</v>
      </c>
      <c r="V13" s="24">
        <v>506</v>
      </c>
      <c r="W13" s="121">
        <f>6.37+16.5+1.6+87.7</f>
        <v>112.17</v>
      </c>
      <c r="X13" s="78"/>
      <c r="Y13" s="78"/>
      <c r="Z13" s="198"/>
      <c r="AA13" s="154">
        <f ca="1">IF(OR($E13="Ecoinvent",$E13="Betonsortenrechner",$E13="KBOB",$U13&lt;=0,Table2[[#This Row],[VALID_TO]]&lt;=TODAY()),0,1)</f>
        <v>1</v>
      </c>
      <c r="AB13" s="154">
        <f ca="1">IF(Table2[[#This Row],[VALID_TO]]&gt;=TODAY(), 1, 0)</f>
        <v>1</v>
      </c>
      <c r="AC13" s="246" cm="1">
        <f t="array" aca="1" ref="AC13" ca="1">IF($AA13&lt;&gt;0,
IF(AND(
                         U13&gt;=_xlfn.PERCENTILE.INC(_xlfn._xlws.FILTER($U$2:$U$197, ($M$2:$M$197=M13)*($AA$2:$AA$197=1)),0.1),
                         U13&lt;=_xlfn.PERCENTILE.INC(_xlfn._xlws.FILTER($U$2:$U$197, ($M$2:$M$197=M13)*($AA$2:$AA$197=1)),0.9)
               ),1,0),
0)</f>
        <v>1</v>
      </c>
      <c r="AD13" s="131"/>
      <c r="AE13" s="2" t="s">
        <v>536</v>
      </c>
      <c r="AF13" s="2"/>
      <c r="AG13" s="137"/>
    </row>
    <row r="14" spans="1:33" s="40" customFormat="1" x14ac:dyDescent="0.25">
      <c r="A14" s="8" t="s">
        <v>210</v>
      </c>
      <c r="B14" s="21"/>
      <c r="C14" s="225">
        <v>43</v>
      </c>
      <c r="D14" s="2" t="s">
        <v>61</v>
      </c>
      <c r="E14" s="3" t="s">
        <v>62</v>
      </c>
      <c r="F14" s="3"/>
      <c r="G14" s="175">
        <v>42825</v>
      </c>
      <c r="H14" s="32">
        <v>46000</v>
      </c>
      <c r="I14" s="26" t="s">
        <v>301</v>
      </c>
      <c r="J14" s="92" t="s">
        <v>52</v>
      </c>
      <c r="K14" s="6" t="s">
        <v>333</v>
      </c>
      <c r="L14" s="2" t="s">
        <v>326</v>
      </c>
      <c r="M14" s="103" t="s">
        <v>327</v>
      </c>
      <c r="N14" s="2" t="s">
        <v>427</v>
      </c>
      <c r="O14" s="176" t="s">
        <v>0</v>
      </c>
      <c r="P14" s="26">
        <v>7850</v>
      </c>
      <c r="Q14" s="3" t="s">
        <v>427</v>
      </c>
      <c r="R14" s="3" t="s">
        <v>427</v>
      </c>
      <c r="S14" s="3" t="s">
        <v>427</v>
      </c>
      <c r="T14" s="112" t="s">
        <v>427</v>
      </c>
      <c r="U14" s="107">
        <f>Table2[[#This Row],[A1toA3_GWP]]+Table2[[#This Row],[C1toC4_GWP]]</f>
        <v>922.71</v>
      </c>
      <c r="V14" s="24">
        <f>592+40.1+153</f>
        <v>785.1</v>
      </c>
      <c r="W14" s="121">
        <f>38.1+24.4+2.01+73.1</f>
        <v>137.61000000000001</v>
      </c>
      <c r="X14" s="78"/>
      <c r="Y14" s="78"/>
      <c r="Z14" s="198"/>
      <c r="AA14" s="154">
        <f ca="1">IF(OR($E14="Ecoinvent",$E14="Betonsortenrechner",$E14="KBOB",$U14&lt;=0,Table2[[#This Row],[VALID_TO]]&lt;=TODAY()),0,1)</f>
        <v>0</v>
      </c>
      <c r="AB14" s="154">
        <f ca="1">IF(Table2[[#This Row],[VALID_TO]]&gt;=TODAY(), 1, 0)</f>
        <v>0</v>
      </c>
      <c r="AC14" s="246" cm="1">
        <f t="array" aca="1" ref="AC14" ca="1">IF($AA14&lt;&gt;0,
IF(AND(
                         U14&gt;=_xlfn.PERCENTILE.INC(_xlfn._xlws.FILTER($U$2:$U$197, ($M$2:$M$197=M14)*($AA$2:$AA$197=1)),0.1),
                         U14&lt;=_xlfn.PERCENTILE.INC(_xlfn._xlws.FILTER($U$2:$U$197, ($M$2:$M$197=M14)*($AA$2:$AA$197=1)),0.9)
               ),1,0),
0)</f>
        <v>0</v>
      </c>
      <c r="AD14" s="131"/>
      <c r="AE14" s="2"/>
      <c r="AF14" s="2"/>
      <c r="AG14" s="137"/>
    </row>
    <row r="15" spans="1:33" s="40" customFormat="1" x14ac:dyDescent="0.25">
      <c r="A15" s="8" t="s">
        <v>211</v>
      </c>
      <c r="B15" s="21"/>
      <c r="C15" s="225">
        <v>44</v>
      </c>
      <c r="D15" s="2" t="s">
        <v>63</v>
      </c>
      <c r="E15" s="3" t="s">
        <v>64</v>
      </c>
      <c r="F15" s="3"/>
      <c r="G15" s="175">
        <v>44770</v>
      </c>
      <c r="H15" s="32">
        <v>46596</v>
      </c>
      <c r="I15" s="26" t="s">
        <v>273</v>
      </c>
      <c r="J15" s="92" t="s">
        <v>52</v>
      </c>
      <c r="K15" s="6" t="s">
        <v>333</v>
      </c>
      <c r="L15" s="2" t="s">
        <v>326</v>
      </c>
      <c r="M15" s="103" t="s">
        <v>327</v>
      </c>
      <c r="N15" s="2" t="s">
        <v>427</v>
      </c>
      <c r="O15" s="176" t="s">
        <v>0</v>
      </c>
      <c r="P15" s="26">
        <v>7850</v>
      </c>
      <c r="Q15" s="3" t="s">
        <v>427</v>
      </c>
      <c r="R15" s="3" t="s">
        <v>427</v>
      </c>
      <c r="S15" s="3" t="s">
        <v>427</v>
      </c>
      <c r="T15" s="112" t="s">
        <v>427</v>
      </c>
      <c r="U15" s="107">
        <f>Table2[[#This Row],[A1toA3_GWP]]+Table2[[#This Row],[C1toC4_GWP]]</f>
        <v>632.27200000000005</v>
      </c>
      <c r="V15" s="195">
        <f>81.9+22.3+521</f>
        <v>625.20000000000005</v>
      </c>
      <c r="W15" s="196">
        <f>6.57+0.197+0.305</f>
        <v>7.0720000000000001</v>
      </c>
      <c r="X15" s="197"/>
      <c r="Y15" s="197"/>
      <c r="Z15" s="206"/>
      <c r="AA15" s="154">
        <f ca="1">IF(OR($E15="Ecoinvent",$E15="Betonsortenrechner",$E15="KBOB",$U15&lt;=0,Table2[[#This Row],[VALID_TO]]&lt;=TODAY()),0,1)</f>
        <v>1</v>
      </c>
      <c r="AB15" s="154">
        <f ca="1">IF(Table2[[#This Row],[VALID_TO]]&gt;=TODAY(), 1, 0)</f>
        <v>1</v>
      </c>
      <c r="AC15" s="246" cm="1">
        <f t="array" aca="1" ref="AC15" ca="1">IF($AA15&lt;&gt;0,
IF(AND(
                         U15&gt;=_xlfn.PERCENTILE.INC(_xlfn._xlws.FILTER($U$2:$U$197, ($M$2:$M$197=M15)*($AA$2:$AA$197=1)),0.1),
                         U15&lt;=_xlfn.PERCENTILE.INC(_xlfn._xlws.FILTER($U$2:$U$197, ($M$2:$M$197=M15)*($AA$2:$AA$197=1)),0.9)
               ),1,0),
0)</f>
        <v>1</v>
      </c>
      <c r="AD15" s="131"/>
      <c r="AE15" s="2"/>
      <c r="AF15" s="2"/>
      <c r="AG15" s="21"/>
    </row>
    <row r="16" spans="1:33" s="40" customFormat="1" x14ac:dyDescent="0.25">
      <c r="A16" s="8" t="s">
        <v>213</v>
      </c>
      <c r="B16" s="21"/>
      <c r="C16" s="225">
        <v>45</v>
      </c>
      <c r="D16" s="2" t="s">
        <v>65</v>
      </c>
      <c r="E16" s="3" t="s">
        <v>67</v>
      </c>
      <c r="F16" s="3"/>
      <c r="G16" s="175">
        <v>41025</v>
      </c>
      <c r="H16" s="32">
        <v>45556</v>
      </c>
      <c r="I16" s="26" t="s">
        <v>302</v>
      </c>
      <c r="J16" s="92" t="s">
        <v>52</v>
      </c>
      <c r="K16" s="6" t="s">
        <v>333</v>
      </c>
      <c r="L16" s="2" t="s">
        <v>326</v>
      </c>
      <c r="M16" s="103" t="s">
        <v>327</v>
      </c>
      <c r="N16" s="2" t="s">
        <v>427</v>
      </c>
      <c r="O16" s="176" t="s">
        <v>0</v>
      </c>
      <c r="P16" s="26">
        <v>7850</v>
      </c>
      <c r="Q16" s="3" t="s">
        <v>427</v>
      </c>
      <c r="R16" s="3" t="s">
        <v>427</v>
      </c>
      <c r="S16" s="3" t="s">
        <v>427</v>
      </c>
      <c r="T16" s="112" t="s">
        <v>427</v>
      </c>
      <c r="U16" s="107">
        <f>Table2[[#This Row],[A1toA3_GWP]]+Table2[[#This Row],[C1toC4_GWP]]</f>
        <v>367.12099999999998</v>
      </c>
      <c r="V16" s="24">
        <v>358</v>
      </c>
      <c r="W16" s="121">
        <f>0.351+8.77</f>
        <v>9.1209999999999987</v>
      </c>
      <c r="X16" s="78"/>
      <c r="Y16" s="78"/>
      <c r="Z16" s="198"/>
      <c r="AA16" s="154">
        <f ca="1">IF(OR($E16="Ecoinvent",$E16="Betonsortenrechner",$E16="KBOB",$U16&lt;=0,Table2[[#This Row],[VALID_TO]]&lt;=TODAY()),0,1)</f>
        <v>0</v>
      </c>
      <c r="AB16" s="154">
        <f ca="1">IF(Table2[[#This Row],[VALID_TO]]&gt;=TODAY(), 1, 0)</f>
        <v>0</v>
      </c>
      <c r="AC16" s="246" cm="1">
        <f t="array" aca="1" ref="AC16" ca="1">IF($AA16&lt;&gt;0,
IF(AND(
                         U16&gt;=_xlfn.PERCENTILE.INC(_xlfn._xlws.FILTER($U$2:$U$197, ($M$2:$M$197=M16)*($AA$2:$AA$197=1)),0.1),
                         U16&lt;=_xlfn.PERCENTILE.INC(_xlfn._xlws.FILTER($U$2:$U$197, ($M$2:$M$197=M16)*($AA$2:$AA$197=1)),0.9)
               ),1,0),
0)</f>
        <v>0</v>
      </c>
      <c r="AD16" s="131"/>
      <c r="AE16" s="2"/>
      <c r="AF16" s="2"/>
      <c r="AG16"/>
    </row>
    <row r="17" spans="1:33" s="40" customFormat="1" x14ac:dyDescent="0.25">
      <c r="A17" s="8" t="s">
        <v>214</v>
      </c>
      <c r="B17" s="21"/>
      <c r="C17" s="225">
        <v>46</v>
      </c>
      <c r="D17" s="2" t="s">
        <v>68</v>
      </c>
      <c r="E17" s="3" t="s">
        <v>69</v>
      </c>
      <c r="F17" s="3"/>
      <c r="G17" s="175">
        <v>44896</v>
      </c>
      <c r="H17" s="32">
        <v>46714</v>
      </c>
      <c r="I17" s="26" t="s">
        <v>70</v>
      </c>
      <c r="J17" s="92" t="s">
        <v>52</v>
      </c>
      <c r="K17" s="6" t="s">
        <v>333</v>
      </c>
      <c r="L17" s="2" t="s">
        <v>326</v>
      </c>
      <c r="M17" s="103" t="s">
        <v>327</v>
      </c>
      <c r="N17" s="2" t="s">
        <v>427</v>
      </c>
      <c r="O17" s="176" t="s">
        <v>0</v>
      </c>
      <c r="P17" s="26">
        <v>7850</v>
      </c>
      <c r="Q17" s="3" t="s">
        <v>427</v>
      </c>
      <c r="R17" s="3" t="s">
        <v>427</v>
      </c>
      <c r="S17" s="3" t="s">
        <v>427</v>
      </c>
      <c r="T17" s="112" t="s">
        <v>427</v>
      </c>
      <c r="U17" s="107">
        <f>Table2[[#This Row],[A1toA3_GWP]]+Table2[[#This Row],[C1toC4_GWP]]</f>
        <v>461.08</v>
      </c>
      <c r="V17" s="75">
        <v>330</v>
      </c>
      <c r="W17" s="121">
        <f>57.3+19.6+1.38+52.8</f>
        <v>131.07999999999998</v>
      </c>
      <c r="X17" s="78"/>
      <c r="Y17" s="78"/>
      <c r="Z17" s="198"/>
      <c r="AA17" s="154">
        <f ca="1">IF(OR($E17="Ecoinvent",$E17="Betonsortenrechner",$E17="KBOB",$U17&lt;=0,Table2[[#This Row],[VALID_TO]]&lt;=TODAY()),0,1)</f>
        <v>1</v>
      </c>
      <c r="AB17" s="154">
        <f ca="1">IF(Table2[[#This Row],[VALID_TO]]&gt;=TODAY(), 1, 0)</f>
        <v>1</v>
      </c>
      <c r="AC17" s="246" cm="1">
        <f t="array" aca="1" ref="AC17" ca="1">IF($AA17&lt;&gt;0,
IF(AND(
                         U17&gt;=_xlfn.PERCENTILE.INC(_xlfn._xlws.FILTER($U$2:$U$197, ($M$2:$M$197=M17)*($AA$2:$AA$197=1)),0.1),
                         U17&lt;=_xlfn.PERCENTILE.INC(_xlfn._xlws.FILTER($U$2:$U$197, ($M$2:$M$197=M17)*($AA$2:$AA$197=1)),0.9)
               ),1,0),
0)</f>
        <v>1</v>
      </c>
      <c r="AD17" s="131"/>
      <c r="AE17" s="2"/>
      <c r="AF17" s="2"/>
      <c r="AG17"/>
    </row>
    <row r="18" spans="1:33" s="40" customFormat="1" x14ac:dyDescent="0.25">
      <c r="A18" s="8" t="s">
        <v>215</v>
      </c>
      <c r="B18" s="21"/>
      <c r="C18" s="225">
        <v>47</v>
      </c>
      <c r="D18" s="2" t="s">
        <v>72</v>
      </c>
      <c r="E18" s="3" t="s">
        <v>71</v>
      </c>
      <c r="F18" s="3"/>
      <c r="G18" s="175">
        <v>45016</v>
      </c>
      <c r="H18" s="32">
        <v>46840</v>
      </c>
      <c r="I18" s="26" t="s">
        <v>178</v>
      </c>
      <c r="J18" s="92" t="s">
        <v>52</v>
      </c>
      <c r="K18" s="6" t="s">
        <v>333</v>
      </c>
      <c r="L18" s="2" t="s">
        <v>326</v>
      </c>
      <c r="M18" s="103" t="s">
        <v>327</v>
      </c>
      <c r="N18" s="2" t="s">
        <v>427</v>
      </c>
      <c r="O18" s="176" t="s">
        <v>0</v>
      </c>
      <c r="P18" s="26">
        <v>7850</v>
      </c>
      <c r="Q18" s="3" t="s">
        <v>427</v>
      </c>
      <c r="R18" s="3" t="s">
        <v>427</v>
      </c>
      <c r="S18" s="3" t="s">
        <v>427</v>
      </c>
      <c r="T18" s="112" t="s">
        <v>427</v>
      </c>
      <c r="U18" s="107">
        <f>Table2[[#This Row],[A1toA3_GWP]]+Table2[[#This Row],[C1toC4_GWP]]</f>
        <v>544.25</v>
      </c>
      <c r="V18" s="24">
        <v>413</v>
      </c>
      <c r="W18" s="121">
        <f>57.3+19.6+1.55+52.8</f>
        <v>131.25</v>
      </c>
      <c r="X18" s="78"/>
      <c r="Y18" s="78"/>
      <c r="Z18" s="198"/>
      <c r="AA18" s="154">
        <f ca="1">IF(OR($E18="Ecoinvent",$E18="Betonsortenrechner",$E18="KBOB",$U18&lt;=0,Table2[[#This Row],[VALID_TO]]&lt;=TODAY()),0,1)</f>
        <v>1</v>
      </c>
      <c r="AB18" s="154">
        <f ca="1">IF(Table2[[#This Row],[VALID_TO]]&gt;=TODAY(), 1, 0)</f>
        <v>1</v>
      </c>
      <c r="AC18" s="246" cm="1">
        <f t="array" aca="1" ref="AC18" ca="1">IF($AA18&lt;&gt;0,
IF(AND(
                         U18&gt;=_xlfn.PERCENTILE.INC(_xlfn._xlws.FILTER($U$2:$U$197, ($M$2:$M$197=M18)*($AA$2:$AA$197=1)),0.1),
                         U18&lt;=_xlfn.PERCENTILE.INC(_xlfn._xlws.FILTER($U$2:$U$197, ($M$2:$M$197=M18)*($AA$2:$AA$197=1)),0.9)
               ),1,0),
0)</f>
        <v>1</v>
      </c>
      <c r="AD18" s="131"/>
      <c r="AE18" s="2"/>
      <c r="AF18" s="2"/>
      <c r="AG18"/>
    </row>
    <row r="19" spans="1:33" s="40" customFormat="1" x14ac:dyDescent="0.25">
      <c r="A19" s="8" t="s">
        <v>216</v>
      </c>
      <c r="B19" s="21"/>
      <c r="C19" s="225">
        <v>48</v>
      </c>
      <c r="D19" s="2" t="s">
        <v>73</v>
      </c>
      <c r="E19" s="3" t="s">
        <v>74</v>
      </c>
      <c r="F19" s="3"/>
      <c r="G19" s="175">
        <v>45097</v>
      </c>
      <c r="H19" s="32">
        <v>46924</v>
      </c>
      <c r="I19" s="26" t="s">
        <v>273</v>
      </c>
      <c r="J19" s="92" t="s">
        <v>52</v>
      </c>
      <c r="K19" s="6" t="s">
        <v>333</v>
      </c>
      <c r="L19" s="2" t="s">
        <v>326</v>
      </c>
      <c r="M19" s="103" t="s">
        <v>327</v>
      </c>
      <c r="N19" s="2" t="s">
        <v>427</v>
      </c>
      <c r="O19" s="176" t="s">
        <v>0</v>
      </c>
      <c r="P19" s="26">
        <v>7850</v>
      </c>
      <c r="Q19" s="3" t="s">
        <v>427</v>
      </c>
      <c r="R19" s="3" t="s">
        <v>427</v>
      </c>
      <c r="S19" s="3" t="s">
        <v>427</v>
      </c>
      <c r="T19" s="112" t="s">
        <v>427</v>
      </c>
      <c r="U19" s="107">
        <f>Table2[[#This Row],[A1toA3_GWP]]+Table2[[#This Row],[C1toC4_GWP]]</f>
        <v>606.36399999999992</v>
      </c>
      <c r="V19" s="24">
        <f>56.4+18.4+524</f>
        <v>598.79999999999995</v>
      </c>
      <c r="W19" s="121">
        <f>7.12+0.149+0.295</f>
        <v>7.5640000000000001</v>
      </c>
      <c r="X19" s="78"/>
      <c r="Y19" s="78"/>
      <c r="Z19" s="198"/>
      <c r="AA19" s="154">
        <f ca="1">IF(OR($E19="Ecoinvent",$E19="Betonsortenrechner",$E19="KBOB",$U19&lt;=0,Table2[[#This Row],[VALID_TO]]&lt;=TODAY()),0,1)</f>
        <v>1</v>
      </c>
      <c r="AB19" s="154">
        <f ca="1">IF(Table2[[#This Row],[VALID_TO]]&gt;=TODAY(), 1, 0)</f>
        <v>1</v>
      </c>
      <c r="AC19" s="246" cm="1">
        <f t="array" aca="1" ref="AC19" ca="1">IF($AA19&lt;&gt;0,
IF(AND(
                         U19&gt;=_xlfn.PERCENTILE.INC(_xlfn._xlws.FILTER($U$2:$U$197, ($M$2:$M$197=M19)*($AA$2:$AA$197=1)),0.1),
                         U19&lt;=_xlfn.PERCENTILE.INC(_xlfn._xlws.FILTER($U$2:$U$197, ($M$2:$M$197=M19)*($AA$2:$AA$197=1)),0.9)
               ),1,0),
0)</f>
        <v>1</v>
      </c>
      <c r="AD19" s="131"/>
      <c r="AE19" s="2"/>
      <c r="AF19" s="2"/>
      <c r="AG19"/>
    </row>
    <row r="20" spans="1:33" s="40" customFormat="1" x14ac:dyDescent="0.25">
      <c r="A20" s="8" t="s">
        <v>217</v>
      </c>
      <c r="B20" s="21"/>
      <c r="C20" s="225">
        <v>49</v>
      </c>
      <c r="D20" s="2" t="s">
        <v>75</v>
      </c>
      <c r="E20" s="3" t="s">
        <v>74</v>
      </c>
      <c r="F20" s="3"/>
      <c r="G20" s="175">
        <v>45097</v>
      </c>
      <c r="H20" s="32">
        <v>46924</v>
      </c>
      <c r="I20" s="26" t="s">
        <v>273</v>
      </c>
      <c r="J20" s="92" t="s">
        <v>52</v>
      </c>
      <c r="K20" s="6" t="s">
        <v>333</v>
      </c>
      <c r="L20" s="2" t="s">
        <v>326</v>
      </c>
      <c r="M20" s="103" t="s">
        <v>327</v>
      </c>
      <c r="N20" s="2" t="s">
        <v>427</v>
      </c>
      <c r="O20" s="176" t="s">
        <v>0</v>
      </c>
      <c r="P20" s="26">
        <v>7850</v>
      </c>
      <c r="Q20" s="3" t="s">
        <v>427</v>
      </c>
      <c r="R20" s="3" t="s">
        <v>427</v>
      </c>
      <c r="S20" s="3" t="s">
        <v>427</v>
      </c>
      <c r="T20" s="112" t="s">
        <v>427</v>
      </c>
      <c r="U20" s="107">
        <f>Table2[[#This Row],[A1toA3_GWP]]+Table2[[#This Row],[C1toC4_GWP]]</f>
        <v>600.49</v>
      </c>
      <c r="V20" s="24">
        <f>55.8+18.2+519</f>
        <v>593</v>
      </c>
      <c r="W20" s="121">
        <f>7.05+0.148+0.292</f>
        <v>7.4899999999999993</v>
      </c>
      <c r="X20" s="78"/>
      <c r="Y20" s="78"/>
      <c r="Z20" s="198"/>
      <c r="AA20" s="154">
        <f ca="1">IF(OR($E20="Ecoinvent",$E20="Betonsortenrechner",$E20="KBOB",$U20&lt;=0,Table2[[#This Row],[VALID_TO]]&lt;=TODAY()),0,1)</f>
        <v>1</v>
      </c>
      <c r="AB20" s="154">
        <f ca="1">IF(Table2[[#This Row],[VALID_TO]]&gt;=TODAY(), 1, 0)</f>
        <v>1</v>
      </c>
      <c r="AC20" s="246" cm="1">
        <f t="array" aca="1" ref="AC20" ca="1">IF($AA20&lt;&gt;0,
IF(AND(
                         U20&gt;=_xlfn.PERCENTILE.INC(_xlfn._xlws.FILTER($U$2:$U$197, ($M$2:$M$197=M20)*($AA$2:$AA$197=1)),0.1),
                         U20&lt;=_xlfn.PERCENTILE.INC(_xlfn._xlws.FILTER($U$2:$U$197, ($M$2:$M$197=M20)*($AA$2:$AA$197=1)),0.9)
               ),1,0),
0)</f>
        <v>1</v>
      </c>
      <c r="AD20" s="131"/>
      <c r="AE20" s="2"/>
      <c r="AF20" s="2"/>
      <c r="AG20"/>
    </row>
    <row r="21" spans="1:33" s="40" customFormat="1" x14ac:dyDescent="0.25">
      <c r="A21" s="177" t="s">
        <v>222</v>
      </c>
      <c r="B21" s="178"/>
      <c r="C21" s="222">
        <v>50</v>
      </c>
      <c r="D21" s="179" t="s">
        <v>77</v>
      </c>
      <c r="E21" s="180" t="s">
        <v>78</v>
      </c>
      <c r="F21" s="180"/>
      <c r="G21" s="175">
        <v>44588</v>
      </c>
      <c r="H21" s="174">
        <v>46414</v>
      </c>
      <c r="I21" s="176" t="s">
        <v>300</v>
      </c>
      <c r="J21" s="181" t="s">
        <v>52</v>
      </c>
      <c r="K21" s="182" t="s">
        <v>333</v>
      </c>
      <c r="L21" s="179" t="s">
        <v>326</v>
      </c>
      <c r="M21" s="183" t="s">
        <v>327</v>
      </c>
      <c r="N21" s="179" t="s">
        <v>427</v>
      </c>
      <c r="O21" s="176" t="s">
        <v>0</v>
      </c>
      <c r="P21" s="176">
        <v>7850</v>
      </c>
      <c r="Q21" s="180" t="s">
        <v>427</v>
      </c>
      <c r="R21" s="180" t="s">
        <v>427</v>
      </c>
      <c r="S21" s="180" t="s">
        <v>427</v>
      </c>
      <c r="T21" s="184" t="s">
        <v>427</v>
      </c>
      <c r="U21" s="84">
        <f>Table2[[#This Row],[A1toA3_GWP]]+Table2[[#This Row],[C1toC4_GWP]]</f>
        <v>418.73599999999999</v>
      </c>
      <c r="V21" s="185">
        <f>52.9+24.3+333</f>
        <v>410.2</v>
      </c>
      <c r="W21" s="186">
        <f>8.23+0.306</f>
        <v>8.5359999999999996</v>
      </c>
      <c r="X21" s="154"/>
      <c r="Y21" s="154"/>
      <c r="Z21" s="194"/>
      <c r="AA21" s="154">
        <f ca="1">IF(OR($E21="Ecoinvent",$E21="Betonsortenrechner",$E21="KBOB",$U21&lt;=0,Table2[[#This Row],[VALID_TO]]&lt;=TODAY()),0,1)</f>
        <v>1</v>
      </c>
      <c r="AB21" s="154">
        <f ca="1">IF(Table2[[#This Row],[VALID_TO]]&gt;=TODAY(), 1, 0)</f>
        <v>1</v>
      </c>
      <c r="AC21" s="246" cm="1">
        <f t="array" aca="1" ref="AC21" ca="1">IF($AA21&lt;&gt;0,
IF(AND(
                         U21&gt;=_xlfn.PERCENTILE.INC(_xlfn._xlws.FILTER($U$2:$U$197, ($M$2:$M$197=M21)*($AA$2:$AA$197=1)),0.1),
                         U21&lt;=_xlfn.PERCENTILE.INC(_xlfn._xlws.FILTER($U$2:$U$197, ($M$2:$M$197=M21)*($AA$2:$AA$197=1)),0.9)
               ),1,0),
0)</f>
        <v>0</v>
      </c>
      <c r="AD21" s="187"/>
      <c r="AE21" s="179"/>
      <c r="AF21" s="179"/>
      <c r="AG21"/>
    </row>
    <row r="22" spans="1:33" s="40" customFormat="1" x14ac:dyDescent="0.25">
      <c r="A22" s="177" t="s">
        <v>220</v>
      </c>
      <c r="B22" s="178"/>
      <c r="C22" s="222">
        <v>51</v>
      </c>
      <c r="D22" s="179" t="s">
        <v>79</v>
      </c>
      <c r="E22" s="180" t="s">
        <v>80</v>
      </c>
      <c r="F22" s="180"/>
      <c r="G22" s="175">
        <v>44306</v>
      </c>
      <c r="H22" s="174">
        <v>46131</v>
      </c>
      <c r="I22" s="176" t="s">
        <v>273</v>
      </c>
      <c r="J22" s="181" t="s">
        <v>52</v>
      </c>
      <c r="K22" s="182" t="s">
        <v>333</v>
      </c>
      <c r="L22" s="179" t="s">
        <v>326</v>
      </c>
      <c r="M22" s="183" t="s">
        <v>327</v>
      </c>
      <c r="N22" s="179" t="s">
        <v>427</v>
      </c>
      <c r="O22" s="176" t="s">
        <v>0</v>
      </c>
      <c r="P22" s="176">
        <v>7850</v>
      </c>
      <c r="Q22" s="180" t="s">
        <v>427</v>
      </c>
      <c r="R22" s="180" t="s">
        <v>427</v>
      </c>
      <c r="S22" s="180" t="s">
        <v>427</v>
      </c>
      <c r="T22" s="184" t="s">
        <v>427</v>
      </c>
      <c r="U22" s="84">
        <f>Table2[[#This Row],[A1toA3_GWP]]+Table2[[#This Row],[C1toC4_GWP]]</f>
        <v>468.90499999999997</v>
      </c>
      <c r="V22" s="185">
        <f>79.5+38+343</f>
        <v>460.5</v>
      </c>
      <c r="W22" s="186">
        <f>8.09+0+0.315</f>
        <v>8.4049999999999994</v>
      </c>
      <c r="X22" s="154"/>
      <c r="Y22" s="154"/>
      <c r="Z22" s="194"/>
      <c r="AA22" s="154">
        <f ca="1">IF(OR($E22="Ecoinvent",$E22="Betonsortenrechner",$E22="KBOB",$U22&lt;=0,Table2[[#This Row],[VALID_TO]]&lt;=TODAY()),0,1)</f>
        <v>1</v>
      </c>
      <c r="AB22" s="154">
        <f ca="1">IF(Table2[[#This Row],[VALID_TO]]&gt;=TODAY(), 1, 0)</f>
        <v>1</v>
      </c>
      <c r="AC22" s="246" cm="1">
        <f t="array" aca="1" ref="AC22" ca="1">IF($AA22&lt;&gt;0,
IF(AND(
                         U22&gt;=_xlfn.PERCENTILE.INC(_xlfn._xlws.FILTER($U$2:$U$197, ($M$2:$M$197=M22)*($AA$2:$AA$197=1)),0.1),
                         U22&lt;=_xlfn.PERCENTILE.INC(_xlfn._xlws.FILTER($U$2:$U$197, ($M$2:$M$197=M22)*($AA$2:$AA$197=1)),0.9)
               ),1,0),
0)</f>
        <v>1</v>
      </c>
      <c r="AD22" s="187"/>
      <c r="AE22" s="179"/>
      <c r="AF22" s="179"/>
      <c r="AG22"/>
    </row>
    <row r="23" spans="1:33" s="40" customFormat="1" x14ac:dyDescent="0.25">
      <c r="A23" s="177" t="s">
        <v>221</v>
      </c>
      <c r="B23" s="178"/>
      <c r="C23" s="222">
        <v>52</v>
      </c>
      <c r="D23" s="182" t="s">
        <v>81</v>
      </c>
      <c r="E23" s="180" t="s">
        <v>82</v>
      </c>
      <c r="F23" s="180"/>
      <c r="G23" s="175">
        <v>43803</v>
      </c>
      <c r="H23" s="174">
        <v>46150</v>
      </c>
      <c r="I23" s="176" t="s">
        <v>300</v>
      </c>
      <c r="J23" s="181" t="s">
        <v>52</v>
      </c>
      <c r="K23" s="182" t="s">
        <v>333</v>
      </c>
      <c r="L23" s="179" t="s">
        <v>326</v>
      </c>
      <c r="M23" s="183" t="s">
        <v>327</v>
      </c>
      <c r="N23" s="179" t="s">
        <v>427</v>
      </c>
      <c r="O23" s="176" t="s">
        <v>0</v>
      </c>
      <c r="P23" s="176">
        <v>7850</v>
      </c>
      <c r="Q23" s="180" t="s">
        <v>427</v>
      </c>
      <c r="R23" s="180" t="s">
        <v>427</v>
      </c>
      <c r="S23" s="180" t="s">
        <v>427</v>
      </c>
      <c r="T23" s="184" t="s">
        <v>427</v>
      </c>
      <c r="U23" s="84">
        <f>Table2[[#This Row],[A1toA3_GWP]]+Table2[[#This Row],[C1toC4_GWP]]</f>
        <v>352.93</v>
      </c>
      <c r="V23" s="189">
        <v>309</v>
      </c>
      <c r="W23" s="186">
        <f>2.15+40.6+1.18</f>
        <v>43.93</v>
      </c>
      <c r="X23" s="154"/>
      <c r="Y23" s="154"/>
      <c r="Z23" s="194"/>
      <c r="AA23" s="154">
        <f ca="1">IF(OR($E23="Ecoinvent",$E23="Betonsortenrechner",$E23="KBOB",$U23&lt;=0,Table2[[#This Row],[VALID_TO]]&lt;=TODAY()),0,1)</f>
        <v>1</v>
      </c>
      <c r="AB23" s="154">
        <f ca="1">IF(Table2[[#This Row],[VALID_TO]]&gt;=TODAY(), 1, 0)</f>
        <v>1</v>
      </c>
      <c r="AC23" s="246" cm="1">
        <f t="array" aca="1" ref="AC23" ca="1">IF($AA23&lt;&gt;0,
IF(AND(
                         U23&gt;=_xlfn.PERCENTILE.INC(_xlfn._xlws.FILTER($U$2:$U$197, ($M$2:$M$197=M23)*($AA$2:$AA$197=1)),0.1),
                         U23&lt;=_xlfn.PERCENTILE.INC(_xlfn._xlws.FILTER($U$2:$U$197, ($M$2:$M$197=M23)*($AA$2:$AA$197=1)),0.9)
               ),1,0),
0)</f>
        <v>0</v>
      </c>
      <c r="AD23" s="187"/>
      <c r="AE23" s="179"/>
      <c r="AF23" s="179"/>
      <c r="AG23"/>
    </row>
    <row r="24" spans="1:33" x14ac:dyDescent="0.25">
      <c r="A24" s="177" t="s">
        <v>218</v>
      </c>
      <c r="B24" s="178"/>
      <c r="C24" s="221">
        <v>53</v>
      </c>
      <c r="D24" s="182" t="s">
        <v>83</v>
      </c>
      <c r="E24" s="180" t="s">
        <v>84</v>
      </c>
      <c r="F24" s="180"/>
      <c r="G24" s="175">
        <v>43759</v>
      </c>
      <c r="H24" s="174">
        <v>46150</v>
      </c>
      <c r="I24" s="176" t="s">
        <v>178</v>
      </c>
      <c r="J24" s="181" t="s">
        <v>52</v>
      </c>
      <c r="K24" s="182" t="s">
        <v>333</v>
      </c>
      <c r="L24" s="179" t="s">
        <v>326</v>
      </c>
      <c r="M24" s="183" t="s">
        <v>327</v>
      </c>
      <c r="N24" s="179" t="s">
        <v>427</v>
      </c>
      <c r="O24" s="176" t="s">
        <v>0</v>
      </c>
      <c r="P24" s="176">
        <v>7850</v>
      </c>
      <c r="Q24" s="180" t="s">
        <v>427</v>
      </c>
      <c r="R24" s="180" t="s">
        <v>427</v>
      </c>
      <c r="S24" s="180" t="s">
        <v>427</v>
      </c>
      <c r="T24" s="184" t="s">
        <v>427</v>
      </c>
      <c r="U24" s="84">
        <f>Table2[[#This Row],[A1toA3_GWP]]+Table2[[#This Row],[C1toC4_GWP]]</f>
        <v>658.93</v>
      </c>
      <c r="V24" s="189">
        <v>615</v>
      </c>
      <c r="W24" s="186">
        <f>2.15+40.6+1.18</f>
        <v>43.93</v>
      </c>
      <c r="X24" s="154"/>
      <c r="Y24" s="154"/>
      <c r="Z24" s="194"/>
      <c r="AA24" s="154">
        <f ca="1">IF(OR($E24="Ecoinvent",$E24="Betonsortenrechner",$E24="KBOB",$U24&lt;=0,Table2[[#This Row],[VALID_TO]]&lt;=TODAY()),0,1)</f>
        <v>1</v>
      </c>
      <c r="AB24" s="154">
        <f ca="1">IF(Table2[[#This Row],[VALID_TO]]&gt;=TODAY(), 1, 0)</f>
        <v>1</v>
      </c>
      <c r="AC24" s="213" cm="1">
        <f t="array" aca="1" ref="AC24" ca="1">IF($AA24&lt;&gt;0,
IF(AND(
                         U24&gt;=_xlfn.PERCENTILE.INC(_xlfn._xlws.FILTER($U$2:$U$197, ($M$2:$M$197=M24)*($AA$2:$AA$197=1)),0.1),
                         U24&lt;=_xlfn.PERCENTILE.INC(_xlfn._xlws.FILTER($U$2:$U$197, ($M$2:$M$197=M24)*($AA$2:$AA$197=1)),0.9)
               ),1,0),
0)</f>
        <v>0</v>
      </c>
      <c r="AD24" s="187"/>
      <c r="AE24" s="179"/>
      <c r="AF24" s="179"/>
    </row>
    <row r="25" spans="1:33" x14ac:dyDescent="0.25">
      <c r="A25" s="8" t="s">
        <v>223</v>
      </c>
      <c r="B25" s="21"/>
      <c r="C25" s="225">
        <v>54</v>
      </c>
      <c r="D25" s="6" t="s">
        <v>224</v>
      </c>
      <c r="E25" s="3" t="s">
        <v>225</v>
      </c>
      <c r="F25" s="3"/>
      <c r="G25" s="175">
        <v>43420</v>
      </c>
      <c r="H25" s="32">
        <v>45245</v>
      </c>
      <c r="I25" s="26" t="s">
        <v>301</v>
      </c>
      <c r="J25" s="92" t="s">
        <v>52</v>
      </c>
      <c r="K25" s="6" t="s">
        <v>333</v>
      </c>
      <c r="L25" s="2" t="s">
        <v>326</v>
      </c>
      <c r="M25" s="103" t="s">
        <v>327</v>
      </c>
      <c r="N25" s="2" t="s">
        <v>427</v>
      </c>
      <c r="O25" s="176" t="s">
        <v>0</v>
      </c>
      <c r="P25" s="26">
        <v>7850</v>
      </c>
      <c r="Q25" s="3" t="s">
        <v>427</v>
      </c>
      <c r="R25" s="3" t="s">
        <v>427</v>
      </c>
      <c r="S25" s="3" t="s">
        <v>427</v>
      </c>
      <c r="T25" s="112" t="s">
        <v>427</v>
      </c>
      <c r="U25" s="84">
        <f>SUM(Table2[[#This Row],[A1toA3_GWP]:[C1toC4_GWP]])</f>
        <v>527</v>
      </c>
      <c r="V25" s="189">
        <f>403+39+85</f>
        <v>527</v>
      </c>
      <c r="W25" s="186" t="s">
        <v>167</v>
      </c>
      <c r="X25" s="154"/>
      <c r="Y25" s="154"/>
      <c r="Z25" s="194"/>
      <c r="AA25" s="154">
        <f ca="1">IF(OR($E25="Ecoinvent",$E25="Betonsortenrechner",$E25="KBOB",$U25&lt;=0,Table2[[#This Row],[VALID_TO]]&lt;=TODAY()),0,1)</f>
        <v>0</v>
      </c>
      <c r="AB25" s="154">
        <f ca="1">IF(Table2[[#This Row],[VALID_TO]]&gt;=TODAY(), 1, 0)</f>
        <v>0</v>
      </c>
      <c r="AC25" s="213" cm="1">
        <f t="array" aca="1" ref="AC25" ca="1">IF($AA25&lt;&gt;0,
IF(AND(
                         U25&gt;=_xlfn.PERCENTILE.INC(_xlfn._xlws.FILTER($U$2:$U$197, ($M$2:$M$197=M25)*($AA$2:$AA$197=1)),0.1),
                         U25&lt;=_xlfn.PERCENTILE.INC(_xlfn._xlws.FILTER($U$2:$U$197, ($M$2:$M$197=M25)*($AA$2:$AA$197=1)),0.9)
               ),1,0),
0)</f>
        <v>0</v>
      </c>
      <c r="AD25" s="131"/>
      <c r="AE25" s="2"/>
      <c r="AF25" s="2"/>
    </row>
    <row r="26" spans="1:33" x14ac:dyDescent="0.25">
      <c r="A26" s="8" t="s">
        <v>260</v>
      </c>
      <c r="B26" s="21" t="s">
        <v>517</v>
      </c>
      <c r="C26" s="225">
        <v>102</v>
      </c>
      <c r="D26" s="2" t="s">
        <v>261</v>
      </c>
      <c r="E26" s="3" t="s">
        <v>121</v>
      </c>
      <c r="F26" s="3"/>
      <c r="G26" s="32"/>
      <c r="H26" s="32"/>
      <c r="I26" s="26"/>
      <c r="J26" s="92"/>
      <c r="K26" s="6" t="s">
        <v>505</v>
      </c>
      <c r="L26" s="2" t="s">
        <v>323</v>
      </c>
      <c r="M26" s="100" t="s">
        <v>509</v>
      </c>
      <c r="N26" s="2" t="s">
        <v>427</v>
      </c>
      <c r="O26" s="26" t="s">
        <v>556</v>
      </c>
      <c r="P26" s="26">
        <v>470</v>
      </c>
      <c r="Q26" s="3" t="s">
        <v>427</v>
      </c>
      <c r="R26" s="3" t="s">
        <v>427</v>
      </c>
      <c r="S26" s="3" t="s">
        <v>427</v>
      </c>
      <c r="T26" s="112" t="s">
        <v>427</v>
      </c>
      <c r="U26" s="107">
        <f>SUM(Table2[[#This Row],[A1toA3_GWP]:[C1toC4_GWP]])</f>
        <v>349.0042553191488</v>
      </c>
      <c r="V26" s="24">
        <f>(-699+7.56+97)/Table2[[#This Row],[DENSITY]]*1000</f>
        <v>-1264.7659574468087</v>
      </c>
      <c r="W26" s="121">
        <f>(0.472+758)/Table2[[#This Row],[DENSITY]]*1000</f>
        <v>1613.7702127659575</v>
      </c>
      <c r="X26" s="154">
        <f>SUM(Table2[[#This Row],[A1toA3_GWP-biogenic]:[C1toC4_GWP-biogenic]])</f>
        <v>0</v>
      </c>
      <c r="Y26" s="78" t="s">
        <v>427</v>
      </c>
      <c r="Z26" s="198" t="s">
        <v>427</v>
      </c>
      <c r="AA26" s="154">
        <f ca="1">IF(OR($E26="Ecoinvent",$E26="Betonsortenrechner",$E26="KBOB",$U26&lt;=0,Table2[[#This Row],[VALID_TO]]&lt;=TODAY()),0,1)</f>
        <v>0</v>
      </c>
      <c r="AB26" s="154">
        <f ca="1">IF(Table2[[#This Row],[VALID_TO]]&gt;=TODAY(), 1, 0)</f>
        <v>0</v>
      </c>
      <c r="AC26" s="213" cm="1">
        <f t="array" aca="1" ref="AC26" ca="1">IF($AA26&lt;&gt;0,
IF(AND(
                         U26&gt;=_xlfn.PERCENTILE.INC(_xlfn._xlws.FILTER($U$2:$U$197, ($L$2:$L$197=L26)*($AA$2:$AA$197=1)),0.1),
                         U26&lt;=_xlfn.PERCENTILE.INC(_xlfn._xlws.FILTER($U$2:$U$197, ($L$3:$L$198=L26)*($AA$2:$AA$197=1)),0.9)
               ),1,0),
0)</f>
        <v>0</v>
      </c>
      <c r="AD26" s="131"/>
      <c r="AE26" s="2"/>
      <c r="AF26" s="2"/>
    </row>
    <row r="27" spans="1:33" x14ac:dyDescent="0.25">
      <c r="A27" s="83" t="s">
        <v>344</v>
      </c>
      <c r="B27" s="157"/>
      <c r="C27" s="218">
        <v>5</v>
      </c>
      <c r="D27" s="11" t="s">
        <v>21</v>
      </c>
      <c r="E27" s="12" t="s">
        <v>11</v>
      </c>
      <c r="F27" s="12"/>
      <c r="G27" s="34" t="s">
        <v>427</v>
      </c>
      <c r="H27" s="25" t="s">
        <v>427</v>
      </c>
      <c r="I27" s="25" t="s">
        <v>53</v>
      </c>
      <c r="J27" s="90"/>
      <c r="K27" s="44" t="s">
        <v>332</v>
      </c>
      <c r="L27" s="11" t="s">
        <v>324</v>
      </c>
      <c r="M27" s="98" t="s">
        <v>325</v>
      </c>
      <c r="N27" s="11" t="s">
        <v>16</v>
      </c>
      <c r="O27" s="25" t="s">
        <v>29</v>
      </c>
      <c r="P27" s="25">
        <v>2420</v>
      </c>
      <c r="Q27" s="12" t="s">
        <v>427</v>
      </c>
      <c r="R27" s="12" t="s">
        <v>427</v>
      </c>
      <c r="S27" s="12" t="s">
        <v>427</v>
      </c>
      <c r="T27" s="110" t="s">
        <v>427</v>
      </c>
      <c r="U27" s="47">
        <f>SUM(Table2[[#This Row],[A1toA3_GWP]:[C1toC4_GWP]])</f>
        <v>81.404958677685954</v>
      </c>
      <c r="V27" s="22">
        <f>197/Table2[[#This Row],[DENSITY]]*1000</f>
        <v>81.404958677685954</v>
      </c>
      <c r="W27" s="119" t="s">
        <v>427</v>
      </c>
      <c r="X27" s="150"/>
      <c r="Y27" s="150"/>
      <c r="Z27" s="202"/>
      <c r="AA27" s="150">
        <f ca="1">IF(OR($E27="Ecoinvent",$E27="Betonsortenrechner",$E27="KBOB",$U27&lt;=0,Table2[[#This Row],[VALID_TO]]&lt;=TODAY()),0,1)</f>
        <v>0</v>
      </c>
      <c r="AB27" s="150">
        <v>0</v>
      </c>
      <c r="AC27" s="247" cm="1">
        <f t="array" aca="1" ref="AC27" ca="1">IF($AA27&lt;&gt;0,
IF(AND(
                         U27&gt;=_xlfn.PERCENTILE.INC(_xlfn._xlws.FILTER($U$2:$U$197, ($M$2:$M$197=M27)*($AA$2:$AA$197=1)),0.1),
                         U27&lt;=_xlfn.PERCENTILE.INC(_xlfn._xlws.FILTER($U$2:$U$197, ($M$2:$M$197=M27)*($AA$2:$AA$197=1)),0.9)
               ),1,0),
0)</f>
        <v>0</v>
      </c>
      <c r="AD27" s="129"/>
      <c r="AE27" s="11"/>
      <c r="AF27" s="11"/>
    </row>
    <row r="28" spans="1:33" x14ac:dyDescent="0.25">
      <c r="A28" s="83" t="s">
        <v>346</v>
      </c>
      <c r="B28" s="157"/>
      <c r="C28" s="218">
        <v>7</v>
      </c>
      <c r="D28" s="11" t="s">
        <v>24</v>
      </c>
      <c r="E28" s="12" t="s">
        <v>11</v>
      </c>
      <c r="F28" s="12"/>
      <c r="G28" s="34" t="s">
        <v>427</v>
      </c>
      <c r="H28" s="25" t="s">
        <v>427</v>
      </c>
      <c r="I28" s="25" t="s">
        <v>53</v>
      </c>
      <c r="J28" s="90"/>
      <c r="K28" s="44" t="s">
        <v>332</v>
      </c>
      <c r="L28" s="11" t="s">
        <v>324</v>
      </c>
      <c r="M28" s="98" t="s">
        <v>325</v>
      </c>
      <c r="N28" s="11" t="s">
        <v>25</v>
      </c>
      <c r="O28" s="25" t="s">
        <v>29</v>
      </c>
      <c r="P28" s="12" t="s">
        <v>427</v>
      </c>
      <c r="Q28" s="12" t="s">
        <v>427</v>
      </c>
      <c r="R28" s="12" t="s">
        <v>427</v>
      </c>
      <c r="S28" s="12" t="s">
        <v>427</v>
      </c>
      <c r="T28" s="110" t="s">
        <v>427</v>
      </c>
      <c r="U28" s="47"/>
      <c r="V28" s="72"/>
      <c r="W28" s="119"/>
      <c r="X28" s="150"/>
      <c r="Y28" s="150"/>
      <c r="Z28" s="202"/>
      <c r="AA28" s="150">
        <f ca="1">IF(OR($E28="Ecoinvent",$E28="Betonsortenrechner",$E28="KBOB",$U28&lt;=0,Table2[[#This Row],[VALID_TO]]&lt;=TODAY()),0,1)</f>
        <v>0</v>
      </c>
      <c r="AB28" s="150">
        <v>0</v>
      </c>
      <c r="AC28" s="247" cm="1">
        <f t="array" aca="1" ref="AC28" ca="1">IF($AA28&lt;&gt;0,
IF(AND(
                         U28&gt;=_xlfn.PERCENTILE.INC(_xlfn._xlws.FILTER($U$2:$U$197, ($M$2:$M$197=M28)*($AA$2:$AA$197=1)),0.1),
                         U28&lt;=_xlfn.PERCENTILE.INC(_xlfn._xlws.FILTER($U$2:$U$197, ($M$2:$M$197=M28)*($AA$2:$AA$197=1)),0.9)
               ),1,0),
0)</f>
        <v>0</v>
      </c>
      <c r="AD28" s="129"/>
      <c r="AE28" s="11"/>
      <c r="AF28" s="11"/>
    </row>
    <row r="29" spans="1:33" x14ac:dyDescent="0.25">
      <c r="A29" s="83" t="s">
        <v>347</v>
      </c>
      <c r="B29" s="157"/>
      <c r="C29" s="218">
        <v>8</v>
      </c>
      <c r="D29" s="11" t="s">
        <v>26</v>
      </c>
      <c r="E29" s="12" t="s">
        <v>11</v>
      </c>
      <c r="F29" s="12"/>
      <c r="G29" s="34" t="s">
        <v>427</v>
      </c>
      <c r="H29" s="25" t="s">
        <v>427</v>
      </c>
      <c r="I29" s="25" t="s">
        <v>53</v>
      </c>
      <c r="J29" s="90"/>
      <c r="K29" s="44" t="s">
        <v>332</v>
      </c>
      <c r="L29" s="11" t="s">
        <v>324</v>
      </c>
      <c r="M29" s="98" t="s">
        <v>325</v>
      </c>
      <c r="N29" s="11" t="s">
        <v>14</v>
      </c>
      <c r="O29" s="25" t="s">
        <v>29</v>
      </c>
      <c r="P29" s="12" t="s">
        <v>427</v>
      </c>
      <c r="Q29" s="12" t="s">
        <v>427</v>
      </c>
      <c r="R29" s="12" t="s">
        <v>427</v>
      </c>
      <c r="S29" s="12" t="s">
        <v>427</v>
      </c>
      <c r="T29" s="110" t="s">
        <v>427</v>
      </c>
      <c r="U29" s="47"/>
      <c r="V29" s="72"/>
      <c r="W29" s="119"/>
      <c r="X29" s="150"/>
      <c r="Y29" s="150"/>
      <c r="Z29" s="202"/>
      <c r="AA29" s="150">
        <f ca="1">IF(OR($E29="Ecoinvent",$E29="Betonsortenrechner",$E29="KBOB",$U29&lt;=0,Table2[[#This Row],[VALID_TO]]&lt;=TODAY()),0,1)</f>
        <v>0</v>
      </c>
      <c r="AB29" s="150">
        <v>0</v>
      </c>
      <c r="AC29" s="247" cm="1">
        <f t="array" aca="1" ref="AC29" ca="1">IF($AA29&lt;&gt;0,
IF(AND(
                         U29&gt;=_xlfn.PERCENTILE.INC(_xlfn._xlws.FILTER($U$2:$U$197, ($M$2:$M$197=M29)*($AA$2:$AA$197=1)),0.1),
                         U29&lt;=_xlfn.PERCENTILE.INC(_xlfn._xlws.FILTER($U$2:$U$197, ($M$2:$M$197=M29)*($AA$2:$AA$197=1)),0.9)
               ),1,0),
0)</f>
        <v>0</v>
      </c>
      <c r="AD29" s="129"/>
      <c r="AE29" s="11"/>
      <c r="AF29" s="11"/>
    </row>
    <row r="30" spans="1:33" x14ac:dyDescent="0.25">
      <c r="A30" s="83" t="s">
        <v>348</v>
      </c>
      <c r="B30" s="157"/>
      <c r="C30" s="218">
        <v>9</v>
      </c>
      <c r="D30" s="11" t="s">
        <v>27</v>
      </c>
      <c r="E30" s="12" t="s">
        <v>11</v>
      </c>
      <c r="F30" s="12"/>
      <c r="G30" s="34" t="s">
        <v>427</v>
      </c>
      <c r="H30" s="25" t="s">
        <v>427</v>
      </c>
      <c r="I30" s="25" t="s">
        <v>53</v>
      </c>
      <c r="J30" s="90"/>
      <c r="K30" s="44" t="s">
        <v>332</v>
      </c>
      <c r="L30" s="11" t="s">
        <v>324</v>
      </c>
      <c r="M30" s="98" t="s">
        <v>325</v>
      </c>
      <c r="N30" s="11" t="s">
        <v>28</v>
      </c>
      <c r="O30" s="25" t="s">
        <v>29</v>
      </c>
      <c r="P30" s="12" t="s">
        <v>427</v>
      </c>
      <c r="Q30" s="12" t="s">
        <v>427</v>
      </c>
      <c r="R30" s="12" t="s">
        <v>427</v>
      </c>
      <c r="S30" s="12" t="s">
        <v>427</v>
      </c>
      <c r="T30" s="110" t="s">
        <v>427</v>
      </c>
      <c r="U30" s="47"/>
      <c r="V30" s="72"/>
      <c r="W30" s="119"/>
      <c r="X30" s="150"/>
      <c r="Y30" s="150"/>
      <c r="Z30" s="202"/>
      <c r="AA30" s="150">
        <f ca="1">IF(OR($E30="Ecoinvent",$E30="Betonsortenrechner",$E30="KBOB",$U30&lt;=0,Table2[[#This Row],[VALID_TO]]&lt;=TODAY()),0,1)</f>
        <v>0</v>
      </c>
      <c r="AB30" s="150">
        <v>0</v>
      </c>
      <c r="AC30" s="247" cm="1">
        <f t="array" aca="1" ref="AC30" ca="1">IF($AA30&lt;&gt;0,
IF(AND(
                         U30&gt;=_xlfn.PERCENTILE.INC(_xlfn._xlws.FILTER($U$2:$U$197, ($M$2:$M$197=M30)*($AA$2:$AA$197=1)),0.1),
                         U30&lt;=_xlfn.PERCENTILE.INC(_xlfn._xlws.FILTER($U$2:$U$197, ($M$2:$M$197=M30)*($AA$2:$AA$197=1)),0.9)
               ),1,0),
0)</f>
        <v>0</v>
      </c>
      <c r="AD30" s="129"/>
      <c r="AE30" s="11"/>
      <c r="AF30" s="11"/>
    </row>
    <row r="31" spans="1:33" x14ac:dyDescent="0.25">
      <c r="A31" s="85" t="s">
        <v>351</v>
      </c>
      <c r="B31" s="158"/>
      <c r="C31" s="220">
        <v>12</v>
      </c>
      <c r="D31" s="37" t="s">
        <v>427</v>
      </c>
      <c r="E31" s="38" t="s">
        <v>3</v>
      </c>
      <c r="F31" s="38"/>
      <c r="G31" s="171" t="s">
        <v>427</v>
      </c>
      <c r="H31" s="39" t="s">
        <v>427</v>
      </c>
      <c r="I31" s="39" t="s">
        <v>53</v>
      </c>
      <c r="J31" s="237" t="s">
        <v>32</v>
      </c>
      <c r="K31" s="45" t="s">
        <v>332</v>
      </c>
      <c r="L31" s="37" t="s">
        <v>324</v>
      </c>
      <c r="M31" s="99" t="s">
        <v>325</v>
      </c>
      <c r="N31" s="37" t="s">
        <v>16</v>
      </c>
      <c r="O31" s="39" t="s">
        <v>29</v>
      </c>
      <c r="P31" s="39">
        <v>2241</v>
      </c>
      <c r="Q31" s="38" t="s">
        <v>427</v>
      </c>
      <c r="R31" s="38" t="s">
        <v>427</v>
      </c>
      <c r="S31" s="38" t="s">
        <v>427</v>
      </c>
      <c r="T31" s="111" t="s">
        <v>427</v>
      </c>
      <c r="U31" s="61">
        <f>SUM(Table2[[#This Row],[A1toA3_GWP]:[C1toC4_GWP]])</f>
        <v>102.36501561802767</v>
      </c>
      <c r="V31" s="73">
        <f>201/Table2[[#This Row],[DENSITY]]*1000</f>
        <v>89.692101740294518</v>
      </c>
      <c r="W31" s="120">
        <f>28.4/Table2[[#This Row],[DENSITY]]*1000</f>
        <v>12.672913877733155</v>
      </c>
      <c r="X31" s="151"/>
      <c r="Y31" s="151"/>
      <c r="Z31" s="203"/>
      <c r="AA31" s="151">
        <f ca="1">IF(OR($E31="Ecoinvent",$E31="Betonsortenrechner",$E31="KBOB",$U31&lt;=0,Table2[[#This Row],[VALID_TO]]&lt;=TODAY()),0,1)</f>
        <v>0</v>
      </c>
      <c r="AB31" s="151">
        <v>0</v>
      </c>
      <c r="AC31" s="212" cm="1">
        <f t="array" aca="1" ref="AC31" ca="1">IF($AA31&lt;&gt;0,
IF(AND(
                         U31&gt;=_xlfn.PERCENTILE.INC(_xlfn._xlws.FILTER($U$2:$U$197, ($M$2:$M$197=M31)*($AA$2:$AA$197=1)),0.1),
                         U31&lt;=_xlfn.PERCENTILE.INC(_xlfn._xlws.FILTER($U$2:$U$197, ($M$2:$M$197=M31)*($AA$2:$AA$197=1)),0.9)
               ),1,0),
0)</f>
        <v>0</v>
      </c>
      <c r="AD31" s="130"/>
      <c r="AE31" s="37"/>
      <c r="AF31" s="37"/>
    </row>
    <row r="32" spans="1:33" x14ac:dyDescent="0.25">
      <c r="A32" s="85" t="s">
        <v>352</v>
      </c>
      <c r="B32" s="158"/>
      <c r="C32" s="220">
        <v>13</v>
      </c>
      <c r="D32" s="37" t="s">
        <v>427</v>
      </c>
      <c r="E32" s="38" t="s">
        <v>3</v>
      </c>
      <c r="F32" s="38"/>
      <c r="G32" s="171" t="s">
        <v>427</v>
      </c>
      <c r="H32" s="39" t="s">
        <v>427</v>
      </c>
      <c r="I32" s="39" t="s">
        <v>53</v>
      </c>
      <c r="J32" s="91" t="s">
        <v>32</v>
      </c>
      <c r="K32" s="45" t="s">
        <v>332</v>
      </c>
      <c r="L32" s="37" t="s">
        <v>324</v>
      </c>
      <c r="M32" s="99" t="s">
        <v>325</v>
      </c>
      <c r="N32" s="37" t="s">
        <v>2</v>
      </c>
      <c r="O32" s="39" t="s">
        <v>29</v>
      </c>
      <c r="P32" s="39">
        <v>2241</v>
      </c>
      <c r="Q32" s="38" t="s">
        <v>427</v>
      </c>
      <c r="R32" s="38" t="s">
        <v>427</v>
      </c>
      <c r="S32" s="38" t="s">
        <v>427</v>
      </c>
      <c r="T32" s="111" t="s">
        <v>427</v>
      </c>
      <c r="U32" s="61">
        <f>SUM(Table2[[#This Row],[A1toA3_GWP]:[C1toC4_GWP]])</f>
        <v>100.1338688085676</v>
      </c>
      <c r="V32" s="73">
        <f>196/Table2[[#This Row],[DENSITY]]*1000</f>
        <v>87.460954930834447</v>
      </c>
      <c r="W32" s="120">
        <f>28.4/Table2[[#This Row],[DENSITY]]*1000</f>
        <v>12.672913877733155</v>
      </c>
      <c r="X32" s="151"/>
      <c r="Y32" s="151"/>
      <c r="Z32" s="203"/>
      <c r="AA32" s="151">
        <f ca="1">IF(OR($E32="Ecoinvent",$E32="Betonsortenrechner",$E32="KBOB",$U32&lt;=0,Table2[[#This Row],[VALID_TO]]&lt;=TODAY()),0,1)</f>
        <v>0</v>
      </c>
      <c r="AB32" s="151">
        <v>0</v>
      </c>
      <c r="AC32" s="212" cm="1">
        <f t="array" aca="1" ref="AC32" ca="1">IF($AA32&lt;&gt;0,
IF(AND(
                         U32&gt;=_xlfn.PERCENTILE.INC(_xlfn._xlws.FILTER($U$2:$U$197, ($M$2:$M$197=M32)*($AA$2:$AA$197=1)),0.1),
                         U32&lt;=_xlfn.PERCENTILE.INC(_xlfn._xlws.FILTER($U$2:$U$197, ($M$2:$M$197=M32)*($AA$2:$AA$197=1)),0.9)
               ),1,0),
0)</f>
        <v>0</v>
      </c>
      <c r="AD32" s="130"/>
      <c r="AE32" s="37"/>
      <c r="AF32" s="37"/>
    </row>
    <row r="33" spans="1:33" x14ac:dyDescent="0.25">
      <c r="A33" s="85" t="s">
        <v>353</v>
      </c>
      <c r="B33" s="158"/>
      <c r="C33" s="220">
        <v>14</v>
      </c>
      <c r="D33" s="37" t="s">
        <v>427</v>
      </c>
      <c r="E33" s="38" t="s">
        <v>3</v>
      </c>
      <c r="F33" s="38"/>
      <c r="G33" s="171" t="s">
        <v>427</v>
      </c>
      <c r="H33" s="39" t="s">
        <v>427</v>
      </c>
      <c r="I33" s="39" t="s">
        <v>53</v>
      </c>
      <c r="J33" s="91" t="s">
        <v>38</v>
      </c>
      <c r="K33" s="45" t="s">
        <v>332</v>
      </c>
      <c r="L33" s="37" t="s">
        <v>324</v>
      </c>
      <c r="M33" s="99" t="s">
        <v>325</v>
      </c>
      <c r="N33" s="37" t="s">
        <v>2</v>
      </c>
      <c r="O33" s="39" t="s">
        <v>29</v>
      </c>
      <c r="P33" s="39">
        <v>2242</v>
      </c>
      <c r="Q33" s="38" t="s">
        <v>427</v>
      </c>
      <c r="R33" s="38" t="s">
        <v>427</v>
      </c>
      <c r="S33" s="38" t="s">
        <v>427</v>
      </c>
      <c r="T33" s="111" t="s">
        <v>427</v>
      </c>
      <c r="U33" s="61">
        <f>SUM(Table2[[#This Row],[A1toA3_GWP]:[C1toC4_GWP]])</f>
        <v>100.08920606601248</v>
      </c>
      <c r="V33" s="73">
        <f>196/Table2[[#This Row],[DENSITY]]*1000</f>
        <v>87.421944692239066</v>
      </c>
      <c r="W33" s="120">
        <f>28.4/Table2[[#This Row],[DENSITY]]*1000</f>
        <v>12.667261373773416</v>
      </c>
      <c r="X33" s="151"/>
      <c r="Y33" s="151"/>
      <c r="Z33" s="203"/>
      <c r="AA33" s="151">
        <f ca="1">IF(OR($E33="Ecoinvent",$E33="Betonsortenrechner",$E33="KBOB",$U33&lt;=0,Table2[[#This Row],[VALID_TO]]&lt;=TODAY()),0,1)</f>
        <v>0</v>
      </c>
      <c r="AB33" s="151">
        <v>0</v>
      </c>
      <c r="AC33" s="212" cm="1">
        <f t="array" aca="1" ref="AC33" ca="1">IF($AA33&lt;&gt;0,
IF(AND(
                         U33&gt;=_xlfn.PERCENTILE.INC(_xlfn._xlws.FILTER($U$2:$U$197, ($M$2:$M$197=M33)*($AA$2:$AA$197=1)),0.1),
                         U33&lt;=_xlfn.PERCENTILE.INC(_xlfn._xlws.FILTER($U$2:$U$197, ($M$2:$M$197=M33)*($AA$2:$AA$197=1)),0.9)
               ),1,0),
0)</f>
        <v>0</v>
      </c>
      <c r="AD33" s="130"/>
      <c r="AE33" s="37"/>
      <c r="AF33" s="37"/>
    </row>
    <row r="34" spans="1:33" x14ac:dyDescent="0.25">
      <c r="A34" s="85" t="s">
        <v>354</v>
      </c>
      <c r="B34" s="158"/>
      <c r="C34" s="220">
        <v>15</v>
      </c>
      <c r="D34" s="37" t="s">
        <v>427</v>
      </c>
      <c r="E34" s="38" t="s">
        <v>3</v>
      </c>
      <c r="F34" s="38"/>
      <c r="G34" s="171" t="s">
        <v>427</v>
      </c>
      <c r="H34" s="39" t="s">
        <v>427</v>
      </c>
      <c r="I34" s="39" t="s">
        <v>53</v>
      </c>
      <c r="J34" s="91" t="s">
        <v>39</v>
      </c>
      <c r="K34" s="45" t="s">
        <v>332</v>
      </c>
      <c r="L34" s="37" t="s">
        <v>324</v>
      </c>
      <c r="M34" s="99" t="s">
        <v>325</v>
      </c>
      <c r="N34" s="37" t="s">
        <v>2</v>
      </c>
      <c r="O34" s="39" t="s">
        <v>29</v>
      </c>
      <c r="P34" s="39">
        <v>2242</v>
      </c>
      <c r="Q34" s="38" t="s">
        <v>427</v>
      </c>
      <c r="R34" s="38" t="s">
        <v>427</v>
      </c>
      <c r="S34" s="38" t="s">
        <v>427</v>
      </c>
      <c r="T34" s="111" t="s">
        <v>427</v>
      </c>
      <c r="U34" s="61">
        <f>SUM(Table2[[#This Row],[A1toA3_GWP]:[C1toC4_GWP]])</f>
        <v>100.08920606601248</v>
      </c>
      <c r="V34" s="73">
        <f>196/Table2[[#This Row],[DENSITY]]*1000</f>
        <v>87.421944692239066</v>
      </c>
      <c r="W34" s="120">
        <f>28.4/Table2[[#This Row],[DENSITY]]*1000</f>
        <v>12.667261373773416</v>
      </c>
      <c r="X34" s="151"/>
      <c r="Y34" s="151"/>
      <c r="Z34" s="203"/>
      <c r="AA34" s="151">
        <f ca="1">IF(OR($E34="Ecoinvent",$E34="Betonsortenrechner",$E34="KBOB",$U34&lt;=0,Table2[[#This Row],[VALID_TO]]&lt;=TODAY()),0,1)</f>
        <v>0</v>
      </c>
      <c r="AB34" s="151">
        <v>0</v>
      </c>
      <c r="AC34" s="212" cm="1">
        <f t="array" aca="1" ref="AC34" ca="1">IF($AA34&lt;&gt;0,
IF(AND(
                         U34&gt;=_xlfn.PERCENTILE.INC(_xlfn._xlws.FILTER($U$2:$U$197, ($M$2:$M$197=M34)*($AA$2:$AA$197=1)),0.1),
                         U34&lt;=_xlfn.PERCENTILE.INC(_xlfn._xlws.FILTER($U$2:$U$197, ($M$2:$M$197=M34)*($AA$2:$AA$197=1)),0.9)
               ),1,0),
0)</f>
        <v>0</v>
      </c>
      <c r="AD34" s="130"/>
      <c r="AE34" s="37"/>
      <c r="AF34" s="37"/>
    </row>
    <row r="35" spans="1:33" x14ac:dyDescent="0.25">
      <c r="A35" s="85" t="s">
        <v>355</v>
      </c>
      <c r="B35" s="158"/>
      <c r="C35" s="219">
        <v>16</v>
      </c>
      <c r="D35" s="37" t="s">
        <v>427</v>
      </c>
      <c r="E35" s="38" t="s">
        <v>3</v>
      </c>
      <c r="F35" s="38"/>
      <c r="G35" s="171" t="s">
        <v>427</v>
      </c>
      <c r="H35" s="39" t="s">
        <v>427</v>
      </c>
      <c r="I35" s="39" t="s">
        <v>53</v>
      </c>
      <c r="J35" s="91" t="s">
        <v>32</v>
      </c>
      <c r="K35" s="45" t="s">
        <v>332</v>
      </c>
      <c r="L35" s="37" t="s">
        <v>324</v>
      </c>
      <c r="M35" s="99" t="s">
        <v>325</v>
      </c>
      <c r="N35" s="37" t="s">
        <v>43</v>
      </c>
      <c r="O35" s="39" t="s">
        <v>29</v>
      </c>
      <c r="P35" s="39">
        <v>2332</v>
      </c>
      <c r="Q35" s="38" t="s">
        <v>427</v>
      </c>
      <c r="R35" s="38" t="s">
        <v>427</v>
      </c>
      <c r="S35" s="38" t="s">
        <v>427</v>
      </c>
      <c r="T35" s="111" t="s">
        <v>427</v>
      </c>
      <c r="U35" s="61">
        <f>SUM(Table2[[#This Row],[A1toA3_GWP]:[C1toC4_GWP]])</f>
        <v>90.651801029159515</v>
      </c>
      <c r="V35" s="73">
        <f>183/Table2[[#This Row],[DENSITY]]*1000</f>
        <v>78.473413379073747</v>
      </c>
      <c r="W35" s="120">
        <f>28.4/Table2[[#This Row],[DENSITY]]*1000</f>
        <v>12.178387650085762</v>
      </c>
      <c r="X35" s="151"/>
      <c r="Y35" s="151"/>
      <c r="Z35" s="203"/>
      <c r="AA35" s="151">
        <f ca="1">IF(OR($E35="Ecoinvent",$E35="Betonsortenrechner",$E35="KBOB",$U35&lt;=0,Table2[[#This Row],[VALID_TO]]&lt;=TODAY()),0,1)</f>
        <v>0</v>
      </c>
      <c r="AB35" s="151">
        <v>0</v>
      </c>
      <c r="AC35" s="212" cm="1">
        <f t="array" aca="1" ref="AC35" ca="1">IF($AA35&lt;&gt;0,
IF(AND(
                         U35&gt;=_xlfn.PERCENTILE.INC(_xlfn._xlws.FILTER($U$2:$U$197, ($M$2:$M$197=M35)*($AA$2:$AA$197=1)),0.1),
                         U35&lt;=_xlfn.PERCENTILE.INC(_xlfn._xlws.FILTER($U$2:$U$197, ($M$2:$M$197=M35)*($AA$2:$AA$197=1)),0.9)
               ),1,0),
0)</f>
        <v>0</v>
      </c>
      <c r="AD35" s="130"/>
      <c r="AE35" s="37"/>
      <c r="AF35" s="37"/>
    </row>
    <row r="36" spans="1:33" x14ac:dyDescent="0.25">
      <c r="A36" s="8" t="s">
        <v>201</v>
      </c>
      <c r="B36" s="21"/>
      <c r="C36" s="222">
        <v>23</v>
      </c>
      <c r="D36" s="2" t="s">
        <v>33</v>
      </c>
      <c r="E36" s="3" t="s">
        <v>44</v>
      </c>
      <c r="F36" s="3"/>
      <c r="G36" s="32">
        <v>45068</v>
      </c>
      <c r="H36" s="32">
        <v>46894</v>
      </c>
      <c r="I36" s="26" t="s">
        <v>53</v>
      </c>
      <c r="J36" s="92" t="s">
        <v>32</v>
      </c>
      <c r="K36" s="46" t="s">
        <v>332</v>
      </c>
      <c r="L36" s="2" t="s">
        <v>324</v>
      </c>
      <c r="M36" s="100" t="s">
        <v>325</v>
      </c>
      <c r="N36" s="2" t="s">
        <v>427</v>
      </c>
      <c r="O36" s="26" t="s">
        <v>29</v>
      </c>
      <c r="P36" s="26">
        <v>2440</v>
      </c>
      <c r="Q36" s="3" t="s">
        <v>45</v>
      </c>
      <c r="R36" s="3">
        <v>32</v>
      </c>
      <c r="S36" s="3">
        <v>0.1</v>
      </c>
      <c r="T36" s="112" t="s">
        <v>46</v>
      </c>
      <c r="U36" s="84">
        <f>SUM(Table2[[#This Row],[A1toA3_GWP]:[C1toC4_GWP]])</f>
        <v>77.002049180327873</v>
      </c>
      <c r="V36" s="24">
        <f>170.624/Table2[[#This Row],[DENSITY]]*1000</f>
        <v>69.927868852459014</v>
      </c>
      <c r="W36" s="121">
        <f>(7.278+9.774+0.209)/Table2[[#This Row],[DENSITY]]*1000</f>
        <v>7.0741803278688522</v>
      </c>
      <c r="X36" s="78"/>
      <c r="Y36" s="78"/>
      <c r="Z36" s="198"/>
      <c r="AA36" s="154">
        <f ca="1">IF(OR($E36="Ecoinvent",$E36="Betonsortenrechner",$E36="KBOB",$U36&lt;=0,Table2[[#This Row],[VALID_TO]]&lt;=TODAY()),0,1)</f>
        <v>1</v>
      </c>
      <c r="AB36" s="154">
        <f ca="1">IF(Table2[[#This Row],[VALID_TO]]&gt;=TODAY(), 1, 0)</f>
        <v>1</v>
      </c>
      <c r="AC36" s="246" cm="1">
        <f t="array" aca="1" ref="AC36" ca="1">IF($AA36&lt;&gt;0,
IF(AND(
                         U36&gt;=_xlfn.PERCENTILE.INC(_xlfn._xlws.FILTER($U$2:$U$197, ($M$2:$M$197=M36)*($AA$2:$AA$197=1)),0.1),
                         U36&lt;=_xlfn.PERCENTILE.INC(_xlfn._xlws.FILTER($U$2:$U$197, ($M$2:$M$197=M36)*($AA$2:$AA$197=1)),0.9)
               ),1,0),
0)</f>
        <v>1</v>
      </c>
      <c r="AD36" s="131"/>
      <c r="AE36" s="2"/>
      <c r="AF36" s="2"/>
    </row>
    <row r="37" spans="1:33" s="15" customFormat="1" ht="15.75" thickBot="1" x14ac:dyDescent="0.3">
      <c r="A37" s="139" t="s">
        <v>486</v>
      </c>
      <c r="B37" s="159"/>
      <c r="C37" s="224">
        <v>30</v>
      </c>
      <c r="D37" s="13" t="s">
        <v>427</v>
      </c>
      <c r="E37" s="14" t="s">
        <v>479</v>
      </c>
      <c r="F37" s="232" t="s">
        <v>498</v>
      </c>
      <c r="G37" s="236"/>
      <c r="H37" s="236"/>
      <c r="I37" s="27"/>
      <c r="J37" s="113" t="s">
        <v>478</v>
      </c>
      <c r="K37" s="88" t="s">
        <v>332</v>
      </c>
      <c r="L37" s="13" t="s">
        <v>324</v>
      </c>
      <c r="M37" s="140" t="s">
        <v>325</v>
      </c>
      <c r="N37" s="13" t="s">
        <v>485</v>
      </c>
      <c r="O37" s="27" t="s">
        <v>29</v>
      </c>
      <c r="P37" s="27">
        <v>2368</v>
      </c>
      <c r="Q37" s="14" t="s">
        <v>427</v>
      </c>
      <c r="R37" s="14" t="s">
        <v>427</v>
      </c>
      <c r="S37" s="14" t="s">
        <v>427</v>
      </c>
      <c r="T37" s="113" t="s">
        <v>427</v>
      </c>
      <c r="U37" s="105">
        <f>SUM(Table2[[#This Row],[A1toA3_GWP]:[C1toC4_GWP]])</f>
        <v>69</v>
      </c>
      <c r="V37" s="74">
        <v>56</v>
      </c>
      <c r="W37" s="122">
        <v>13</v>
      </c>
      <c r="X37" s="153"/>
      <c r="Y37" s="153"/>
      <c r="Z37" s="205"/>
      <c r="AA37" s="153">
        <f ca="1">IF(OR($E37="Ecoinvent",$E37="Betonsortenrechner",$E37="KBOB",$U37&lt;=0,Table2[[#This Row],[VALID_TO]]&lt;=TODAY()),0,1)</f>
        <v>0</v>
      </c>
      <c r="AB37" s="153">
        <v>1</v>
      </c>
      <c r="AC37" s="214" cm="1">
        <f t="array" aca="1" ref="AC37" ca="1">IF($AA37&lt;&gt;0,
IF(AND(
                         U37&gt;=_xlfn.PERCENTILE.INC(_xlfn._xlws.FILTER($U$2:$U$197, ($M$2:$M$197=M37)*($AA$2:$AA$197=1)),0.1),
                         U37&lt;=_xlfn.PERCENTILE.INC(_xlfn._xlws.FILTER($U$2:$U$197, ($M$2:$M$197=M37)*($AA$2:$AA$197=1)),0.9)
               ),1,0),
0)</f>
        <v>0</v>
      </c>
      <c r="AD37" s="132"/>
      <c r="AE37" s="4"/>
      <c r="AF37" s="4"/>
      <c r="AG37"/>
    </row>
    <row r="38" spans="1:33" s="15" customFormat="1" x14ac:dyDescent="0.25">
      <c r="A38" s="136" t="s">
        <v>487</v>
      </c>
      <c r="B38" s="137"/>
      <c r="C38" s="223">
        <v>31</v>
      </c>
      <c r="D38" s="16" t="s">
        <v>427</v>
      </c>
      <c r="E38" s="17" t="s">
        <v>479</v>
      </c>
      <c r="F38" s="234" t="s">
        <v>499</v>
      </c>
      <c r="G38" s="35"/>
      <c r="H38" s="35"/>
      <c r="I38" s="30"/>
      <c r="J38" s="94" t="s">
        <v>480</v>
      </c>
      <c r="K38" s="138" t="s">
        <v>332</v>
      </c>
      <c r="L38" s="16" t="s">
        <v>324</v>
      </c>
      <c r="M38" s="102" t="s">
        <v>325</v>
      </c>
      <c r="N38" s="16" t="s">
        <v>485</v>
      </c>
      <c r="O38" s="28" t="s">
        <v>29</v>
      </c>
      <c r="P38" s="28">
        <v>2378</v>
      </c>
      <c r="Q38" s="18" t="s">
        <v>427</v>
      </c>
      <c r="R38" s="18" t="s">
        <v>427</v>
      </c>
      <c r="S38" s="18" t="s">
        <v>427</v>
      </c>
      <c r="T38" s="114" t="s">
        <v>427</v>
      </c>
      <c r="U38" s="106">
        <f>SUM(Table2[[#This Row],[A1toA3_GWP]:[C1toC4_GWP]])</f>
        <v>71</v>
      </c>
      <c r="V38" s="245">
        <v>58</v>
      </c>
      <c r="W38" s="123">
        <v>13</v>
      </c>
      <c r="X38" s="152"/>
      <c r="Y38" s="152"/>
      <c r="Z38" s="204"/>
      <c r="AA38" s="109">
        <f ca="1">IF(OR($E38="Ecoinvent",$E38="Betonsortenrechner",$E38="KBOB",$U38&lt;=0,Table2[[#This Row],[VALID_TO]]&lt;=TODAY()),0,1)</f>
        <v>0</v>
      </c>
      <c r="AB38" s="152">
        <v>1</v>
      </c>
      <c r="AC38" s="247" cm="1">
        <f t="array" aca="1" ref="AC38" ca="1">IF($AA38&lt;&gt;0,
IF(AND(
                         U38&gt;=_xlfn.PERCENTILE.INC(_xlfn._xlws.FILTER($U$2:$U$197, ($M$2:$M$197=M38)*($AA$2:$AA$197=1)),0.1),
                         U38&lt;=_xlfn.PERCENTILE.INC(_xlfn._xlws.FILTER($U$2:$U$197, ($M$2:$M$197=M38)*($AA$2:$AA$197=1)),0.9)
               ),1,0),
0)</f>
        <v>0</v>
      </c>
      <c r="AD38" s="133"/>
      <c r="AE38" s="2"/>
      <c r="AF38" s="2"/>
      <c r="AG38"/>
    </row>
    <row r="39" spans="1:33" x14ac:dyDescent="0.25">
      <c r="A39" s="83" t="s">
        <v>366</v>
      </c>
      <c r="B39" s="157"/>
      <c r="C39" s="218">
        <v>61</v>
      </c>
      <c r="D39" s="19" t="s">
        <v>158</v>
      </c>
      <c r="E39" s="12" t="s">
        <v>11</v>
      </c>
      <c r="F39" s="12"/>
      <c r="G39" s="34" t="s">
        <v>427</v>
      </c>
      <c r="H39" s="34" t="s">
        <v>427</v>
      </c>
      <c r="I39" s="25" t="s">
        <v>155</v>
      </c>
      <c r="J39" s="90" t="s">
        <v>114</v>
      </c>
      <c r="K39" s="19" t="s">
        <v>337</v>
      </c>
      <c r="L39" s="11" t="s">
        <v>323</v>
      </c>
      <c r="M39" s="98" t="s">
        <v>330</v>
      </c>
      <c r="N39" s="11" t="s">
        <v>427</v>
      </c>
      <c r="O39" s="25" t="s">
        <v>119</v>
      </c>
      <c r="P39" s="25">
        <v>470</v>
      </c>
      <c r="Q39" s="12" t="s">
        <v>427</v>
      </c>
      <c r="R39" s="12" t="s">
        <v>427</v>
      </c>
      <c r="S39" s="12" t="s">
        <v>427</v>
      </c>
      <c r="T39" s="110" t="s">
        <v>427</v>
      </c>
      <c r="U39" s="47">
        <f>SUM(Table2[[#This Row],[A1toA3_GWP]:[C1toC4_GWP]])</f>
        <v>362.97872340425533</v>
      </c>
      <c r="V39" s="22">
        <f>133/Table2[[#This Row],[DENSITY]]*1000</f>
        <v>282.97872340425533</v>
      </c>
      <c r="W39" s="119">
        <v>80</v>
      </c>
      <c r="X39" s="150"/>
      <c r="Y39" s="150"/>
      <c r="Z39" s="202"/>
      <c r="AA39" s="47">
        <f ca="1">IF(OR($E39="Ecoinvent",$E39="Betonsortenrechner",$E39="KBOB",$U39&lt;=0,Table2[[#This Row],[VALID_TO]]&lt;=TODAY()),0,1)</f>
        <v>0</v>
      </c>
      <c r="AB39" s="150">
        <v>0</v>
      </c>
      <c r="AC39" s="247" cm="1">
        <f t="array" aca="1" ref="AC39" ca="1">IF($AA39&lt;&gt;0,
IF(AND(
                         U39&gt;=_xlfn.PERCENTILE.INC(_xlfn._xlws.FILTER($U$2:$U$197, ($L$2:$L$197=L39)*($AA$2:$AA$197=1)),0.1),
                         U39&lt;=_xlfn.PERCENTILE.INC(_xlfn._xlws.FILTER($U$2:$U$197, ($L$3:$L$198=L39)*($AA$2:$AA$197=1)),0.9)
               ),1,0),
0)</f>
        <v>0</v>
      </c>
      <c r="AD39" s="129"/>
      <c r="AE39" s="11"/>
      <c r="AF39" s="11"/>
    </row>
    <row r="40" spans="1:33" x14ac:dyDescent="0.25">
      <c r="A40" s="83" t="s">
        <v>367</v>
      </c>
      <c r="B40" s="157"/>
      <c r="C40" s="218">
        <v>62</v>
      </c>
      <c r="D40" s="19" t="s">
        <v>159</v>
      </c>
      <c r="E40" s="12" t="s">
        <v>11</v>
      </c>
      <c r="F40" s="12"/>
      <c r="G40" s="34" t="s">
        <v>427</v>
      </c>
      <c r="H40" s="34" t="s">
        <v>427</v>
      </c>
      <c r="I40" s="25" t="s">
        <v>155</v>
      </c>
      <c r="J40" s="90" t="s">
        <v>160</v>
      </c>
      <c r="K40" s="19" t="s">
        <v>337</v>
      </c>
      <c r="L40" s="11" t="s">
        <v>323</v>
      </c>
      <c r="M40" s="98" t="s">
        <v>330</v>
      </c>
      <c r="N40" s="11" t="s">
        <v>427</v>
      </c>
      <c r="O40" s="25" t="s">
        <v>119</v>
      </c>
      <c r="P40" s="25">
        <v>470</v>
      </c>
      <c r="Q40" s="12" t="s">
        <v>427</v>
      </c>
      <c r="R40" s="12" t="s">
        <v>427</v>
      </c>
      <c r="S40" s="12" t="s">
        <v>427</v>
      </c>
      <c r="T40" s="110" t="s">
        <v>427</v>
      </c>
      <c r="U40" s="47">
        <f>SUM(Table2[[#This Row],[A1toA3_GWP]:[C1toC4_GWP]])</f>
        <v>280.21276595744678</v>
      </c>
      <c r="V40" s="22">
        <f>94.1/Table2[[#This Row],[DENSITY]]*1000</f>
        <v>200.21276595744681</v>
      </c>
      <c r="W40" s="119">
        <v>80</v>
      </c>
      <c r="X40" s="150"/>
      <c r="Y40" s="150"/>
      <c r="Z40" s="202"/>
      <c r="AA40" s="47">
        <f ca="1">IF(OR($E40="Ecoinvent",$E40="Betonsortenrechner",$E40="KBOB",$U40&lt;=0,Table2[[#This Row],[VALID_TO]]&lt;=TODAY()),0,1)</f>
        <v>0</v>
      </c>
      <c r="AB40" s="150">
        <v>0</v>
      </c>
      <c r="AC40" s="247" cm="1">
        <f t="array" aca="1" ref="AC40" ca="1">IF($AA40&lt;&gt;0,
IF(AND(
                         U40&gt;=_xlfn.PERCENTILE.INC(_xlfn._xlws.FILTER($U$2:$U$197, ($L$2:$L$197=L40)*($AA$2:$AA$197=1)),0.1),
                         U40&lt;=_xlfn.PERCENTILE.INC(_xlfn._xlws.FILTER($U$2:$U$197, ($L$3:$L$198=L40)*($AA$2:$AA$197=1)),0.9)
               ),1,0),
0)</f>
        <v>0</v>
      </c>
      <c r="AD40" s="129"/>
      <c r="AE40" s="11"/>
      <c r="AF40" s="11"/>
    </row>
    <row r="41" spans="1:33" x14ac:dyDescent="0.25">
      <c r="A41" s="8" t="s">
        <v>231</v>
      </c>
      <c r="B41" s="21"/>
      <c r="C41" s="225">
        <v>74</v>
      </c>
      <c r="D41" s="2" t="s">
        <v>120</v>
      </c>
      <c r="E41" s="3" t="s">
        <v>101</v>
      </c>
      <c r="F41" s="3"/>
      <c r="G41" s="32">
        <v>44005</v>
      </c>
      <c r="H41" s="32">
        <v>45830</v>
      </c>
      <c r="I41" s="26" t="s">
        <v>53</v>
      </c>
      <c r="J41" s="92" t="s">
        <v>118</v>
      </c>
      <c r="K41" s="6" t="s">
        <v>505</v>
      </c>
      <c r="L41" s="2" t="s">
        <v>323</v>
      </c>
      <c r="M41" s="100" t="s">
        <v>509</v>
      </c>
      <c r="N41" s="2" t="s">
        <v>427</v>
      </c>
      <c r="O41" s="26" t="s">
        <v>119</v>
      </c>
      <c r="P41" s="26">
        <v>424</v>
      </c>
      <c r="Q41" s="3" t="s">
        <v>427</v>
      </c>
      <c r="R41" s="3" t="s">
        <v>427</v>
      </c>
      <c r="S41" s="3" t="s">
        <v>427</v>
      </c>
      <c r="T41" s="112" t="s">
        <v>427</v>
      </c>
      <c r="U41" s="107">
        <f>SUM(Table2[[#This Row],[A1toA3_GWP]:[C1toC4_GWP]])</f>
        <v>185.49528301886789</v>
      </c>
      <c r="V41" s="24">
        <f>-623/Table2[[#This Row],[DENSITY]]*1000</f>
        <v>-1469.3396226415093</v>
      </c>
      <c r="W41" s="121">
        <f>(1.65+700)/Table2[[#This Row],[DENSITY]]*1000</f>
        <v>1654.8349056603772</v>
      </c>
      <c r="X41" s="154">
        <f>SUM(Table2[[#This Row],[A1toA3_GWP-biogenic]:[C1toC4_GWP-biogenic]])</f>
        <v>0</v>
      </c>
      <c r="Y41" s="154" t="s">
        <v>427</v>
      </c>
      <c r="Z41" s="194" t="s">
        <v>427</v>
      </c>
      <c r="AA41" s="84">
        <f ca="1">IF(OR($E41="Ecoinvent",$E41="Betonsortenrechner",$E41="KBOB",$U41&lt;=0,Table2[[#This Row],[VALID_TO]]&lt;=TODAY()),0,1)</f>
        <v>0</v>
      </c>
      <c r="AB41" s="154">
        <f ca="1">IF(Table2[[#This Row],[VALID_TO]]&gt;=TODAY(), 1, 0)</f>
        <v>0</v>
      </c>
      <c r="AC41" s="213" cm="1">
        <f t="array" aca="1" ref="AC41" ca="1">IF($AA41&lt;&gt;0,
IF(AND(
                         U41&gt;=_xlfn.PERCENTILE.INC(_xlfn._xlws.FILTER($U$2:$U$197, ($L$2:$L$197=L41)*($AA$2:$AA$197=1)),0.1),
                         U41&lt;=_xlfn.PERCENTILE.INC(_xlfn._xlws.FILTER($U$2:$U$197, ($L$3:$L$198=L41)*($AA$2:$AA$197=1)),0.9)
               ),1,0),
0)</f>
        <v>0</v>
      </c>
      <c r="AD41" s="131"/>
      <c r="AE41" s="2"/>
      <c r="AF41" s="2"/>
    </row>
    <row r="42" spans="1:33" x14ac:dyDescent="0.25">
      <c r="A42" s="8" t="s">
        <v>368</v>
      </c>
      <c r="B42" s="21"/>
      <c r="C42" s="225">
        <v>86</v>
      </c>
      <c r="D42" s="2" t="s">
        <v>113</v>
      </c>
      <c r="E42" s="3" t="s">
        <v>108</v>
      </c>
      <c r="F42" s="3"/>
      <c r="G42" s="32">
        <v>44411</v>
      </c>
      <c r="H42" s="32">
        <v>46236</v>
      </c>
      <c r="I42" s="26" t="s">
        <v>106</v>
      </c>
      <c r="J42" s="92" t="s">
        <v>114</v>
      </c>
      <c r="K42" s="182" t="s">
        <v>337</v>
      </c>
      <c r="L42" s="179" t="s">
        <v>323</v>
      </c>
      <c r="M42" s="183" t="s">
        <v>330</v>
      </c>
      <c r="N42" s="2" t="s">
        <v>427</v>
      </c>
      <c r="O42" s="26" t="s">
        <v>119</v>
      </c>
      <c r="P42" s="26">
        <v>470</v>
      </c>
      <c r="Q42" s="3" t="s">
        <v>427</v>
      </c>
      <c r="R42" s="3" t="s">
        <v>427</v>
      </c>
      <c r="S42" s="3" t="s">
        <v>427</v>
      </c>
      <c r="T42" s="112" t="s">
        <v>427</v>
      </c>
      <c r="U42" s="107">
        <f>SUM(Table2[[#This Row],[A1toA3_GWP]:[C1toC4_GWP]])</f>
        <v>137.063829787234</v>
      </c>
      <c r="V42" s="24">
        <f>(-696)/Table2[[#This Row],[DENSITY]]*1000</f>
        <v>-1480.8510638297871</v>
      </c>
      <c r="W42" s="121">
        <f>(1.42+759)/Table2[[#This Row],[DENSITY]]*1000</f>
        <v>1617.9148936170211</v>
      </c>
      <c r="X42" s="154">
        <f>SUM(Table2[[#This Row],[A1toA3_GWP-biogenic]:[C1toC4_GWP-biogenic]])</f>
        <v>12.762404255319098</v>
      </c>
      <c r="Y42" s="78">
        <f>(-753)/Table2[[#This Row],[DENSITY]]*1000</f>
        <v>-1602.127659574468</v>
      </c>
      <c r="Z42" s="198">
        <f>(-1.67*10^-3+759)/Table2[[#This Row],[DENSITY]]*1000</f>
        <v>1614.8900638297871</v>
      </c>
      <c r="AA42" s="84">
        <f ca="1">IF(OR($E42="Ecoinvent",$E42="Betonsortenrechner",$E42="KBOB",$U42&lt;=0,Table2[[#This Row],[VALID_TO]]&lt;=TODAY()),0,1)</f>
        <v>1</v>
      </c>
      <c r="AB42" s="154">
        <f ca="1">IF(Table2[[#This Row],[VALID_TO]]&gt;=TODAY(), 1, 0)</f>
        <v>1</v>
      </c>
      <c r="AC42" s="213" cm="1">
        <f t="array" aca="1" ref="AC42" ca="1">IF($AA42&lt;&gt;0,
IF(AND(
                         U42&gt;=_xlfn.PERCENTILE.INC(_xlfn._xlws.FILTER($U$2:$U$197, ($L$2:$L$197=L42)*($AA$2:$AA$197=1)),0.1),
                         U42&lt;=_xlfn.PERCENTILE.INC(_xlfn._xlws.FILTER($U$2:$U$197, ($L$3:$L$198=L42)*($AA$2:$AA$197=1)),0.9)
               ),1,0),
0)</f>
        <v>1</v>
      </c>
      <c r="AD42" s="131"/>
      <c r="AE42" s="60" t="s">
        <v>416</v>
      </c>
      <c r="AF42" s="60" t="s">
        <v>419</v>
      </c>
    </row>
    <row r="43" spans="1:33" x14ac:dyDescent="0.25">
      <c r="A43" s="8" t="s">
        <v>235</v>
      </c>
      <c r="B43" s="21"/>
      <c r="C43" s="225">
        <v>88</v>
      </c>
      <c r="D43" s="2" t="s">
        <v>117</v>
      </c>
      <c r="E43" s="3" t="s">
        <v>115</v>
      </c>
      <c r="F43" s="3"/>
      <c r="G43" s="32">
        <v>45386</v>
      </c>
      <c r="H43" s="32">
        <v>47211</v>
      </c>
      <c r="I43" s="26" t="s">
        <v>54</v>
      </c>
      <c r="J43" s="92" t="s">
        <v>118</v>
      </c>
      <c r="K43" s="6" t="s">
        <v>505</v>
      </c>
      <c r="L43" s="2" t="s">
        <v>323</v>
      </c>
      <c r="M43" s="100" t="s">
        <v>509</v>
      </c>
      <c r="N43" s="2" t="s">
        <v>427</v>
      </c>
      <c r="O43" s="26" t="s">
        <v>119</v>
      </c>
      <c r="P43" s="26">
        <v>430</v>
      </c>
      <c r="Q43" s="3" t="s">
        <v>427</v>
      </c>
      <c r="R43" s="3" t="s">
        <v>427</v>
      </c>
      <c r="S43" s="3" t="s">
        <v>427</v>
      </c>
      <c r="T43" s="112" t="s">
        <v>427</v>
      </c>
      <c r="U43" s="107">
        <f>SUM(Table2[[#This Row],[A1toA3_GWP]:[C1toC4_GWP]])</f>
        <v>556.04651162790697</v>
      </c>
      <c r="V43" s="24">
        <f>(-505)/Table2[[#This Row],[DENSITY]]*1000</f>
        <v>-1174.4186046511629</v>
      </c>
      <c r="W43" s="121">
        <f>(19.1+725)/Table2[[#This Row],[DENSITY]]*1000</f>
        <v>1730.4651162790699</v>
      </c>
      <c r="X43" s="154">
        <f>SUM(Table2[[#This Row],[A1toA3_GWP-biogenic]:[C1toC4_GWP-biogenic]])</f>
        <v>0</v>
      </c>
      <c r="Y43" s="154">
        <f>(-713)/Table2[[#This Row],[DENSITY]]*1000</f>
        <v>-1658.1395348837209</v>
      </c>
      <c r="Z43" s="194">
        <f>(713)/Table2[[#This Row],[DENSITY]]*1000</f>
        <v>1658.1395348837209</v>
      </c>
      <c r="AA43" s="84">
        <f ca="1">IF(OR($E43="Ecoinvent",$E43="Betonsortenrechner",$E43="KBOB",$U43&lt;=0,Table2[[#This Row],[VALID_TO]]&lt;=TODAY()),0,1)</f>
        <v>1</v>
      </c>
      <c r="AB43" s="154">
        <f ca="1">IF(Table2[[#This Row],[VALID_TO]]&gt;=TODAY(), 1, 0)</f>
        <v>1</v>
      </c>
      <c r="AC43" s="213" cm="1">
        <f t="array" aca="1" ref="AC43" ca="1">IF($AA43&lt;&gt;0,
IF(AND(
                         U43&gt;=_xlfn.PERCENTILE.INC(_xlfn._xlws.FILTER($U$2:$U$197, ($L$2:$L$197=L43)*($AA$2:$AA$197=1)),0.1),
                         U43&lt;=_xlfn.PERCENTILE.INC(_xlfn._xlws.FILTER($U$2:$U$197, ($L$3:$L$198=L43)*($AA$2:$AA$197=1)),0.9)
               ),1,0),
0)</f>
        <v>0</v>
      </c>
      <c r="AD43" s="131"/>
      <c r="AE43" s="2" t="s">
        <v>433</v>
      </c>
      <c r="AF43" s="2"/>
    </row>
    <row r="44" spans="1:33" x14ac:dyDescent="0.25">
      <c r="A44" s="8" t="s">
        <v>369</v>
      </c>
      <c r="B44" s="21"/>
      <c r="C44" s="222">
        <v>89</v>
      </c>
      <c r="D44" s="179" t="s">
        <v>123</v>
      </c>
      <c r="E44" s="180" t="s">
        <v>121</v>
      </c>
      <c r="F44" s="180"/>
      <c r="G44" s="174" t="s">
        <v>123</v>
      </c>
      <c r="H44" s="176" t="s">
        <v>123</v>
      </c>
      <c r="I44" s="26" t="s">
        <v>54</v>
      </c>
      <c r="J44" s="92" t="s">
        <v>122</v>
      </c>
      <c r="K44" s="6" t="s">
        <v>338</v>
      </c>
      <c r="L44" s="2" t="s">
        <v>323</v>
      </c>
      <c r="M44" s="100" t="s">
        <v>331</v>
      </c>
      <c r="N44" s="2" t="s">
        <v>427</v>
      </c>
      <c r="O44" s="26" t="s">
        <v>119</v>
      </c>
      <c r="P44" s="26">
        <v>435</v>
      </c>
      <c r="Q44" s="3" t="s">
        <v>427</v>
      </c>
      <c r="R44" s="3" t="s">
        <v>427</v>
      </c>
      <c r="S44" s="3" t="s">
        <v>427</v>
      </c>
      <c r="T44" s="112" t="s">
        <v>427</v>
      </c>
      <c r="U44" s="84">
        <f>SUM(Table2[[#This Row],[A1toA3_GWP]:[C1toC4_GWP]])</f>
        <v>3056.7816091954023</v>
      </c>
      <c r="V44" s="185">
        <f>(-1220-1400+3250)/Table2[[#This Row],[DENSITY]]*1000</f>
        <v>1448.2758620689656</v>
      </c>
      <c r="W44" s="186">
        <f>(0.7+699)/Table2[[#This Row],[DENSITY]]*1000</f>
        <v>1608.5057471264367</v>
      </c>
      <c r="X44" s="154">
        <f>SUM(Table2[[#This Row],[A1toA3_GWP-biogenic]:[C1toC4_GWP-biogenic]])</f>
        <v>0</v>
      </c>
      <c r="Y44" s="78">
        <f>(-699)/Table2[[#This Row],[DENSITY]]*1000</f>
        <v>-1606.8965517241381</v>
      </c>
      <c r="Z44" s="198">
        <f>(699)/Table2[[#This Row],[DENSITY]]*1000</f>
        <v>1606.8965517241381</v>
      </c>
      <c r="AA44" s="84">
        <v>0</v>
      </c>
      <c r="AB44" s="154">
        <v>0</v>
      </c>
      <c r="AC44" s="213" cm="1">
        <f t="array" ref="AC44">IF($AA44&lt;&gt;0,
IF(AND(
                         U44&gt;=_xlfn.PERCENTILE.INC(_xlfn._xlws.FILTER($U$2:$U$197, ($L$2:$L$197=L44)*($AA$2:$AA$197=1)),0.1),
                         U44&lt;=_xlfn.PERCENTILE.INC(_xlfn._xlws.FILTER($U$2:$U$197, ($L$3:$L$198=L44)*($AA$2:$AA$197=1)),0.9)
               ),1,0),
0)</f>
        <v>0</v>
      </c>
      <c r="AD44" s="131"/>
      <c r="AE44" s="2"/>
      <c r="AF44" s="2"/>
    </row>
    <row r="45" spans="1:33" x14ac:dyDescent="0.25">
      <c r="A45" s="8" t="s">
        <v>236</v>
      </c>
      <c r="B45" s="21"/>
      <c r="C45" s="225">
        <v>90</v>
      </c>
      <c r="D45" s="2" t="s">
        <v>124</v>
      </c>
      <c r="E45" s="3" t="s">
        <v>125</v>
      </c>
      <c r="F45" s="3"/>
      <c r="G45" s="32">
        <v>45106</v>
      </c>
      <c r="H45" s="32">
        <v>46933</v>
      </c>
      <c r="I45" s="26" t="s">
        <v>249</v>
      </c>
      <c r="J45" s="92" t="s">
        <v>118</v>
      </c>
      <c r="K45" s="6" t="s">
        <v>505</v>
      </c>
      <c r="L45" s="2" t="s">
        <v>323</v>
      </c>
      <c r="M45" s="100" t="s">
        <v>509</v>
      </c>
      <c r="N45" s="2" t="s">
        <v>427</v>
      </c>
      <c r="O45" s="26" t="s">
        <v>119</v>
      </c>
      <c r="P45" s="26">
        <v>470</v>
      </c>
      <c r="Q45" s="3" t="s">
        <v>427</v>
      </c>
      <c r="R45" s="3" t="s">
        <v>427</v>
      </c>
      <c r="S45" s="3" t="s">
        <v>427</v>
      </c>
      <c r="T45" s="112" t="s">
        <v>427</v>
      </c>
      <c r="U45" s="107">
        <f>SUM(Table2[[#This Row],[A1toA3_GWP]:[C1toC4_GWP]])</f>
        <v>243.38297872340422</v>
      </c>
      <c r="V45" s="24">
        <f>(-675)/Table2[[#This Row],[DENSITY]]*1000</f>
        <v>-1436.1702127659576</v>
      </c>
      <c r="W45" s="121">
        <f>(9.42+3.97+776)/Table2[[#This Row],[DENSITY]]*1000</f>
        <v>1679.5531914893618</v>
      </c>
      <c r="X45" s="154">
        <f>SUM(Table2[[#This Row],[A1toA3_GWP-biogenic]:[C1toC4_GWP-biogenic]])</f>
        <v>0</v>
      </c>
      <c r="Y45" s="154">
        <f>(-762)/Table2[[#This Row],[DENSITY]]*1000</f>
        <v>-1621.2765957446809</v>
      </c>
      <c r="Z45" s="194">
        <f>(762)/Table2[[#This Row],[DENSITY]]*1000</f>
        <v>1621.2765957446809</v>
      </c>
      <c r="AA45" s="84">
        <f ca="1">IF(OR($E45="Ecoinvent",$E45="Betonsortenrechner",$E45="KBOB",$U45&lt;=0,Table2[[#This Row],[VALID_TO]]&lt;=TODAY()),0,1)</f>
        <v>1</v>
      </c>
      <c r="AB45" s="154">
        <f ca="1">IF(Table2[[#This Row],[VALID_TO]]&gt;=TODAY(), 1, 0)</f>
        <v>1</v>
      </c>
      <c r="AC45" s="213" cm="1">
        <f t="array" aca="1" ref="AC45" ca="1">IF($AA45&lt;&gt;0,
IF(AND(
                         U45&gt;=_xlfn.PERCENTILE.INC(_xlfn._xlws.FILTER($U$2:$U$197, ($L$2:$L$197=L45)*($AA$2:$AA$197=1)),0.1),
                         U45&lt;=_xlfn.PERCENTILE.INC(_xlfn._xlws.FILTER($U$2:$U$197, ($L$3:$L$198=L45)*($AA$2:$AA$197=1)),0.9)
               ),1,0),
0)</f>
        <v>1</v>
      </c>
      <c r="AD45" s="131"/>
      <c r="AE45" s="2"/>
      <c r="AF45" s="2"/>
    </row>
    <row r="46" spans="1:33" x14ac:dyDescent="0.25">
      <c r="A46" s="8" t="s">
        <v>240</v>
      </c>
      <c r="B46" s="21"/>
      <c r="C46" s="222">
        <v>91</v>
      </c>
      <c r="D46" s="2" t="s">
        <v>239</v>
      </c>
      <c r="E46" s="3" t="s">
        <v>241</v>
      </c>
      <c r="F46" s="3"/>
      <c r="G46" s="32">
        <v>44179</v>
      </c>
      <c r="H46" s="32">
        <v>46003</v>
      </c>
      <c r="I46" s="26" t="s">
        <v>247</v>
      </c>
      <c r="J46" s="92" t="s">
        <v>118</v>
      </c>
      <c r="K46" s="6" t="s">
        <v>505</v>
      </c>
      <c r="L46" s="2" t="s">
        <v>323</v>
      </c>
      <c r="M46" s="100" t="s">
        <v>509</v>
      </c>
      <c r="N46" s="2" t="s">
        <v>427</v>
      </c>
      <c r="O46" s="26" t="s">
        <v>119</v>
      </c>
      <c r="P46" s="26">
        <v>430</v>
      </c>
      <c r="Q46" s="3" t="s">
        <v>427</v>
      </c>
      <c r="R46" s="3" t="s">
        <v>427</v>
      </c>
      <c r="S46" s="3" t="s">
        <v>427</v>
      </c>
      <c r="T46" s="112" t="s">
        <v>427</v>
      </c>
      <c r="U46" s="107">
        <f>SUM(Table2[[#This Row],[A1toA3_GWP]:[C1toC4_GWP]])</f>
        <v>92.325581395348763</v>
      </c>
      <c r="V46" s="24">
        <f>-670/Table2[[#This Row],[DENSITY]]*1000</f>
        <v>-1558.1395348837211</v>
      </c>
      <c r="W46" s="121">
        <f>(0.8+4.9+704)/Table2[[#This Row],[DENSITY]]*1000</f>
        <v>1650.4651162790699</v>
      </c>
      <c r="X46" s="154">
        <f>SUM(Table2[[#This Row],[A1toA3_GWP-biogenic]:[C1toC4_GWP-biogenic]])</f>
        <v>0</v>
      </c>
      <c r="Y46" s="154">
        <f>(-704)/Table2[[#This Row],[DENSITY]]*1000</f>
        <v>-1637.2093023255813</v>
      </c>
      <c r="Z46" s="194">
        <f>(704)/Table2[[#This Row],[DENSITY]]*1000</f>
        <v>1637.2093023255813</v>
      </c>
      <c r="AA46" s="84">
        <f ca="1">IF(OR($E46="Ecoinvent",$E46="Betonsortenrechner",$E46="KBOB",$U46&lt;=0,Table2[[#This Row],[VALID_TO]]&lt;=TODAY()),0,1)</f>
        <v>0</v>
      </c>
      <c r="AB46" s="154">
        <f ca="1">IF(Table2[[#This Row],[VALID_TO]]&gt;=TODAY(), 1, 0)</f>
        <v>0</v>
      </c>
      <c r="AC46" s="213" cm="1">
        <f t="array" aca="1" ref="AC46" ca="1">IF($AA46&lt;&gt;0,
IF(AND(
                         U46&gt;=_xlfn.PERCENTILE.INC(_xlfn._xlws.FILTER($U$2:$U$197, ($L$2:$L$197=L46)*($AA$2:$AA$197=1)),0.1),
                         U46&lt;=_xlfn.PERCENTILE.INC(_xlfn._xlws.FILTER($U$2:$U$197, ($L$3:$L$198=L46)*($AA$2:$AA$197=1)),0.9)
               ),1,0),
0)</f>
        <v>0</v>
      </c>
      <c r="AD46" s="131"/>
      <c r="AE46" s="2" t="s">
        <v>438</v>
      </c>
      <c r="AF46" s="2"/>
    </row>
    <row r="47" spans="1:33" x14ac:dyDescent="0.25">
      <c r="A47" s="8" t="s">
        <v>244</v>
      </c>
      <c r="B47" s="21"/>
      <c r="C47" s="225">
        <v>92</v>
      </c>
      <c r="D47" s="2" t="s">
        <v>242</v>
      </c>
      <c r="E47" s="3" t="s">
        <v>243</v>
      </c>
      <c r="F47" s="3"/>
      <c r="G47" s="32">
        <v>44593</v>
      </c>
      <c r="H47" s="32">
        <v>46419</v>
      </c>
      <c r="I47" s="26" t="s">
        <v>247</v>
      </c>
      <c r="J47" s="92" t="s">
        <v>118</v>
      </c>
      <c r="K47" s="6" t="s">
        <v>505</v>
      </c>
      <c r="L47" s="2" t="s">
        <v>323</v>
      </c>
      <c r="M47" s="100" t="s">
        <v>509</v>
      </c>
      <c r="N47" s="2" t="s">
        <v>427</v>
      </c>
      <c r="O47" s="26" t="s">
        <v>119</v>
      </c>
      <c r="P47" s="26">
        <v>430</v>
      </c>
      <c r="Q47" s="3" t="s">
        <v>427</v>
      </c>
      <c r="R47" s="3" t="s">
        <v>427</v>
      </c>
      <c r="S47" s="3" t="s">
        <v>427</v>
      </c>
      <c r="T47" s="112" t="s">
        <v>427</v>
      </c>
      <c r="U47" s="84">
        <f>SUM(Table2[[#This Row],[A1toA3_GWP]:[C1toC4_GWP]])</f>
        <v>-66.186046511627865</v>
      </c>
      <c r="V47" s="185">
        <f>-780/Table2[[#This Row],[DENSITY]]*1000</f>
        <v>-1813.9534883720928</v>
      </c>
      <c r="W47" s="186">
        <f>(0.24+1.3+750)/Table2[[#This Row],[DENSITY]]*1000</f>
        <v>1747.7674418604649</v>
      </c>
      <c r="X47" s="154">
        <f>SUM(Table2[[#This Row],[A1toA3_GWP-biogenic]:[C1toC4_GWP-biogenic]])</f>
        <v>-232.56209302325578</v>
      </c>
      <c r="Y47" s="154">
        <f>(-840)/Table2[[#This Row],[DENSITY]]*1000</f>
        <v>-1953.4883720930231</v>
      </c>
      <c r="Z47" s="194">
        <f>(-1.7*10^-3+740)/Table2[[#This Row],[DENSITY]]*1000</f>
        <v>1720.9262790697674</v>
      </c>
      <c r="AA47" s="84">
        <f ca="1">IF(OR($E47="Ecoinvent",$E47="Betonsortenrechner",$E47="KBOB",$U47&lt;=0,Table2[[#This Row],[VALID_TO]]&lt;=TODAY()),0,1)</f>
        <v>0</v>
      </c>
      <c r="AB47" s="154">
        <f ca="1">IF(Table2[[#This Row],[VALID_TO]]&gt;=TODAY(), 1, 0)</f>
        <v>1</v>
      </c>
      <c r="AC47" s="213" cm="1">
        <f t="array" aca="1" ref="AC47" ca="1">IF($AA47&lt;&gt;0,
IF(AND(
                         U47&gt;=_xlfn.PERCENTILE.INC(_xlfn._xlws.FILTER($U$2:$U$197, ($L$2:$L$197=L47)*($AA$2:$AA$197=1)),0.1),
                         U47&lt;=_xlfn.PERCENTILE.INC(_xlfn._xlws.FILTER($U$2:$U$197, ($L$3:$L$198=L47)*($AA$2:$AA$197=1)),0.9)
               ),1,0),
0)</f>
        <v>0</v>
      </c>
      <c r="AD47" s="131"/>
      <c r="AE47" s="2" t="s">
        <v>439</v>
      </c>
      <c r="AF47" s="2"/>
    </row>
    <row r="48" spans="1:33" x14ac:dyDescent="0.25">
      <c r="A48" s="8" t="s">
        <v>250</v>
      </c>
      <c r="B48" s="21"/>
      <c r="C48" s="222">
        <v>93</v>
      </c>
      <c r="D48" s="2" t="s">
        <v>246</v>
      </c>
      <c r="E48" s="3" t="s">
        <v>245</v>
      </c>
      <c r="F48" s="3"/>
      <c r="G48" s="32">
        <v>45205</v>
      </c>
      <c r="H48" s="32">
        <v>47032</v>
      </c>
      <c r="I48" s="26" t="s">
        <v>248</v>
      </c>
      <c r="J48" s="92" t="s">
        <v>118</v>
      </c>
      <c r="K48" s="6" t="s">
        <v>505</v>
      </c>
      <c r="L48" s="2" t="s">
        <v>323</v>
      </c>
      <c r="M48" s="100" t="s">
        <v>509</v>
      </c>
      <c r="N48" s="2" t="s">
        <v>427</v>
      </c>
      <c r="O48" s="26" t="s">
        <v>119</v>
      </c>
      <c r="P48" s="26">
        <v>470</v>
      </c>
      <c r="Q48" s="3" t="s">
        <v>427</v>
      </c>
      <c r="R48" s="3" t="s">
        <v>427</v>
      </c>
      <c r="S48" s="3" t="s">
        <v>427</v>
      </c>
      <c r="T48" s="112" t="s">
        <v>427</v>
      </c>
      <c r="U48" s="107">
        <f>SUM(Table2[[#This Row],[A1toA3_GWP]:[C1toC4_GWP]])</f>
        <v>170.34042553191466</v>
      </c>
      <c r="V48" s="24">
        <f>-708/Table2[[#This Row],[DENSITY]]*1000</f>
        <v>-1506.3829787234042</v>
      </c>
      <c r="W48" s="121">
        <f>(4.01+2.05+782)/Table2[[#This Row],[DENSITY]]*1000</f>
        <v>1676.7234042553189</v>
      </c>
      <c r="X48" s="154">
        <f>SUM(Table2[[#This Row],[A1toA3_GWP-biogenic]:[C1toC4_GWP-biogenic]])</f>
        <v>2.4255319158328348E-4</v>
      </c>
      <c r="Y48" s="154">
        <f>(-762)/Table2[[#This Row],[DENSITY]]*1000</f>
        <v>-1621.2765957446809</v>
      </c>
      <c r="Z48" s="194">
        <f>(-6.98*10^-4+8.12*10^-4+762)/Table2[[#This Row],[DENSITY]]*1000</f>
        <v>1621.2768382978725</v>
      </c>
      <c r="AA48" s="84">
        <f ca="1">IF(OR($E48="Ecoinvent",$E48="Betonsortenrechner",$E48="KBOB",$U48&lt;=0,Table2[[#This Row],[VALID_TO]]&lt;=TODAY()),0,1)</f>
        <v>1</v>
      </c>
      <c r="AB48" s="154">
        <f ca="1">IF(Table2[[#This Row],[VALID_TO]]&gt;=TODAY(), 1, 0)</f>
        <v>1</v>
      </c>
      <c r="AC48" s="213" cm="1">
        <f t="array" aca="1" ref="AC48" ca="1">IF($AA48&lt;&gt;0,
IF(AND(
                         U48&gt;=_xlfn.PERCENTILE.INC(_xlfn._xlws.FILTER($U$2:$U$197, ($L$2:$L$197=L48)*($AA$2:$AA$197=1)),0.1),
                         U48&lt;=_xlfn.PERCENTILE.INC(_xlfn._xlws.FILTER($U$2:$U$197, ($L$3:$L$198=L48)*($AA$2:$AA$197=1)),0.9)
               ),1,0),
0)</f>
        <v>1</v>
      </c>
      <c r="AD48" s="131"/>
      <c r="AE48" s="2" t="s">
        <v>440</v>
      </c>
      <c r="AF48" s="2" t="s">
        <v>423</v>
      </c>
    </row>
    <row r="49" spans="1:33" x14ac:dyDescent="0.25">
      <c r="A49" s="8" t="s">
        <v>251</v>
      </c>
      <c r="B49" s="21"/>
      <c r="C49" s="225">
        <v>94</v>
      </c>
      <c r="D49" s="2" t="s">
        <v>252</v>
      </c>
      <c r="E49" s="3" t="s">
        <v>111</v>
      </c>
      <c r="F49" s="3"/>
      <c r="G49" s="32">
        <v>43544</v>
      </c>
      <c r="H49" s="32">
        <v>45370</v>
      </c>
      <c r="I49" s="26" t="s">
        <v>253</v>
      </c>
      <c r="J49" s="92" t="s">
        <v>254</v>
      </c>
      <c r="K49" s="6" t="s">
        <v>505</v>
      </c>
      <c r="L49" s="2" t="s">
        <v>323</v>
      </c>
      <c r="M49" s="100" t="s">
        <v>509</v>
      </c>
      <c r="N49" s="2" t="s">
        <v>427</v>
      </c>
      <c r="O49" s="26" t="s">
        <v>119</v>
      </c>
      <c r="P49" s="26">
        <v>470</v>
      </c>
      <c r="Q49" s="3" t="s">
        <v>427</v>
      </c>
      <c r="R49" s="3" t="s">
        <v>427</v>
      </c>
      <c r="S49" s="3" t="s">
        <v>427</v>
      </c>
      <c r="T49" s="112" t="s">
        <v>427</v>
      </c>
      <c r="U49" s="107">
        <f>SUM(Table2[[#This Row],[A1toA3_GWP]:[C1toC4_GWP]])</f>
        <v>232.9957446808512</v>
      </c>
      <c r="V49" s="24">
        <f>(-683+7.56+18.4)/Table2[[#This Row],[DENSITY]]*1000</f>
        <v>-1397.9574468085107</v>
      </c>
      <c r="W49" s="121">
        <f>(0.548+766)/Table2[[#This Row],[DENSITY]]*1000</f>
        <v>1630.9531914893619</v>
      </c>
      <c r="X49" s="154">
        <f>SUM(Table2[[#This Row],[A1toA3_GWP-biogenic]:[C1toC4_GWP-biogenic]])</f>
        <v>0</v>
      </c>
      <c r="Y49" s="78" t="s">
        <v>427</v>
      </c>
      <c r="Z49" s="198" t="s">
        <v>427</v>
      </c>
      <c r="AA49" s="84">
        <f ca="1">IF(OR($E49="Ecoinvent",$E49="Betonsortenrechner",$E49="KBOB",$U49&lt;=0,Table2[[#This Row],[VALID_TO]]&lt;=TODAY()),0,1)</f>
        <v>0</v>
      </c>
      <c r="AB49" s="154">
        <f ca="1">IF(Table2[[#This Row],[VALID_TO]]&gt;=TODAY(), 1, 0)</f>
        <v>0</v>
      </c>
      <c r="AC49" s="213" cm="1">
        <f t="array" aca="1" ref="AC49" ca="1">IF($AA49&lt;&gt;0,
IF(AND(
                         U49&gt;=_xlfn.PERCENTILE.INC(_xlfn._xlws.FILTER($U$2:$U$197, ($L$2:$L$197=L49)*($AA$2:$AA$197=1)),0.1),
                         U49&lt;=_xlfn.PERCENTILE.INC(_xlfn._xlws.FILTER($U$2:$U$197, ($L$3:$L$198=L49)*($AA$2:$AA$197=1)),0.9)
               ),1,0),
0)</f>
        <v>0</v>
      </c>
      <c r="AD49" s="131"/>
      <c r="AE49" s="2"/>
      <c r="AF49" s="2"/>
    </row>
    <row r="50" spans="1:33" x14ac:dyDescent="0.25">
      <c r="A50" s="8" t="s">
        <v>256</v>
      </c>
      <c r="B50" s="21" t="s">
        <v>517</v>
      </c>
      <c r="C50" s="222">
        <v>95</v>
      </c>
      <c r="D50" s="2" t="s">
        <v>255</v>
      </c>
      <c r="E50" s="3" t="s">
        <v>108</v>
      </c>
      <c r="F50" s="3"/>
      <c r="G50" s="32">
        <v>44449</v>
      </c>
      <c r="H50" s="32">
        <v>46236</v>
      </c>
      <c r="I50" s="26" t="s">
        <v>249</v>
      </c>
      <c r="J50" s="92" t="s">
        <v>118</v>
      </c>
      <c r="K50" s="6" t="s">
        <v>505</v>
      </c>
      <c r="L50" s="2" t="s">
        <v>323</v>
      </c>
      <c r="M50" s="100" t="s">
        <v>509</v>
      </c>
      <c r="N50" s="2" t="s">
        <v>427</v>
      </c>
      <c r="O50" s="26" t="s">
        <v>119</v>
      </c>
      <c r="P50" s="26">
        <v>470</v>
      </c>
      <c r="Q50" s="3" t="s">
        <v>427</v>
      </c>
      <c r="R50" s="3" t="s">
        <v>427</v>
      </c>
      <c r="S50" s="3" t="s">
        <v>427</v>
      </c>
      <c r="T50" s="112" t="s">
        <v>427</v>
      </c>
      <c r="U50" s="107">
        <f>SUM(Table2[[#This Row],[A1toA3_GWP]:[C1toC4_GWP]])</f>
        <v>200.89361702127644</v>
      </c>
      <c r="V50" s="24">
        <f>-660/Table2[[#This Row],[DENSITY]]*1000</f>
        <v>-1404.2553191489362</v>
      </c>
      <c r="W50" s="121">
        <f>(1.42+753)/Table2[[#This Row],[DENSITY]]*1000</f>
        <v>1605.1489361702127</v>
      </c>
      <c r="X50" s="154">
        <f>SUM(Table2[[#This Row],[A1toA3_GWP-biogenic]:[C1toC4_GWP-biogenic]])</f>
        <v>-8.5141914893617923</v>
      </c>
      <c r="Y50" s="154">
        <f>(-754)/Table2[[#This Row],[DENSITY]]*1000</f>
        <v>-1604.2553191489362</v>
      </c>
      <c r="Z50" s="194">
        <f>(-1.67*10^-3+7.5*10^2)/Table2[[#This Row],[DENSITY]]*1000</f>
        <v>1595.7411276595744</v>
      </c>
      <c r="AA50" s="84">
        <f ca="1">IF(OR($E50="Ecoinvent",$E50="Betonsortenrechner",$E50="KBOB",$U50&lt;=0,Table2[[#This Row],[VALID_TO]]&lt;=TODAY()),0,1)</f>
        <v>1</v>
      </c>
      <c r="AB50" s="154">
        <f ca="1">IF(Table2[[#This Row],[VALID_TO]]&gt;=TODAY(), 1, 0)</f>
        <v>1</v>
      </c>
      <c r="AC50" s="213" cm="1">
        <f t="array" aca="1" ref="AC50" ca="1">IF($AA50&lt;&gt;0,
IF(AND(
                         U50&gt;=_xlfn.PERCENTILE.INC(_xlfn._xlws.FILTER($U$2:$U$197, ($L$2:$L$197=L50)*($AA$2:$AA$197=1)),0.1),
                         U50&lt;=_xlfn.PERCENTILE.INC(_xlfn._xlws.FILTER($U$2:$U$197, ($L$3:$L$198=L50)*($AA$2:$AA$197=1)),0.9)
               ),1,0),
0)</f>
        <v>1</v>
      </c>
      <c r="AD50" s="131"/>
      <c r="AE50" s="2"/>
      <c r="AF50" s="2"/>
    </row>
    <row r="51" spans="1:33" s="188" customFormat="1" x14ac:dyDescent="0.25">
      <c r="A51" s="8" t="s">
        <v>259</v>
      </c>
      <c r="B51" s="21"/>
      <c r="C51" s="222">
        <v>101</v>
      </c>
      <c r="D51" s="2" t="s">
        <v>257</v>
      </c>
      <c r="E51" s="3" t="s">
        <v>258</v>
      </c>
      <c r="F51" s="3"/>
      <c r="G51" s="32">
        <v>44844</v>
      </c>
      <c r="H51" s="32">
        <v>46670</v>
      </c>
      <c r="I51" s="26" t="s">
        <v>296</v>
      </c>
      <c r="J51" s="92" t="s">
        <v>118</v>
      </c>
      <c r="K51" s="6" t="s">
        <v>505</v>
      </c>
      <c r="L51" s="2" t="s">
        <v>323</v>
      </c>
      <c r="M51" s="100" t="s">
        <v>509</v>
      </c>
      <c r="N51" s="2" t="s">
        <v>427</v>
      </c>
      <c r="O51" s="26" t="s">
        <v>119</v>
      </c>
      <c r="P51" s="26">
        <v>470</v>
      </c>
      <c r="Q51" s="3" t="s">
        <v>427</v>
      </c>
      <c r="R51" s="3" t="s">
        <v>427</v>
      </c>
      <c r="S51" s="3" t="s">
        <v>427</v>
      </c>
      <c r="T51" s="112" t="s">
        <v>427</v>
      </c>
      <c r="U51" s="107">
        <f>SUM(Table2[[#This Row],[A1toA3_GWP]:[C1toC4_GWP]])</f>
        <v>418.08510638297867</v>
      </c>
      <c r="V51" s="24">
        <f>(-1000+28+6)/Table2[[#This Row],[DENSITY]]*1000</f>
        <v>-2055.3191489361702</v>
      </c>
      <c r="W51" s="121">
        <f>(430+86+640+6.5)/Table2[[#This Row],[DENSITY]]*1000</f>
        <v>2473.4042553191489</v>
      </c>
      <c r="X51" s="154">
        <f>SUM(Table2[[#This Row],[A1toA3_GWP-biogenic]:[C1toC4_GWP-biogenic]])</f>
        <v>-144.35531914893636</v>
      </c>
      <c r="Y51" s="154">
        <f>(-1.1*10^3+9*10^-3+2.1+2.1*10^-2)/Table2[[#This Row],[DENSITY]]*1000</f>
        <v>-2335.8936170212769</v>
      </c>
      <c r="Z51" s="194">
        <f>(4*10^2+2.3*10^-2+6.3*10^2)/Table2[[#This Row],[DENSITY]]*1000</f>
        <v>2191.5382978723405</v>
      </c>
      <c r="AA51" s="84">
        <f ca="1">IF(OR($E51="Ecoinvent",$E51="Betonsortenrechner",$E51="KBOB",$U51&lt;=0,Table2[[#This Row],[VALID_TO]]&lt;=TODAY()),0,1)</f>
        <v>1</v>
      </c>
      <c r="AB51" s="154">
        <f ca="1">IF(Table2[[#This Row],[VALID_TO]]&gt;=TODAY(), 1, 0)</f>
        <v>1</v>
      </c>
      <c r="AC51" s="213" cm="1">
        <f t="array" aca="1" ref="AC51" ca="1">IF($AA51&lt;&gt;0,
IF(AND(
                         U51&gt;=_xlfn.PERCENTILE.INC(_xlfn._xlws.FILTER($U$2:$U$197, ($L$2:$L$197=L51)*($AA$2:$AA$197=1)),0.1),
                         U51&lt;=_xlfn.PERCENTILE.INC(_xlfn._xlws.FILTER($U$2:$U$197, ($L$3:$L$198=L51)*($AA$2:$AA$197=1)),0.9)
               ),1,0),
0)</f>
        <v>0</v>
      </c>
      <c r="AD51" s="131"/>
      <c r="AE51" s="2"/>
      <c r="AF51" s="2"/>
    </row>
    <row r="52" spans="1:33" s="188" customFormat="1" x14ac:dyDescent="0.25">
      <c r="A52" s="8" t="s">
        <v>260</v>
      </c>
      <c r="B52" s="21" t="s">
        <v>538</v>
      </c>
      <c r="C52" s="222">
        <v>103</v>
      </c>
      <c r="D52" s="2" t="s">
        <v>261</v>
      </c>
      <c r="E52" s="3" t="s">
        <v>121</v>
      </c>
      <c r="F52" s="3"/>
      <c r="G52" s="32"/>
      <c r="H52" s="32"/>
      <c r="I52" s="26"/>
      <c r="J52" s="92"/>
      <c r="K52" s="6" t="s">
        <v>505</v>
      </c>
      <c r="L52" s="2" t="s">
        <v>323</v>
      </c>
      <c r="M52" s="100" t="s">
        <v>509</v>
      </c>
      <c r="N52" s="2" t="s">
        <v>427</v>
      </c>
      <c r="O52" s="26" t="s">
        <v>119</v>
      </c>
      <c r="P52" s="26">
        <v>470</v>
      </c>
      <c r="Q52" s="3" t="s">
        <v>427</v>
      </c>
      <c r="R52" s="3" t="s">
        <v>427</v>
      </c>
      <c r="S52" s="3" t="s">
        <v>427</v>
      </c>
      <c r="T52" s="112" t="s">
        <v>427</v>
      </c>
      <c r="U52" s="107">
        <f>SUM(Table2[[#This Row],[A1toA3_GWP]:[C1toC4_GWP]])</f>
        <v>349.0042553191488</v>
      </c>
      <c r="V52" s="24">
        <f>(-699+7.56+97)/Table2[[#This Row],[DENSITY]]*1000</f>
        <v>-1264.7659574468087</v>
      </c>
      <c r="W52" s="121">
        <f>(0.472+758)/Table2[[#This Row],[DENSITY]]*1000</f>
        <v>1613.7702127659575</v>
      </c>
      <c r="X52" s="154">
        <f>SUM(Table2[[#This Row],[A1toA3_GWP-biogenic]:[C1toC4_GWP-biogenic]])</f>
        <v>0</v>
      </c>
      <c r="Y52" s="78" t="s">
        <v>427</v>
      </c>
      <c r="Z52" s="198" t="s">
        <v>427</v>
      </c>
      <c r="AA52" s="84">
        <f ca="1">IF(OR($E52="Ecoinvent",$E52="Betonsortenrechner",$E52="KBOB",$U52&lt;=0,Table2[[#This Row],[VALID_TO]]&lt;=TODAY()),0,1)</f>
        <v>0</v>
      </c>
      <c r="AB52" s="154">
        <f ca="1">IF(Table2[[#This Row],[VALID_TO]]&gt;=TODAY(), 1, 0)</f>
        <v>0</v>
      </c>
      <c r="AC52" s="213" cm="1">
        <f t="array" aca="1" ref="AC52" ca="1">IF($AA52&lt;&gt;0,
IF(AND(
                         U52&gt;=_xlfn.PERCENTILE.INC(_xlfn._xlws.FILTER($U$2:$U$197, ($L$2:$L$197=L52)*($AA$2:$AA$197=1)),0.1),
                         U52&lt;=_xlfn.PERCENTILE.INC(_xlfn._xlws.FILTER($U$2:$U$197, ($L$3:$L$198=L52)*($AA$2:$AA$197=1)),0.9)
               ),1,0),
0)</f>
        <v>0</v>
      </c>
      <c r="AD52" s="131"/>
      <c r="AE52" s="2"/>
      <c r="AF52" s="2"/>
    </row>
    <row r="53" spans="1:33" s="188" customFormat="1" x14ac:dyDescent="0.25">
      <c r="A53" s="8" t="s">
        <v>264</v>
      </c>
      <c r="B53" s="21"/>
      <c r="C53" s="222">
        <v>105</v>
      </c>
      <c r="D53" s="2" t="s">
        <v>262</v>
      </c>
      <c r="E53" s="3" t="s">
        <v>263</v>
      </c>
      <c r="F53" s="3"/>
      <c r="G53" s="32">
        <v>43914</v>
      </c>
      <c r="H53" s="32">
        <v>45740</v>
      </c>
      <c r="I53" s="26" t="s">
        <v>66</v>
      </c>
      <c r="J53" s="92" t="s">
        <v>118</v>
      </c>
      <c r="K53" s="6" t="s">
        <v>505</v>
      </c>
      <c r="L53" s="2" t="s">
        <v>323</v>
      </c>
      <c r="M53" s="100" t="s">
        <v>509</v>
      </c>
      <c r="N53" s="2" t="s">
        <v>427</v>
      </c>
      <c r="O53" s="26" t="s">
        <v>119</v>
      </c>
      <c r="P53" s="26">
        <v>424</v>
      </c>
      <c r="Q53" s="3" t="s">
        <v>427</v>
      </c>
      <c r="R53" s="3" t="s">
        <v>427</v>
      </c>
      <c r="S53" s="3" t="s">
        <v>427</v>
      </c>
      <c r="T53" s="112" t="s">
        <v>427</v>
      </c>
      <c r="U53" s="107">
        <f>SUM(Table2[[#This Row],[A1toA3_GWP]:[C1toC4_GWP]])</f>
        <v>244.19174528301892</v>
      </c>
      <c r="V53" s="24">
        <f>(-597)/Table2[[#This Row],[DENSITY]]*1000</f>
        <v>-1408.0188679245282</v>
      </c>
      <c r="W53" s="121">
        <f>(3.52+697+0.0173)/Table2[[#This Row],[DENSITY]]*1000</f>
        <v>1652.2106132075471</v>
      </c>
      <c r="X53" s="154">
        <f>SUM(Table2[[#This Row],[A1toA3_GWP-biogenic]:[C1toC4_GWP-biogenic]])</f>
        <v>2.3584905660377444</v>
      </c>
      <c r="Y53" s="154">
        <f>(-6.87*10^2)/Table2[[#This Row],[DENSITY]]*1000</f>
        <v>-1620.2830188679245</v>
      </c>
      <c r="Z53" s="194">
        <f>(6.88*10^2)/Table2[[#This Row],[DENSITY]]*1000</f>
        <v>1622.6415094339623</v>
      </c>
      <c r="AA53" s="84">
        <f ca="1">IF(OR($E53="Ecoinvent",$E53="Betonsortenrechner",$E53="KBOB",$U53&lt;=0,Table2[[#This Row],[VALID_TO]]&lt;=TODAY()),0,1)</f>
        <v>0</v>
      </c>
      <c r="AB53" s="154">
        <f ca="1">IF(Table2[[#This Row],[VALID_TO]]&gt;=TODAY(), 1, 0)</f>
        <v>0</v>
      </c>
      <c r="AC53" s="213" cm="1">
        <f t="array" aca="1" ref="AC53" ca="1">IF($AA53&lt;&gt;0,
IF(AND(
                         U53&gt;=_xlfn.PERCENTILE.INC(_xlfn._xlws.FILTER($U$2:$U$197, ($L$2:$L$197=L53)*($AA$2:$AA$197=1)),0.1),
                         U53&lt;=_xlfn.PERCENTILE.INC(_xlfn._xlws.FILTER($U$2:$U$197, ($L$3:$L$198=L53)*($AA$2:$AA$197=1)),0.9)
               ),1,0),
0)</f>
        <v>0</v>
      </c>
      <c r="AD53" s="131"/>
      <c r="AE53" s="2"/>
      <c r="AF53" s="2"/>
    </row>
    <row r="54" spans="1:33" s="188" customFormat="1" x14ac:dyDescent="0.25">
      <c r="A54" s="8" t="s">
        <v>265</v>
      </c>
      <c r="B54" s="21"/>
      <c r="C54" s="225">
        <v>106</v>
      </c>
      <c r="D54" s="2" t="s">
        <v>267</v>
      </c>
      <c r="E54" s="3" t="s">
        <v>266</v>
      </c>
      <c r="F54" s="3"/>
      <c r="G54" s="32">
        <v>43451</v>
      </c>
      <c r="H54" s="32">
        <v>45271</v>
      </c>
      <c r="I54" s="26" t="s">
        <v>56</v>
      </c>
      <c r="J54" s="92" t="s">
        <v>118</v>
      </c>
      <c r="K54" s="6" t="s">
        <v>505</v>
      </c>
      <c r="L54" s="2" t="s">
        <v>323</v>
      </c>
      <c r="M54" s="100" t="s">
        <v>509</v>
      </c>
      <c r="N54" s="2" t="s">
        <v>427</v>
      </c>
      <c r="O54" s="26" t="s">
        <v>119</v>
      </c>
      <c r="P54" s="26">
        <v>400</v>
      </c>
      <c r="Q54" s="3" t="s">
        <v>427</v>
      </c>
      <c r="R54" s="3" t="s">
        <v>427</v>
      </c>
      <c r="S54" s="3" t="s">
        <v>427</v>
      </c>
      <c r="T54" s="112" t="s">
        <v>427</v>
      </c>
      <c r="U54" s="107">
        <f>SUM(Table2[[#This Row],[A1toA3_GWP]:[C1toC4_GWP]])</f>
        <v>400</v>
      </c>
      <c r="V54" s="24">
        <f>(160)/Table2[[#This Row],[DENSITY]]*1000</f>
        <v>400</v>
      </c>
      <c r="W54" s="121" t="s">
        <v>427</v>
      </c>
      <c r="X54" s="154">
        <f>SUM(Table2[[#This Row],[A1toA3_GWP-biogenic]:[C1toC4_GWP-biogenic]])</f>
        <v>-1300</v>
      </c>
      <c r="Y54" s="154">
        <f>(-5.2*10^2)/Table2[[#This Row],[DENSITY]]*1000</f>
        <v>-1300</v>
      </c>
      <c r="Z54" s="198" t="s">
        <v>427</v>
      </c>
      <c r="AA54" s="84">
        <f ca="1">IF(OR($E54="Ecoinvent",$E54="Betonsortenrechner",$E54="KBOB",$U54&lt;=0,Table2[[#This Row],[VALID_TO]]&lt;=TODAY()),0,1)</f>
        <v>0</v>
      </c>
      <c r="AB54" s="154">
        <f ca="1">IF(Table2[[#This Row],[VALID_TO]]&gt;=TODAY(), 1, 0)</f>
        <v>0</v>
      </c>
      <c r="AC54" s="213" cm="1">
        <f t="array" aca="1" ref="AC54" ca="1">IF($AA54&lt;&gt;0,
IF(AND(
                         U54&gt;=_xlfn.PERCENTILE.INC(_xlfn._xlws.FILTER($U$2:$U$197, ($L$2:$L$197=L54)*($AA$2:$AA$197=1)),0.1),
                         U54&lt;=_xlfn.PERCENTILE.INC(_xlfn._xlws.FILTER($U$2:$U$197, ($L$3:$L$198=L54)*($AA$2:$AA$197=1)),0.9)
               ),1,0),
0)</f>
        <v>0</v>
      </c>
      <c r="AD54" s="131"/>
      <c r="AE54" s="2"/>
      <c r="AF54" s="2"/>
    </row>
    <row r="55" spans="1:33" x14ac:dyDescent="0.25">
      <c r="A55" s="8" t="s">
        <v>270</v>
      </c>
      <c r="B55" s="21"/>
      <c r="C55" s="222">
        <v>107</v>
      </c>
      <c r="D55" s="2" t="s">
        <v>272</v>
      </c>
      <c r="E55" s="3" t="s">
        <v>271</v>
      </c>
      <c r="F55" s="3"/>
      <c r="G55" s="32">
        <v>44628</v>
      </c>
      <c r="H55" s="32">
        <v>46454</v>
      </c>
      <c r="I55" s="26" t="s">
        <v>273</v>
      </c>
      <c r="J55" s="92" t="s">
        <v>118</v>
      </c>
      <c r="K55" s="6" t="s">
        <v>505</v>
      </c>
      <c r="L55" s="2" t="s">
        <v>323</v>
      </c>
      <c r="M55" s="100" t="s">
        <v>509</v>
      </c>
      <c r="N55" s="2" t="s">
        <v>427</v>
      </c>
      <c r="O55" s="26" t="s">
        <v>119</v>
      </c>
      <c r="P55" s="26">
        <v>470</v>
      </c>
      <c r="Q55" s="3" t="s">
        <v>427</v>
      </c>
      <c r="R55" s="3" t="s">
        <v>427</v>
      </c>
      <c r="S55" s="3" t="s">
        <v>427</v>
      </c>
      <c r="T55" s="112" t="s">
        <v>427</v>
      </c>
      <c r="U55" s="242">
        <f>SUM(Table2[[#This Row],[A1toA3_GWP]:[C1toC4_GWP]])</f>
        <v>207.063829787234</v>
      </c>
      <c r="V55" s="24">
        <f>(-690)/Table2[[#This Row],[DENSITY]]*1000</f>
        <v>-1468.0851063829787</v>
      </c>
      <c r="W55" s="121">
        <f>(1.32+786)/Table2[[#This Row],[DENSITY]]*1000</f>
        <v>1675.1489361702127</v>
      </c>
      <c r="X55" s="154">
        <f>SUM(Table2[[#This Row],[A1toA3_GWP-biogenic]:[C1toC4_GWP-biogenic]])</f>
        <v>0</v>
      </c>
      <c r="Y55" s="78" t="s">
        <v>427</v>
      </c>
      <c r="Z55" s="198" t="s">
        <v>427</v>
      </c>
      <c r="AA55" s="84">
        <f ca="1">IF(OR($E55="Ecoinvent",$E55="Betonsortenrechner",$E55="KBOB",$U55&lt;=0,Table2[[#This Row],[VALID_TO]]&lt;=TODAY()),0,1)</f>
        <v>1</v>
      </c>
      <c r="AB55" s="154">
        <f ca="1">IF(Table2[[#This Row],[VALID_TO]]&gt;=TODAY(), 1, 0)</f>
        <v>1</v>
      </c>
      <c r="AC55" s="213" cm="1">
        <f t="array" aca="1" ref="AC55" ca="1">IF($AA55&lt;&gt;0,
IF(AND(
                         U55&gt;=_xlfn.PERCENTILE.INC(_xlfn._xlws.FILTER($U$2:$U$197, ($L$2:$L$197=L55)*($AA$2:$AA$197=1)),0.1),
                         U55&lt;=_xlfn.PERCENTILE.INC(_xlfn._xlws.FILTER($U$2:$U$197, ($L$3:$L$198=L55)*($AA$2:$AA$197=1)),0.9)
               ),1,0),
0)</f>
        <v>1</v>
      </c>
      <c r="AD55" s="131"/>
      <c r="AE55" s="2"/>
      <c r="AF55" s="2"/>
    </row>
    <row r="56" spans="1:33" s="188" customFormat="1" x14ac:dyDescent="0.25">
      <c r="A56" s="8" t="s">
        <v>305</v>
      </c>
      <c r="B56" s="21"/>
      <c r="C56" s="225">
        <v>120</v>
      </c>
      <c r="D56" s="2" t="s">
        <v>304</v>
      </c>
      <c r="E56" s="3" t="s">
        <v>306</v>
      </c>
      <c r="F56" s="3"/>
      <c r="G56" s="32">
        <v>44218</v>
      </c>
      <c r="H56" s="32">
        <v>46044</v>
      </c>
      <c r="I56" s="26" t="s">
        <v>247</v>
      </c>
      <c r="J56" s="92" t="s">
        <v>114</v>
      </c>
      <c r="K56" s="6" t="s">
        <v>337</v>
      </c>
      <c r="L56" s="2" t="s">
        <v>323</v>
      </c>
      <c r="M56" s="100" t="s">
        <v>330</v>
      </c>
      <c r="N56" s="2" t="s">
        <v>427</v>
      </c>
      <c r="O56" s="176" t="s">
        <v>119</v>
      </c>
      <c r="P56" s="26">
        <v>489</v>
      </c>
      <c r="Q56" s="3" t="s">
        <v>427</v>
      </c>
      <c r="R56" s="3" t="s">
        <v>427</v>
      </c>
      <c r="S56" s="3" t="s">
        <v>427</v>
      </c>
      <c r="T56" s="112" t="s">
        <v>427</v>
      </c>
      <c r="U56" s="107">
        <f>SUM(Table2[[#This Row],[A1toA3_GWP]:[C1toC4_GWP]])</f>
        <v>75.664621676891556</v>
      </c>
      <c r="V56" s="24">
        <f>(-744)/Table2[[#This Row],[DENSITY]]*1000</f>
        <v>-1521.4723926380368</v>
      </c>
      <c r="W56" s="121">
        <f>(781)/Table2[[#This Row],[DENSITY]]*1000</f>
        <v>1597.1370143149284</v>
      </c>
      <c r="X56" s="154">
        <f>SUM(Table2[[#This Row],[A1toA3_GWP-biogenic]:[C1toC4_GWP-biogenic]])</f>
        <v>0</v>
      </c>
      <c r="Y56" s="78">
        <f>(-773)/Table2[[#This Row],[DENSITY]]*1000</f>
        <v>-1580.7770961145193</v>
      </c>
      <c r="Z56" s="198">
        <f>(773)/Table2[[#This Row],[DENSITY]]*1000</f>
        <v>1580.7770961145193</v>
      </c>
      <c r="AA56" s="84">
        <f ca="1">IF(OR($E56="Ecoinvent",$E56="Betonsortenrechner",$E56="KBOB",$U56&lt;=0,Table2[[#This Row],[VALID_TO]]&lt;=TODAY()),0,1)</f>
        <v>0</v>
      </c>
      <c r="AB56" s="154">
        <f ca="1">IF(Table2[[#This Row],[VALID_TO]]&gt;=TODAY(), 1, 0)</f>
        <v>0</v>
      </c>
      <c r="AC56" s="213" cm="1">
        <f t="array" aca="1" ref="AC56" ca="1">IF($AA56&lt;&gt;0,
IF(AND(
                         U56&gt;=_xlfn.PERCENTILE.INC(_xlfn._xlws.FILTER($U$2:$U$197, ($L$2:$L$197=L56)*($AA$2:$AA$197=1)),0.1),
                         U56&lt;=_xlfn.PERCENTILE.INC(_xlfn._xlws.FILTER($U$2:$U$197, ($L$3:$L$198=L56)*($AA$2:$AA$197=1)),0.9)
               ),1,0),
0)</f>
        <v>0</v>
      </c>
      <c r="AD56" s="131"/>
      <c r="AE56" s="2" t="s">
        <v>418</v>
      </c>
      <c r="AF56" s="2"/>
    </row>
    <row r="57" spans="1:33" ht="15.75" thickBot="1" x14ac:dyDescent="0.3">
      <c r="A57" s="9" t="s">
        <v>309</v>
      </c>
      <c r="B57" s="36"/>
      <c r="C57" s="227">
        <v>121</v>
      </c>
      <c r="D57" s="4" t="s">
        <v>307</v>
      </c>
      <c r="E57" s="5" t="s">
        <v>287</v>
      </c>
      <c r="F57" s="5"/>
      <c r="G57" s="33">
        <v>44158</v>
      </c>
      <c r="H57" s="33">
        <v>45984</v>
      </c>
      <c r="I57" s="33" t="s">
        <v>302</v>
      </c>
      <c r="J57" s="95" t="s">
        <v>114</v>
      </c>
      <c r="K57" s="7" t="s">
        <v>337</v>
      </c>
      <c r="L57" s="4" t="s">
        <v>323</v>
      </c>
      <c r="M57" s="101" t="s">
        <v>330</v>
      </c>
      <c r="N57" s="4" t="s">
        <v>427</v>
      </c>
      <c r="O57" s="29" t="s">
        <v>119</v>
      </c>
      <c r="P57" s="29">
        <v>508</v>
      </c>
      <c r="Q57" s="5" t="s">
        <v>427</v>
      </c>
      <c r="R57" s="5" t="s">
        <v>427</v>
      </c>
      <c r="S57" s="5" t="s">
        <v>427</v>
      </c>
      <c r="T57" s="115" t="s">
        <v>427</v>
      </c>
      <c r="U57" s="240">
        <f>SUM(Table2[[#This Row],[A1toA3_GWP]:[C1toC4_GWP]])</f>
        <v>140.68897637795249</v>
      </c>
      <c r="V57" s="23">
        <f>(-738)/Table2[[#This Row],[DENSITY]]*1000</f>
        <v>-1452.7559055118111</v>
      </c>
      <c r="W57" s="125">
        <f>(5.43+804+0.04)/Table2[[#This Row],[DENSITY]]*1000</f>
        <v>1593.4448818897636</v>
      </c>
      <c r="X57" s="155">
        <f>SUM(Table2[[#This Row],[A1toA3_GWP-biogenic]:[C1toC4_GWP-biogenic]])</f>
        <v>-3.9370078740157624</v>
      </c>
      <c r="Y57" s="80">
        <f>(-800)/Table2[[#This Row],[DENSITY]]*1000</f>
        <v>-1574.8031496062993</v>
      </c>
      <c r="Z57" s="208">
        <f>(798)/Table2[[#This Row],[DENSITY]]*1000</f>
        <v>1570.8661417322835</v>
      </c>
      <c r="AA57" s="155">
        <f ca="1">IF(OR($E57="Ecoinvent",$E57="Betonsortenrechner",$E57="KBOB",$U57&lt;=0,Table2[[#This Row],[VALID_TO]]&lt;=TODAY()),0,1)</f>
        <v>0</v>
      </c>
      <c r="AB57" s="155">
        <f ca="1">IF(Table2[[#This Row],[VALID_TO]]&gt;=TODAY(), 1, 0)</f>
        <v>0</v>
      </c>
      <c r="AC57" s="215" cm="1">
        <f t="array" aca="1" ref="AC57" ca="1">IF($AA57&lt;&gt;0,
IF(AND(
                         U57&gt;=_xlfn.PERCENTILE.INC(_xlfn._xlws.FILTER($U$2:$U$197, ($L$2:$L$197=L57)*($AA$2:$AA$197=1)),0.1),
                         U57&lt;=_xlfn.PERCENTILE.INC(_xlfn._xlws.FILTER($U$2:$U$197, ($L$3:$L$198=L57)*($AA$2:$AA$197=1)),0.9)
               ),1,0),
0)</f>
        <v>0</v>
      </c>
      <c r="AD57" s="134"/>
      <c r="AE57" s="4" t="s">
        <v>417</v>
      </c>
      <c r="AF57" s="4"/>
    </row>
    <row r="58" spans="1:33" s="10" customFormat="1" x14ac:dyDescent="0.25">
      <c r="A58" s="8" t="s">
        <v>310</v>
      </c>
      <c r="B58" s="21"/>
      <c r="C58" s="225">
        <v>122</v>
      </c>
      <c r="D58" s="2" t="s">
        <v>308</v>
      </c>
      <c r="E58" s="3" t="s">
        <v>311</v>
      </c>
      <c r="F58" s="3"/>
      <c r="G58" s="32">
        <v>44849</v>
      </c>
      <c r="H58" s="32">
        <v>46674</v>
      </c>
      <c r="I58" s="32" t="s">
        <v>70</v>
      </c>
      <c r="J58" s="92" t="s">
        <v>114</v>
      </c>
      <c r="K58" s="6" t="s">
        <v>337</v>
      </c>
      <c r="L58" s="2" t="s">
        <v>323</v>
      </c>
      <c r="M58" s="100" t="s">
        <v>330</v>
      </c>
      <c r="N58" s="2" t="s">
        <v>427</v>
      </c>
      <c r="O58" s="26" t="s">
        <v>119</v>
      </c>
      <c r="P58" s="26">
        <v>480</v>
      </c>
      <c r="Q58" s="3" t="s">
        <v>427</v>
      </c>
      <c r="R58" s="3" t="s">
        <v>427</v>
      </c>
      <c r="S58" s="3" t="s">
        <v>427</v>
      </c>
      <c r="T58" s="112" t="s">
        <v>427</v>
      </c>
      <c r="U58" s="107">
        <f>SUM(Table2[[#This Row],[A1toA3_GWP]:[C1toC4_GWP]])</f>
        <v>108.33333333333303</v>
      </c>
      <c r="V58" s="24">
        <f>(-697)/Table2[[#This Row],[DENSITY]]*1000</f>
        <v>-1452.0833333333335</v>
      </c>
      <c r="W58" s="121">
        <f>(0.42+2.58+746)/Table2[[#This Row],[DENSITY]]*1000</f>
        <v>1560.4166666666665</v>
      </c>
      <c r="X58" s="154">
        <f>SUM(Table2[[#This Row],[A1toA3_GWP-biogenic]:[C1toC4_GWP-biogenic]])</f>
        <v>7.3312499998792191E-3</v>
      </c>
      <c r="Y58" s="78">
        <f>(-746)/Table2[[#This Row],[DENSITY]]*1000</f>
        <v>-1554.1666666666667</v>
      </c>
      <c r="Z58" s="198">
        <f>(2.49*10^-4+3.27*10^-3+7.46*10^2)/Table2[[#This Row],[DENSITY]]*1000</f>
        <v>1554.1739979166666</v>
      </c>
      <c r="AA58" s="84">
        <f ca="1">IF(OR($E58="Ecoinvent",$E58="Betonsortenrechner",$E58="KBOB",$U58&lt;=0,Table2[[#This Row],[VALID_TO]]&lt;=TODAY()),0,1)</f>
        <v>1</v>
      </c>
      <c r="AB58" s="154">
        <f ca="1">IF(Table2[[#This Row],[VALID_TO]]&gt;=TODAY(), 1, 0)</f>
        <v>1</v>
      </c>
      <c r="AC58" s="246" cm="1">
        <f t="array" aca="1" ref="AC58" ca="1">IF($AA58&lt;&gt;0,
IF(AND(
                         U58&gt;=_xlfn.PERCENTILE.INC(_xlfn._xlws.FILTER($U$2:$U$197, ($L$2:$L$197=L58)*($AA$2:$AA$197=1)),0.1),
                         U58&lt;=_xlfn.PERCENTILE.INC(_xlfn._xlws.FILTER($U$2:$U$197, ($L$3:$L$198=L58)*($AA$2:$AA$197=1)),0.9)
               ),1,0),
0)</f>
        <v>0</v>
      </c>
      <c r="AD58" s="131"/>
      <c r="AE58" s="2" t="s">
        <v>420</v>
      </c>
      <c r="AF58" s="2"/>
      <c r="AG58"/>
    </row>
    <row r="59" spans="1:33" s="10" customFormat="1" x14ac:dyDescent="0.25">
      <c r="A59" s="8" t="s">
        <v>314</v>
      </c>
      <c r="B59" s="21"/>
      <c r="C59" s="222">
        <v>123</v>
      </c>
      <c r="D59" s="2" t="s">
        <v>312</v>
      </c>
      <c r="E59" s="3" t="s">
        <v>313</v>
      </c>
      <c r="F59" s="3"/>
      <c r="G59" s="32">
        <v>44406</v>
      </c>
      <c r="H59" s="32">
        <v>46151</v>
      </c>
      <c r="I59" s="32" t="s">
        <v>249</v>
      </c>
      <c r="J59" s="92" t="s">
        <v>114</v>
      </c>
      <c r="K59" s="6" t="s">
        <v>337</v>
      </c>
      <c r="L59" s="2" t="s">
        <v>323</v>
      </c>
      <c r="M59" s="100" t="s">
        <v>330</v>
      </c>
      <c r="N59" s="2" t="s">
        <v>427</v>
      </c>
      <c r="O59" s="26" t="s">
        <v>119</v>
      </c>
      <c r="P59" s="26">
        <v>503</v>
      </c>
      <c r="Q59" s="3" t="s">
        <v>427</v>
      </c>
      <c r="R59" s="3" t="s">
        <v>427</v>
      </c>
      <c r="S59" s="3" t="s">
        <v>427</v>
      </c>
      <c r="T59" s="112" t="s">
        <v>427</v>
      </c>
      <c r="U59" s="107">
        <f>SUM(Table2[[#This Row],[A1toA3_GWP]:[C1toC4_GWP]])</f>
        <v>221.63021868787291</v>
      </c>
      <c r="V59" s="24">
        <f>(-696)/Table2[[#This Row],[DENSITY]]*1000</f>
        <v>-1383.6978131212722</v>
      </c>
      <c r="W59" s="121">
        <f>(1.48+806)/Table2[[#This Row],[DENSITY]]*1000</f>
        <v>1605.3280318091452</v>
      </c>
      <c r="X59" s="154">
        <f>SUM(Table2[[#This Row],[A1toA3_GWP-biogenic]:[C1toC4_GWP-biogenic]])</f>
        <v>7.9474155069583503</v>
      </c>
      <c r="Y59" s="78">
        <f>(-798)/Table2[[#This Row],[DENSITY]]*1000</f>
        <v>-1586.4811133200797</v>
      </c>
      <c r="Z59" s="198">
        <f>(-2.45*10^-3+8.02*10^2)/Table2[[#This Row],[DENSITY]]*1000</f>
        <v>1594.428528827038</v>
      </c>
      <c r="AA59" s="84">
        <f ca="1">IF(OR($E59="Ecoinvent",$E59="Betonsortenrechner",$E59="KBOB",$U59&lt;=0,Table2[[#This Row],[VALID_TO]]&lt;=TODAY()),0,1)</f>
        <v>1</v>
      </c>
      <c r="AB59" s="154">
        <f ca="1">IF(Table2[[#This Row],[VALID_TO]]&gt;=TODAY(), 1, 0)</f>
        <v>1</v>
      </c>
      <c r="AC59" s="246" cm="1">
        <f t="array" aca="1" ref="AC59" ca="1">IF($AA59&lt;&gt;0,
IF(AND(
                         U59&gt;=_xlfn.PERCENTILE.INC(_xlfn._xlws.FILTER($U$2:$U$197, ($L$2:$L$197=L59)*($AA$2:$AA$197=1)),0.1),
                         U59&lt;=_xlfn.PERCENTILE.INC(_xlfn._xlws.FILTER($U$2:$U$197, ($L$3:$L$198=L59)*($AA$2:$AA$197=1)),0.9)
               ),1,0),
0)</f>
        <v>1</v>
      </c>
      <c r="AD59" s="131"/>
      <c r="AE59" s="2" t="s">
        <v>421</v>
      </c>
      <c r="AF59" s="2"/>
      <c r="AG59"/>
    </row>
    <row r="60" spans="1:33" s="10" customFormat="1" x14ac:dyDescent="0.25">
      <c r="A60" s="8" t="s">
        <v>316</v>
      </c>
      <c r="B60" s="21"/>
      <c r="C60" s="225">
        <v>124</v>
      </c>
      <c r="D60" s="2" t="s">
        <v>315</v>
      </c>
      <c r="E60" s="3" t="s">
        <v>245</v>
      </c>
      <c r="F60" s="3"/>
      <c r="G60" s="32">
        <v>44237</v>
      </c>
      <c r="H60" s="32">
        <v>46064</v>
      </c>
      <c r="I60" s="32" t="s">
        <v>317</v>
      </c>
      <c r="J60" s="92" t="s">
        <v>114</v>
      </c>
      <c r="K60" s="6" t="s">
        <v>337</v>
      </c>
      <c r="L60" s="2" t="s">
        <v>323</v>
      </c>
      <c r="M60" s="100" t="s">
        <v>330</v>
      </c>
      <c r="N60" s="2" t="s">
        <v>427</v>
      </c>
      <c r="O60" s="26" t="s">
        <v>119</v>
      </c>
      <c r="P60" s="26">
        <v>426</v>
      </c>
      <c r="Q60" s="3" t="s">
        <v>427</v>
      </c>
      <c r="R60" s="3" t="s">
        <v>427</v>
      </c>
      <c r="S60" s="3" t="s">
        <v>427</v>
      </c>
      <c r="T60" s="112" t="s">
        <v>427</v>
      </c>
      <c r="U60" s="107">
        <f>SUM(Table2[[#This Row],[A1toA3_GWP]:[C1toC4_GWP]])</f>
        <v>136.03289107981232</v>
      </c>
      <c r="V60" s="24">
        <f>(-698)/Table2[[#This Row],[DENSITY]]*1000</f>
        <v>-1638.4976525821596</v>
      </c>
      <c r="W60" s="121">
        <f>(1.16*10^-5+1.95+754)/Table2[[#This Row],[DENSITY]]*1000</f>
        <v>1774.5305436619719</v>
      </c>
      <c r="X60" s="154">
        <f>SUM(Table2[[#This Row],[A1toA3_GWP-biogenic]:[C1toC4_GWP-biogenic]])</f>
        <v>1.5962489201228891E-3</v>
      </c>
      <c r="Y60" s="78">
        <f>(-733)/Table2[[#This Row],[DENSITY]]*1000</f>
        <v>-1720.6572769953052</v>
      </c>
      <c r="Z60" s="198">
        <f>(2.04*10^-9+6.8*10^-4+7.33*10^2)/Table2[[#This Row],[DENSITY]]*1000</f>
        <v>1720.6588732442253</v>
      </c>
      <c r="AA60" s="84">
        <f ca="1">IF(OR($E60="Ecoinvent",$E60="Betonsortenrechner",$E60="KBOB",$U60&lt;=0,Table2[[#This Row],[VALID_TO]]&lt;=TODAY()),0,1)</f>
        <v>0</v>
      </c>
      <c r="AB60" s="154">
        <f ca="1">IF(Table2[[#This Row],[VALID_TO]]&gt;=TODAY(), 1, 0)</f>
        <v>0</v>
      </c>
      <c r="AC60" s="246" cm="1">
        <f t="array" aca="1" ref="AC60" ca="1">IF($AA60&lt;&gt;0,
IF(AND(
                         U60&gt;=_xlfn.PERCENTILE.INC(_xlfn._xlws.FILTER($U$2:$U$197, ($L$2:$L$197=L60)*($AA$2:$AA$197=1)),0.1),
                         U60&lt;=_xlfn.PERCENTILE.INC(_xlfn._xlws.FILTER($U$2:$U$197, ($L$3:$L$198=L60)*($AA$2:$AA$197=1)),0.9)
               ),1,0),
0)</f>
        <v>0</v>
      </c>
      <c r="AD60" s="131"/>
      <c r="AE60" s="2" t="s">
        <v>422</v>
      </c>
      <c r="AF60" s="2" t="s">
        <v>424</v>
      </c>
      <c r="AG60"/>
    </row>
    <row r="61" spans="1:33" s="10" customFormat="1" x14ac:dyDescent="0.25">
      <c r="A61" s="8" t="s">
        <v>318</v>
      </c>
      <c r="B61" s="21"/>
      <c r="C61" s="222">
        <v>125</v>
      </c>
      <c r="D61" s="2" t="s">
        <v>319</v>
      </c>
      <c r="E61" s="3" t="s">
        <v>320</v>
      </c>
      <c r="F61" s="3"/>
      <c r="G61" s="32">
        <v>44846</v>
      </c>
      <c r="H61" s="32">
        <v>46659</v>
      </c>
      <c r="I61" s="32" t="s">
        <v>321</v>
      </c>
      <c r="J61" s="92" t="s">
        <v>114</v>
      </c>
      <c r="K61" s="6" t="s">
        <v>337</v>
      </c>
      <c r="L61" s="2" t="s">
        <v>323</v>
      </c>
      <c r="M61" s="100" t="s">
        <v>330</v>
      </c>
      <c r="N61" s="2" t="s">
        <v>427</v>
      </c>
      <c r="O61" s="26" t="s">
        <v>119</v>
      </c>
      <c r="P61" s="26">
        <v>523</v>
      </c>
      <c r="Q61" s="3" t="s">
        <v>427</v>
      </c>
      <c r="R61" s="3" t="s">
        <v>427</v>
      </c>
      <c r="S61" s="3" t="s">
        <v>427</v>
      </c>
      <c r="T61" s="112" t="s">
        <v>427</v>
      </c>
      <c r="U61" s="107">
        <f>SUM(Table2[[#This Row],[A1toA3_GWP]:[C1toC4_GWP]])</f>
        <v>105.68068833651978</v>
      </c>
      <c r="V61" s="24">
        <f>(-752)/Table2[[#This Row],[DENSITY]]*1000</f>
        <v>-1437.8585086042067</v>
      </c>
      <c r="W61" s="121">
        <f>(0.341+6.93+800)/Table2[[#This Row],[DENSITY]]*1000</f>
        <v>1543.5391969407265</v>
      </c>
      <c r="X61" s="154">
        <f>SUM(Table2[[#This Row],[A1toA3_GWP-biogenic]:[C1toC4_GWP-biogenic]])</f>
        <v>1.9601147227533602</v>
      </c>
      <c r="Y61" s="78">
        <f>(-786)/Table2[[#This Row],[DENSITY]]*1000</f>
        <v>-1502.8680688336519</v>
      </c>
      <c r="Z61" s="121">
        <f>(1.14*10^-3+2.4*10^-2+7.87*10^2)/Table2[[#This Row],[DENSITY]]*1000</f>
        <v>1504.8281835564053</v>
      </c>
      <c r="AA61" s="84">
        <f ca="1">IF(OR($E61="Ecoinvent",$E61="Betonsortenrechner",$E61="KBOB",$U61&lt;=0,Table2[[#This Row],[VALID_TO]]&lt;=TODAY()),0,1)</f>
        <v>1</v>
      </c>
      <c r="AB61" s="154">
        <f ca="1">IF(Table2[[#This Row],[VALID_TO]]&gt;=TODAY(), 1, 0)</f>
        <v>1</v>
      </c>
      <c r="AC61" s="246" cm="1">
        <f t="array" aca="1" ref="AC61" ca="1">IF($AA61&lt;&gt;0,
IF(AND(
                         U61&gt;=_xlfn.PERCENTILE.INC(_xlfn._xlws.FILTER($U$2:$U$197, ($L$2:$L$197=L61)*($AA$2:$AA$197=1)),0.1),
                         U61&lt;=_xlfn.PERCENTILE.INC(_xlfn._xlws.FILTER($U$2:$U$197, ($L$3:$L$198=L61)*($AA$2:$AA$197=1)),0.9)
               ),1,0),
0)</f>
        <v>0</v>
      </c>
      <c r="AD61" s="131"/>
      <c r="AE61" s="2" t="s">
        <v>426</v>
      </c>
      <c r="AF61" s="2" t="s">
        <v>425</v>
      </c>
      <c r="AG61"/>
    </row>
    <row r="62" spans="1:33" s="10" customFormat="1" x14ac:dyDescent="0.25">
      <c r="A62" s="83" t="s">
        <v>342</v>
      </c>
      <c r="B62" s="157"/>
      <c r="C62" s="218">
        <v>3</v>
      </c>
      <c r="D62" s="11" t="s">
        <v>19</v>
      </c>
      <c r="E62" s="12" t="s">
        <v>11</v>
      </c>
      <c r="F62" s="12"/>
      <c r="G62" s="34" t="s">
        <v>427</v>
      </c>
      <c r="H62" s="25" t="s">
        <v>427</v>
      </c>
      <c r="I62" s="25" t="s">
        <v>53</v>
      </c>
      <c r="J62" s="90"/>
      <c r="K62" s="44" t="s">
        <v>332</v>
      </c>
      <c r="L62" s="11" t="s">
        <v>324</v>
      </c>
      <c r="M62" s="98" t="s">
        <v>325</v>
      </c>
      <c r="N62" s="11" t="s">
        <v>14</v>
      </c>
      <c r="O62" s="25" t="s">
        <v>8</v>
      </c>
      <c r="P62" s="25">
        <v>2320</v>
      </c>
      <c r="Q62" s="12" t="s">
        <v>427</v>
      </c>
      <c r="R62" s="12" t="s">
        <v>427</v>
      </c>
      <c r="S62" s="12" t="s">
        <v>427</v>
      </c>
      <c r="T62" s="110" t="s">
        <v>427</v>
      </c>
      <c r="U62" s="47">
        <f>SUM(Table2[[#This Row],[A1toA3_GWP]:[C1toC4_GWP]])</f>
        <v>75.431034482758619</v>
      </c>
      <c r="V62" s="22">
        <f>175/Table2[[#This Row],[DENSITY]]*1000</f>
        <v>75.431034482758619</v>
      </c>
      <c r="W62" s="119" t="s">
        <v>427</v>
      </c>
      <c r="X62" s="150"/>
      <c r="Y62" s="150"/>
      <c r="Z62" s="119"/>
      <c r="AA62" s="47">
        <f ca="1">IF(OR($E62="Ecoinvent",$E62="Betonsortenrechner",$E62="KBOB",$U62&lt;=0,Table2[[#This Row],[VALID_TO]]&lt;=TODAY()),0,1)</f>
        <v>0</v>
      </c>
      <c r="AB62" s="150">
        <v>0</v>
      </c>
      <c r="AC62" s="212" cm="1">
        <f t="array" aca="1" ref="AC62" ca="1">IF($AA62&lt;&gt;0,
IF(AND(
                         U62&gt;=_xlfn.PERCENTILE.INC(_xlfn._xlws.FILTER($U$2:$U$197, ($M$2:$M$197=M62)*($AA$2:$AA$197=1)),0.1),
                         U62&lt;=_xlfn.PERCENTILE.INC(_xlfn._xlws.FILTER($U$2:$U$197, ($M$2:$M$197=M62)*($AA$2:$AA$197=1)),0.9)
               ),1,0),
0)</f>
        <v>0</v>
      </c>
      <c r="AD62" s="129"/>
      <c r="AE62" s="11"/>
      <c r="AF62" s="11"/>
      <c r="AG62"/>
    </row>
    <row r="63" spans="1:33" s="10" customFormat="1" x14ac:dyDescent="0.25">
      <c r="A63" s="83" t="s">
        <v>345</v>
      </c>
      <c r="B63" s="157"/>
      <c r="C63" s="218">
        <v>6</v>
      </c>
      <c r="D63" s="11" t="s">
        <v>22</v>
      </c>
      <c r="E63" s="12" t="s">
        <v>11</v>
      </c>
      <c r="F63" s="12"/>
      <c r="G63" s="34" t="s">
        <v>427</v>
      </c>
      <c r="H63" s="25" t="s">
        <v>427</v>
      </c>
      <c r="I63" s="25" t="s">
        <v>53</v>
      </c>
      <c r="J63" s="90"/>
      <c r="K63" s="44" t="s">
        <v>332</v>
      </c>
      <c r="L63" s="11" t="s">
        <v>324</v>
      </c>
      <c r="M63" s="98" t="s">
        <v>325</v>
      </c>
      <c r="N63" s="11" t="s">
        <v>23</v>
      </c>
      <c r="O63" s="25" t="s">
        <v>8</v>
      </c>
      <c r="P63" s="12" t="s">
        <v>427</v>
      </c>
      <c r="Q63" s="12" t="s">
        <v>427</v>
      </c>
      <c r="R63" s="12" t="s">
        <v>427</v>
      </c>
      <c r="S63" s="12" t="s">
        <v>427</v>
      </c>
      <c r="T63" s="110" t="s">
        <v>427</v>
      </c>
      <c r="U63" s="47"/>
      <c r="V63" s="72"/>
      <c r="W63" s="119"/>
      <c r="X63" s="150"/>
      <c r="Y63" s="150"/>
      <c r="Z63" s="119"/>
      <c r="AA63" s="47">
        <f ca="1">IF(OR($E63="Ecoinvent",$E63="Betonsortenrechner",$E63="KBOB",$U63&lt;=0,Table2[[#This Row],[VALID_TO]]&lt;=TODAY()),0,1)</f>
        <v>0</v>
      </c>
      <c r="AB63" s="150">
        <v>0</v>
      </c>
      <c r="AC63" s="212" cm="1">
        <f t="array" aca="1" ref="AC63" ca="1">IF($AA63&lt;&gt;0,
IF(AND(
                         U63&gt;=_xlfn.PERCENTILE.INC(_xlfn._xlws.FILTER($U$2:$U$197, ($M$2:$M$197=M63)*($AA$2:$AA$197=1)),0.1),
                         U63&lt;=_xlfn.PERCENTILE.INC(_xlfn._xlws.FILTER($U$2:$U$197, ($M$2:$M$197=M63)*($AA$2:$AA$197=1)),0.9)
               ),1,0),
0)</f>
        <v>0</v>
      </c>
      <c r="AD63" s="129"/>
      <c r="AE63" s="11"/>
      <c r="AF63" s="11"/>
      <c r="AG63"/>
    </row>
    <row r="64" spans="1:33" s="15" customFormat="1" x14ac:dyDescent="0.25">
      <c r="A64" s="83" t="s">
        <v>349</v>
      </c>
      <c r="B64" s="157"/>
      <c r="C64" s="218">
        <v>10</v>
      </c>
      <c r="D64" s="11" t="s">
        <v>30</v>
      </c>
      <c r="E64" s="12" t="s">
        <v>11</v>
      </c>
      <c r="F64" s="12"/>
      <c r="G64" s="34" t="s">
        <v>427</v>
      </c>
      <c r="H64" s="25" t="s">
        <v>427</v>
      </c>
      <c r="I64" s="25" t="s">
        <v>53</v>
      </c>
      <c r="J64" s="90"/>
      <c r="K64" s="44" t="s">
        <v>332</v>
      </c>
      <c r="L64" s="11" t="s">
        <v>324</v>
      </c>
      <c r="M64" s="98" t="s">
        <v>325</v>
      </c>
      <c r="N64" s="11" t="s">
        <v>31</v>
      </c>
      <c r="O64" s="25" t="s">
        <v>8</v>
      </c>
      <c r="P64" s="12" t="s">
        <v>427</v>
      </c>
      <c r="Q64" s="12" t="s">
        <v>427</v>
      </c>
      <c r="R64" s="12" t="s">
        <v>427</v>
      </c>
      <c r="S64" s="12" t="s">
        <v>427</v>
      </c>
      <c r="T64" s="110" t="s">
        <v>427</v>
      </c>
      <c r="U64" s="47"/>
      <c r="V64" s="72"/>
      <c r="W64" s="119"/>
      <c r="X64" s="150"/>
      <c r="Y64" s="150"/>
      <c r="Z64" s="119"/>
      <c r="AA64" s="150">
        <f ca="1">IF(OR($E64="Ecoinvent",$E64="Betonsortenrechner",$E64="KBOB",$U64&lt;=0,Table2[[#This Row],[VALID_TO]]&lt;=TODAY()),0,1)</f>
        <v>0</v>
      </c>
      <c r="AB64" s="150">
        <v>0</v>
      </c>
      <c r="AC64" s="212" cm="1">
        <f t="array" aca="1" ref="AC64" ca="1">IF($AA64&lt;&gt;0,
IF(AND(
                         U64&gt;=_xlfn.PERCENTILE.INC(_xlfn._xlws.FILTER($U$2:$U$197, ($M$2:$M$197=M64)*($AA$2:$AA$197=1)),0.1),
                         U64&lt;=_xlfn.PERCENTILE.INC(_xlfn._xlws.FILTER($U$2:$U$197, ($M$2:$M$197=M64)*($AA$2:$AA$197=1)),0.9)
               ),1,0),
0)</f>
        <v>0</v>
      </c>
      <c r="AD64" s="129"/>
      <c r="AE64" s="11"/>
      <c r="AF64" s="11"/>
      <c r="AG64"/>
    </row>
    <row r="65" spans="1:33" s="15" customFormat="1" x14ac:dyDescent="0.25">
      <c r="A65" s="85" t="s">
        <v>356</v>
      </c>
      <c r="B65" s="158"/>
      <c r="C65" s="220">
        <v>17</v>
      </c>
      <c r="D65" s="37" t="s">
        <v>427</v>
      </c>
      <c r="E65" s="38" t="s">
        <v>3</v>
      </c>
      <c r="F65" s="158"/>
      <c r="G65" s="171" t="s">
        <v>427</v>
      </c>
      <c r="H65" s="39" t="s">
        <v>427</v>
      </c>
      <c r="I65" s="39" t="s">
        <v>53</v>
      </c>
      <c r="J65" s="91" t="s">
        <v>35</v>
      </c>
      <c r="K65" s="45" t="s">
        <v>332</v>
      </c>
      <c r="L65" s="37" t="s">
        <v>324</v>
      </c>
      <c r="M65" s="99" t="s">
        <v>325</v>
      </c>
      <c r="N65" s="37" t="s">
        <v>2</v>
      </c>
      <c r="O65" s="39" t="s">
        <v>8</v>
      </c>
      <c r="P65" s="39">
        <v>2242</v>
      </c>
      <c r="Q65" s="38" t="s">
        <v>427</v>
      </c>
      <c r="R65" s="38" t="s">
        <v>427</v>
      </c>
      <c r="S65" s="38" t="s">
        <v>427</v>
      </c>
      <c r="T65" s="111" t="s">
        <v>427</v>
      </c>
      <c r="U65" s="61">
        <f>SUM(Table2[[#This Row],[A1toA3_GWP]:[C1toC4_GWP]])</f>
        <v>100.08920606601248</v>
      </c>
      <c r="V65" s="73">
        <f>196/Table2[[#This Row],[DENSITY]]*1000</f>
        <v>87.421944692239066</v>
      </c>
      <c r="W65" s="120">
        <f>28.4/Table2[[#This Row],[DENSITY]]*1000</f>
        <v>12.667261373773416</v>
      </c>
      <c r="X65" s="151"/>
      <c r="Y65" s="151"/>
      <c r="Z65" s="120"/>
      <c r="AA65" s="151">
        <f ca="1">IF(OR($E65="Ecoinvent",$E65="Betonsortenrechner",$E65="KBOB",$U65&lt;=0,Table2[[#This Row],[VALID_TO]]&lt;=TODAY()),0,1)</f>
        <v>0</v>
      </c>
      <c r="AB65" s="151">
        <v>0</v>
      </c>
      <c r="AC65" s="212" cm="1">
        <f t="array" aca="1" ref="AC65" ca="1">IF($AA65&lt;&gt;0,
IF(AND(
                         U65&gt;=_xlfn.PERCENTILE.INC(_xlfn._xlws.FILTER($U$2:$U$197, ($M$2:$M$197=M65)*($AA$2:$AA$197=1)),0.1),
                         U65&lt;=_xlfn.PERCENTILE.INC(_xlfn._xlws.FILTER($U$2:$U$197, ($M$2:$M$197=M65)*($AA$2:$AA$197=1)),0.9)
               ),1,0),
0)</f>
        <v>0</v>
      </c>
      <c r="AD65" s="130"/>
      <c r="AE65" s="37"/>
      <c r="AF65" s="37"/>
      <c r="AG65"/>
    </row>
    <row r="66" spans="1:33" s="15" customFormat="1" x14ac:dyDescent="0.25">
      <c r="A66" s="85" t="s">
        <v>357</v>
      </c>
      <c r="B66" s="158"/>
      <c r="C66" s="220">
        <v>18</v>
      </c>
      <c r="D66" s="37" t="s">
        <v>427</v>
      </c>
      <c r="E66" s="38" t="s">
        <v>3</v>
      </c>
      <c r="F66" s="38"/>
      <c r="G66" s="171" t="s">
        <v>427</v>
      </c>
      <c r="H66" s="39" t="s">
        <v>427</v>
      </c>
      <c r="I66" s="39" t="s">
        <v>53</v>
      </c>
      <c r="J66" s="91" t="s">
        <v>42</v>
      </c>
      <c r="K66" s="45" t="s">
        <v>332</v>
      </c>
      <c r="L66" s="37" t="s">
        <v>324</v>
      </c>
      <c r="M66" s="99" t="s">
        <v>325</v>
      </c>
      <c r="N66" s="37" t="s">
        <v>2</v>
      </c>
      <c r="O66" s="39" t="s">
        <v>8</v>
      </c>
      <c r="P66" s="39">
        <v>2242</v>
      </c>
      <c r="Q66" s="38" t="s">
        <v>427</v>
      </c>
      <c r="R66" s="38" t="s">
        <v>427</v>
      </c>
      <c r="S66" s="38" t="s">
        <v>427</v>
      </c>
      <c r="T66" s="111" t="s">
        <v>427</v>
      </c>
      <c r="U66" s="61">
        <f>SUM(Table2[[#This Row],[A1toA3_GWP]:[C1toC4_GWP]])</f>
        <v>100.08920606601248</v>
      </c>
      <c r="V66" s="73">
        <f>196/Table2[[#This Row],[DENSITY]]*1000</f>
        <v>87.421944692239066</v>
      </c>
      <c r="W66" s="120">
        <f>28.4/Table2[[#This Row],[DENSITY]]*1000</f>
        <v>12.667261373773416</v>
      </c>
      <c r="X66" s="151"/>
      <c r="Y66" s="151"/>
      <c r="Z66" s="120"/>
      <c r="AA66" s="151">
        <f ca="1">IF(OR($E66="Ecoinvent",$E66="Betonsortenrechner",$E66="KBOB",$U66&lt;=0,Table2[[#This Row],[VALID_TO]]&lt;=TODAY()),0,1)</f>
        <v>0</v>
      </c>
      <c r="AB66" s="151">
        <v>0</v>
      </c>
      <c r="AC66" s="212" cm="1">
        <f t="array" aca="1" ref="AC66" ca="1">IF($AA66&lt;&gt;0,
IF(AND(
                         U66&gt;=_xlfn.PERCENTILE.INC(_xlfn._xlws.FILTER($U$2:$U$197, ($M$2:$M$197=M66)*($AA$2:$AA$197=1)),0.1),
                         U66&lt;=_xlfn.PERCENTILE.INC(_xlfn._xlws.FILTER($U$2:$U$197, ($M$2:$M$197=M66)*($AA$2:$AA$197=1)),0.9)
               ),1,0),
0)</f>
        <v>0</v>
      </c>
      <c r="AD66" s="130"/>
      <c r="AE66" s="37"/>
      <c r="AF66" s="37"/>
      <c r="AG66"/>
    </row>
    <row r="67" spans="1:33" s="15" customFormat="1" x14ac:dyDescent="0.25">
      <c r="A67" s="85" t="s">
        <v>358</v>
      </c>
      <c r="B67" s="158"/>
      <c r="C67" s="220">
        <v>19</v>
      </c>
      <c r="D67" s="37" t="s">
        <v>427</v>
      </c>
      <c r="E67" s="38" t="s">
        <v>3</v>
      </c>
      <c r="F67" s="158"/>
      <c r="G67" s="171" t="s">
        <v>427</v>
      </c>
      <c r="H67" s="39" t="s">
        <v>427</v>
      </c>
      <c r="I67" s="39" t="s">
        <v>53</v>
      </c>
      <c r="J67" s="91" t="s">
        <v>6</v>
      </c>
      <c r="K67" s="45" t="s">
        <v>332</v>
      </c>
      <c r="L67" s="37" t="s">
        <v>324</v>
      </c>
      <c r="M67" s="99" t="s">
        <v>325</v>
      </c>
      <c r="N67" s="37" t="s">
        <v>2</v>
      </c>
      <c r="O67" s="39" t="s">
        <v>8</v>
      </c>
      <c r="P67" s="39">
        <v>2242</v>
      </c>
      <c r="Q67" s="38" t="s">
        <v>427</v>
      </c>
      <c r="R67" s="38" t="s">
        <v>427</v>
      </c>
      <c r="S67" s="38" t="s">
        <v>427</v>
      </c>
      <c r="T67" s="111" t="s">
        <v>427</v>
      </c>
      <c r="U67" s="61">
        <f>SUM(Table2[[#This Row],[A1toA3_GWP]:[C1toC4_GWP]])</f>
        <v>100.08920606601248</v>
      </c>
      <c r="V67" s="73">
        <f>196/Table2[[#This Row],[DENSITY]]*1000</f>
        <v>87.421944692239066</v>
      </c>
      <c r="W67" s="120">
        <f>28.4/Table2[[#This Row],[DENSITY]]*1000</f>
        <v>12.667261373773416</v>
      </c>
      <c r="X67" s="151"/>
      <c r="Y67" s="151"/>
      <c r="Z67" s="120"/>
      <c r="AA67" s="151">
        <f ca="1">IF(OR($E67="Ecoinvent",$E67="Betonsortenrechner",$E67="KBOB",$U67&lt;=0,Table2[[#This Row],[VALID_TO]]&lt;=TODAY()),0,1)</f>
        <v>0</v>
      </c>
      <c r="AB67" s="151">
        <v>0</v>
      </c>
      <c r="AC67" s="212" cm="1">
        <f t="array" aca="1" ref="AC67" ca="1">IF($AA67&lt;&gt;0,
IF(AND(
                         U67&gt;=_xlfn.PERCENTILE.INC(_xlfn._xlws.FILTER($U$2:$U$197, ($M$2:$M$197=M67)*($AA$2:$AA$197=1)),0.1),
                         U67&lt;=_xlfn.PERCENTILE.INC(_xlfn._xlws.FILTER($U$2:$U$197, ($M$2:$M$197=M67)*($AA$2:$AA$197=1)),0.9)
               ),1,0),
0)</f>
        <v>0</v>
      </c>
      <c r="AD67" s="130"/>
      <c r="AE67" s="37"/>
      <c r="AF67" s="37"/>
      <c r="AG67"/>
    </row>
    <row r="68" spans="1:33" s="15" customFormat="1" x14ac:dyDescent="0.25">
      <c r="A68" s="85" t="s">
        <v>359</v>
      </c>
      <c r="B68" s="158"/>
      <c r="C68" s="220">
        <v>20</v>
      </c>
      <c r="D68" s="37" t="s">
        <v>427</v>
      </c>
      <c r="E68" s="38" t="s">
        <v>3</v>
      </c>
      <c r="F68" s="38"/>
      <c r="G68" s="171" t="s">
        <v>427</v>
      </c>
      <c r="H68" s="39" t="s">
        <v>427</v>
      </c>
      <c r="I68" s="39" t="s">
        <v>53</v>
      </c>
      <c r="J68" s="91" t="s">
        <v>35</v>
      </c>
      <c r="K68" s="45" t="s">
        <v>332</v>
      </c>
      <c r="L68" s="37" t="s">
        <v>324</v>
      </c>
      <c r="M68" s="99" t="s">
        <v>325</v>
      </c>
      <c r="N68" s="37" t="s">
        <v>43</v>
      </c>
      <c r="O68" s="39" t="s">
        <v>8</v>
      </c>
      <c r="P68" s="39">
        <v>2242</v>
      </c>
      <c r="Q68" s="38" t="s">
        <v>427</v>
      </c>
      <c r="R68" s="38" t="s">
        <v>427</v>
      </c>
      <c r="S68" s="38" t="s">
        <v>427</v>
      </c>
      <c r="T68" s="111" t="s">
        <v>427</v>
      </c>
      <c r="U68" s="61">
        <f>SUM(Table2[[#This Row],[A1toA3_GWP]:[C1toC4_GWP]])</f>
        <v>94.736842105263165</v>
      </c>
      <c r="V68" s="73">
        <f>184/Table2[[#This Row],[DENSITY]]*1000</f>
        <v>82.069580731489751</v>
      </c>
      <c r="W68" s="120">
        <f>28.4/Table2[[#This Row],[DENSITY]]*1000</f>
        <v>12.667261373773416</v>
      </c>
      <c r="X68" s="151"/>
      <c r="Y68" s="151"/>
      <c r="Z68" s="120"/>
      <c r="AA68" s="151">
        <f ca="1">IF(OR($E68="Ecoinvent",$E68="Betonsortenrechner",$E68="KBOB",$U68&lt;=0,Table2[[#This Row],[VALID_TO]]&lt;=TODAY()),0,1)</f>
        <v>0</v>
      </c>
      <c r="AB68" s="151">
        <v>0</v>
      </c>
      <c r="AC68" s="212" cm="1">
        <f t="array" aca="1" ref="AC68" ca="1">IF($AA68&lt;&gt;0,
IF(AND(
                         U68&gt;=_xlfn.PERCENTILE.INC(_xlfn._xlws.FILTER($U$2:$U$197, ($M$2:$M$197=M68)*($AA$2:$AA$197=1)),0.1),
                         U68&lt;=_xlfn.PERCENTILE.INC(_xlfn._xlws.FILTER($U$2:$U$197, ($M$2:$M$197=M68)*($AA$2:$AA$197=1)),0.9)
               ),1,0),
0)</f>
        <v>0</v>
      </c>
      <c r="AD68" s="130"/>
      <c r="AE68" s="37"/>
      <c r="AF68" s="37"/>
      <c r="AG68"/>
    </row>
    <row r="69" spans="1:33" x14ac:dyDescent="0.25">
      <c r="A69" s="8" t="s">
        <v>202</v>
      </c>
      <c r="B69" s="21"/>
      <c r="C69" s="222">
        <v>24</v>
      </c>
      <c r="D69" s="2" t="s">
        <v>34</v>
      </c>
      <c r="E69" s="3" t="s">
        <v>44</v>
      </c>
      <c r="F69" s="3"/>
      <c r="G69" s="32">
        <v>45068</v>
      </c>
      <c r="H69" s="32">
        <v>46894</v>
      </c>
      <c r="I69" s="26" t="s">
        <v>53</v>
      </c>
      <c r="J69" s="92" t="s">
        <v>35</v>
      </c>
      <c r="K69" s="46" t="s">
        <v>332</v>
      </c>
      <c r="L69" s="2" t="s">
        <v>324</v>
      </c>
      <c r="M69" s="100" t="s">
        <v>325</v>
      </c>
      <c r="N69" s="2" t="s">
        <v>427</v>
      </c>
      <c r="O69" s="26" t="s">
        <v>8</v>
      </c>
      <c r="P69" s="26">
        <v>2439</v>
      </c>
      <c r="Q69" s="3" t="s">
        <v>85</v>
      </c>
      <c r="R69" s="3">
        <v>32</v>
      </c>
      <c r="S69" s="3">
        <v>0.1</v>
      </c>
      <c r="T69" s="112" t="s">
        <v>46</v>
      </c>
      <c r="U69" s="84">
        <f>SUM(Table2[[#This Row],[A1toA3_GWP]:[C1toC4_GWP]])</f>
        <v>78.746617466174669</v>
      </c>
      <c r="V69" s="24">
        <f>174.764/Table2[[#This Row],[DENSITY]]*1000</f>
        <v>71.653956539565399</v>
      </c>
      <c r="W69" s="121">
        <f>(7.278+9.812+0.209)/Table2[[#This Row],[DENSITY]]*1000</f>
        <v>7.0926609266092653</v>
      </c>
      <c r="X69" s="78"/>
      <c r="Y69" s="78"/>
      <c r="Z69" s="121"/>
      <c r="AA69" s="84">
        <f ca="1">IF(OR($E69="Ecoinvent",$E69="Betonsortenrechner",$E69="KBOB",$U69&lt;=0,Table2[[#This Row],[VALID_TO]]&lt;=TODAY()),0,1)</f>
        <v>1</v>
      </c>
      <c r="AB69" s="154">
        <f ca="1">IF(Table2[[#This Row],[VALID_TO]]&gt;=TODAY(), 1, 0)</f>
        <v>1</v>
      </c>
      <c r="AC69" s="246" cm="1">
        <f t="array" aca="1" ref="AC69" ca="1">IF($AA69&lt;&gt;0,
IF(AND(
                         U69&gt;=_xlfn.PERCENTILE.INC(_xlfn._xlws.FILTER($U$2:$U$197, ($M$2:$M$197=M69)*($AA$2:$AA$197=1)),0.1),
                         U69&lt;=_xlfn.PERCENTILE.INC(_xlfn._xlws.FILTER($U$2:$U$197, ($M$2:$M$197=M69)*($AA$2:$AA$197=1)),0.9)
               ),1,0),
0)</f>
        <v>1</v>
      </c>
      <c r="AD69" s="131"/>
      <c r="AE69" s="2"/>
      <c r="AF69" s="2"/>
    </row>
    <row r="70" spans="1:33" x14ac:dyDescent="0.25">
      <c r="A70" s="8" t="s">
        <v>204</v>
      </c>
      <c r="B70" s="21"/>
      <c r="C70" s="222">
        <v>26</v>
      </c>
      <c r="D70" s="2" t="s">
        <v>88</v>
      </c>
      <c r="E70" s="3" t="s">
        <v>44</v>
      </c>
      <c r="F70" s="3"/>
      <c r="G70" s="32">
        <v>45068</v>
      </c>
      <c r="H70" s="32">
        <v>46894</v>
      </c>
      <c r="I70" s="26" t="s">
        <v>53</v>
      </c>
      <c r="J70" s="92" t="s">
        <v>89</v>
      </c>
      <c r="K70" s="46" t="s">
        <v>332</v>
      </c>
      <c r="L70" s="2" t="s">
        <v>324</v>
      </c>
      <c r="M70" s="100" t="s">
        <v>325</v>
      </c>
      <c r="N70" s="2" t="s">
        <v>427</v>
      </c>
      <c r="O70" s="26" t="s">
        <v>8</v>
      </c>
      <c r="P70" s="26">
        <v>2437</v>
      </c>
      <c r="Q70" s="3" t="s">
        <v>90</v>
      </c>
      <c r="R70" s="3">
        <v>32</v>
      </c>
      <c r="S70" s="3">
        <v>0.1</v>
      </c>
      <c r="T70" s="112" t="s">
        <v>87</v>
      </c>
      <c r="U70" s="84">
        <f>SUM(Table2[[#This Row],[A1toA3_GWP]:[C1toC4_GWP]])</f>
        <v>84.09766105867871</v>
      </c>
      <c r="V70" s="24">
        <f>187.822/Table2[[#This Row],[DENSITY]]*1000</f>
        <v>77.070988920804268</v>
      </c>
      <c r="W70" s="121">
        <f>(7.278+9.64+0.206)/Table2[[#This Row],[DENSITY]]*1000</f>
        <v>7.026672137874435</v>
      </c>
      <c r="X70" s="78"/>
      <c r="Y70" s="78"/>
      <c r="Z70" s="121"/>
      <c r="AA70" s="84">
        <f ca="1">IF(OR($E70="Ecoinvent",$E70="Betonsortenrechner",$E70="KBOB",$U70&lt;=0,Table2[[#This Row],[VALID_TO]]&lt;=TODAY()),0,1)</f>
        <v>1</v>
      </c>
      <c r="AB70" s="154">
        <f ca="1">IF(Table2[[#This Row],[VALID_TO]]&gt;=TODAY(), 1, 0)</f>
        <v>1</v>
      </c>
      <c r="AC70" s="246" cm="1">
        <f t="array" aca="1" ref="AC70" ca="1">IF($AA70&lt;&gt;0,
IF(AND(
                         U70&gt;=_xlfn.PERCENTILE.INC(_xlfn._xlws.FILTER($U$2:$U$197, ($M$2:$M$197=M70)*($AA$2:$AA$197=1)),0.1),
                         U70&lt;=_xlfn.PERCENTILE.INC(_xlfn._xlws.FILTER($U$2:$U$197, ($M$2:$M$197=M70)*($AA$2:$AA$197=1)),0.9)
               ),1,0),
0)</f>
        <v>1</v>
      </c>
      <c r="AD70" s="131"/>
      <c r="AE70" s="2"/>
      <c r="AF70" s="2"/>
    </row>
    <row r="71" spans="1:33" x14ac:dyDescent="0.25">
      <c r="A71" s="8" t="s">
        <v>205</v>
      </c>
      <c r="B71" s="21"/>
      <c r="C71" s="222">
        <v>27</v>
      </c>
      <c r="D71" s="2" t="s">
        <v>91</v>
      </c>
      <c r="E71" s="3" t="s">
        <v>44</v>
      </c>
      <c r="F71" s="3"/>
      <c r="G71" s="32">
        <v>45068</v>
      </c>
      <c r="H71" s="32">
        <v>46894</v>
      </c>
      <c r="I71" s="26" t="s">
        <v>53</v>
      </c>
      <c r="J71" s="92" t="s">
        <v>92</v>
      </c>
      <c r="K71" s="46" t="s">
        <v>332</v>
      </c>
      <c r="L71" s="2" t="s">
        <v>324</v>
      </c>
      <c r="M71" s="100" t="s">
        <v>325</v>
      </c>
      <c r="N71" s="2" t="s">
        <v>427</v>
      </c>
      <c r="O71" s="26" t="s">
        <v>8</v>
      </c>
      <c r="P71" s="26">
        <v>2400</v>
      </c>
      <c r="Q71" s="3" t="s">
        <v>93</v>
      </c>
      <c r="R71" s="3">
        <v>32</v>
      </c>
      <c r="S71" s="3">
        <v>0.1</v>
      </c>
      <c r="T71" s="112" t="s">
        <v>87</v>
      </c>
      <c r="U71" s="84">
        <f>SUM(Table2[[#This Row],[A1toA3_GWP]:[C1toC4_GWP]])</f>
        <v>87.324999999999989</v>
      </c>
      <c r="V71" s="24">
        <f>192.159/Table2[[#This Row],[DENSITY]]*1000</f>
        <v>80.066249999999997</v>
      </c>
      <c r="W71" s="121">
        <f>(7.278+9.931+0.212)/Table2[[#This Row],[DENSITY]]*1000</f>
        <v>7.2587499999999991</v>
      </c>
      <c r="X71" s="78"/>
      <c r="Y71" s="78"/>
      <c r="Z71" s="121"/>
      <c r="AA71" s="84">
        <f ca="1">IF(OR($E71="Ecoinvent",$E71="Betonsortenrechner",$E71="KBOB",$U71&lt;=0,Table2[[#This Row],[VALID_TO]]&lt;=TODAY()),0,1)</f>
        <v>1</v>
      </c>
      <c r="AB71" s="154">
        <f ca="1">IF(Table2[[#This Row],[VALID_TO]]&gt;=TODAY(), 1, 0)</f>
        <v>1</v>
      </c>
      <c r="AC71" s="246" cm="1">
        <f t="array" aca="1" ref="AC71" ca="1">IF($AA71&lt;&gt;0,
IF(AND(
                         U71&gt;=_xlfn.PERCENTILE.INC(_xlfn._xlws.FILTER($U$2:$U$197, ($M$2:$M$197=M71)*($AA$2:$AA$197=1)),0.1),
                         U71&lt;=_xlfn.PERCENTILE.INC(_xlfn._xlws.FILTER($U$2:$U$197, ($M$2:$M$197=M71)*($AA$2:$AA$197=1)),0.9)
               ),1,0),
0)</f>
        <v>1</v>
      </c>
      <c r="AD71" s="131"/>
      <c r="AE71" s="2"/>
      <c r="AF71" s="2"/>
    </row>
    <row r="72" spans="1:33" x14ac:dyDescent="0.25">
      <c r="A72" s="136" t="s">
        <v>490</v>
      </c>
      <c r="B72" s="137"/>
      <c r="C72" s="223">
        <v>34</v>
      </c>
      <c r="D72" s="16" t="s">
        <v>427</v>
      </c>
      <c r="E72" s="17" t="s">
        <v>479</v>
      </c>
      <c r="F72" s="148" t="s">
        <v>502</v>
      </c>
      <c r="G72" s="35"/>
      <c r="H72" s="35"/>
      <c r="I72" s="30"/>
      <c r="J72" s="94" t="s">
        <v>483</v>
      </c>
      <c r="K72" s="138" t="s">
        <v>332</v>
      </c>
      <c r="L72" s="16" t="s">
        <v>324</v>
      </c>
      <c r="M72" s="102" t="s">
        <v>325</v>
      </c>
      <c r="N72" s="16" t="s">
        <v>485</v>
      </c>
      <c r="O72" s="30" t="s">
        <v>8</v>
      </c>
      <c r="P72" s="30">
        <v>2344</v>
      </c>
      <c r="Q72" s="17" t="s">
        <v>427</v>
      </c>
      <c r="R72" s="17" t="s">
        <v>427</v>
      </c>
      <c r="S72" s="17" t="s">
        <v>427</v>
      </c>
      <c r="T72" s="116" t="s">
        <v>427</v>
      </c>
      <c r="U72" s="109">
        <f>SUM(Table2[[#This Row],[A1toA3_GWP]:[C1toC4_GWP]])</f>
        <v>104</v>
      </c>
      <c r="V72" s="77">
        <v>91</v>
      </c>
      <c r="W72" s="124">
        <v>13</v>
      </c>
      <c r="X72" s="152"/>
      <c r="Y72" s="152"/>
      <c r="Z72" s="124"/>
      <c r="AA72" s="109">
        <f ca="1">IF(OR($E72="Ecoinvent",$E72="Betonsortenrechner",$E72="KBOB",$U72&lt;=0,Table2[[#This Row],[VALID_TO]]&lt;=TODAY()),0,1)</f>
        <v>0</v>
      </c>
      <c r="AB72" s="152">
        <v>1</v>
      </c>
      <c r="AC72" s="247" cm="1">
        <f t="array" aca="1" ref="AC72" ca="1">IF($AA72&lt;&gt;0,
IF(AND(
                         U72&gt;=_xlfn.PERCENTILE.INC(_xlfn._xlws.FILTER($U$2:$U$197, ($M$2:$M$197=M72)*($AA$2:$AA$197=1)),0.1),
                         U72&lt;=_xlfn.PERCENTILE.INC(_xlfn._xlws.FILTER($U$2:$U$197, ($M$2:$M$197=M72)*($AA$2:$AA$197=1)),0.9)
               ),1,0),
0)</f>
        <v>0</v>
      </c>
      <c r="AD72" s="135"/>
      <c r="AE72" s="2"/>
      <c r="AF72" s="2"/>
    </row>
    <row r="73" spans="1:33" x14ac:dyDescent="0.25">
      <c r="A73" s="8" t="s">
        <v>260</v>
      </c>
      <c r="B73" s="21" t="s">
        <v>539</v>
      </c>
      <c r="C73" s="225">
        <v>104</v>
      </c>
      <c r="D73" s="2" t="s">
        <v>261</v>
      </c>
      <c r="E73" s="3" t="s">
        <v>121</v>
      </c>
      <c r="F73" s="3"/>
      <c r="G73" s="32"/>
      <c r="H73" s="32"/>
      <c r="I73" s="26"/>
      <c r="J73" s="92"/>
      <c r="K73" s="6" t="s">
        <v>505</v>
      </c>
      <c r="L73" s="2" t="s">
        <v>323</v>
      </c>
      <c r="M73" s="100" t="s">
        <v>509</v>
      </c>
      <c r="N73" s="2" t="s">
        <v>427</v>
      </c>
      <c r="O73" s="26" t="s">
        <v>557</v>
      </c>
      <c r="P73" s="26">
        <v>470</v>
      </c>
      <c r="Q73" s="3" t="s">
        <v>427</v>
      </c>
      <c r="R73" s="3" t="s">
        <v>427</v>
      </c>
      <c r="S73" s="3" t="s">
        <v>427</v>
      </c>
      <c r="T73" s="112" t="s">
        <v>427</v>
      </c>
      <c r="U73" s="107">
        <f>SUM(Table2[[#This Row],[A1toA3_GWP]:[C1toC4_GWP]])</f>
        <v>349.0042553191488</v>
      </c>
      <c r="V73" s="24">
        <f>(-699+7.56+97)/Table2[[#This Row],[DENSITY]]*1000</f>
        <v>-1264.7659574468087</v>
      </c>
      <c r="W73" s="121">
        <f>(0.472+758)/Table2[[#This Row],[DENSITY]]*1000</f>
        <v>1613.7702127659575</v>
      </c>
      <c r="X73" s="154">
        <f>SUM(Table2[[#This Row],[A1toA3_GWP-biogenic]:[C1toC4_GWP-biogenic]])</f>
        <v>0</v>
      </c>
      <c r="Y73" s="78" t="s">
        <v>427</v>
      </c>
      <c r="Z73" s="121" t="s">
        <v>427</v>
      </c>
      <c r="AA73" s="84">
        <f ca="1">IF(OR($E73="Ecoinvent",$E73="Betonsortenrechner",$E73="KBOB",$U73&lt;=0,Table2[[#This Row],[VALID_TO]]&lt;=TODAY()),0,1)</f>
        <v>0</v>
      </c>
      <c r="AB73" s="154">
        <f ca="1">IF(Table2[[#This Row],[VALID_TO]]&gt;=TODAY(), 1, 0)</f>
        <v>0</v>
      </c>
      <c r="AC73" s="213" cm="1">
        <f t="array" aca="1" ref="AC73" ca="1">IF($AA73&lt;&gt;0,
IF(AND(
                         U73&gt;=_xlfn.PERCENTILE.INC(_xlfn._xlws.FILTER($U$2:$U$197, ($L$2:$L$197=L73)*($AA$2:$AA$197=1)),0.1),
                         U73&lt;=_xlfn.PERCENTILE.INC(_xlfn._xlws.FILTER($U$2:$U$197, ($L$3:$L$198=L73)*($AA$2:$AA$197=1)),0.9)
               ),1,0),
0)</f>
        <v>0</v>
      </c>
      <c r="AD73" s="131"/>
      <c r="AE73" s="2"/>
      <c r="AF73" s="2"/>
    </row>
    <row r="74" spans="1:33" x14ac:dyDescent="0.25">
      <c r="A74" s="83" t="s">
        <v>340</v>
      </c>
      <c r="B74" s="157"/>
      <c r="C74" s="218">
        <v>1</v>
      </c>
      <c r="D74" s="11" t="s">
        <v>17</v>
      </c>
      <c r="E74" s="12" t="s">
        <v>11</v>
      </c>
      <c r="F74" s="12"/>
      <c r="G74" s="34" t="s">
        <v>427</v>
      </c>
      <c r="H74" s="25" t="s">
        <v>427</v>
      </c>
      <c r="I74" s="25" t="s">
        <v>53</v>
      </c>
      <c r="J74" s="90"/>
      <c r="K74" s="44" t="s">
        <v>332</v>
      </c>
      <c r="L74" s="11" t="s">
        <v>324</v>
      </c>
      <c r="M74" s="98" t="s">
        <v>325</v>
      </c>
      <c r="N74" s="11" t="s">
        <v>12</v>
      </c>
      <c r="O74" s="25" t="s">
        <v>13</v>
      </c>
      <c r="P74" s="25">
        <v>2400</v>
      </c>
      <c r="Q74" s="12" t="s">
        <v>427</v>
      </c>
      <c r="R74" s="12" t="s">
        <v>427</v>
      </c>
      <c r="S74" s="12" t="s">
        <v>427</v>
      </c>
      <c r="T74" s="110" t="s">
        <v>427</v>
      </c>
      <c r="U74" s="47">
        <f>SUM(Table2[[#This Row],[A1toA3_GWP]:[C1toC4_GWP]])</f>
        <v>104.16666666666667</v>
      </c>
      <c r="V74" s="22">
        <f>250/Table2[[#This Row],[DENSITY]]*1000</f>
        <v>104.16666666666667</v>
      </c>
      <c r="W74" s="119" t="s">
        <v>427</v>
      </c>
      <c r="X74" s="150"/>
      <c r="Y74" s="150"/>
      <c r="Z74" s="119"/>
      <c r="AA74" s="47">
        <f ca="1">IF(OR($E74="Ecoinvent",$E74="Betonsortenrechner",$E74="KBOB",$U74&lt;=0,Table2[[#This Row],[VALID_TO]]&lt;=TODAY()),0,1)</f>
        <v>0</v>
      </c>
      <c r="AB74" s="150">
        <v>0</v>
      </c>
      <c r="AC74" s="247" cm="1">
        <f t="array" aca="1" ref="AC74" ca="1">IF($AA74&lt;&gt;0,
IF(AND(
                         U74&gt;=_xlfn.PERCENTILE.INC(_xlfn._xlws.FILTER($U$2:$U$197, ($M$2:$M$197=M74)*($AA$2:$AA$197=1)),0.1),
                         U74&lt;=_xlfn.PERCENTILE.INC(_xlfn._xlws.FILTER($U$2:$U$197, ($M$2:$M$197=M74)*($AA$2:$AA$197=1)),0.9)
               ),1,0),
0)</f>
        <v>0</v>
      </c>
      <c r="AD74" s="128"/>
      <c r="AE74" s="11"/>
      <c r="AF74" s="11"/>
    </row>
    <row r="75" spans="1:33" x14ac:dyDescent="0.25">
      <c r="A75" s="83" t="s">
        <v>341</v>
      </c>
      <c r="B75" s="157"/>
      <c r="C75" s="218">
        <v>2</v>
      </c>
      <c r="D75" s="11" t="s">
        <v>18</v>
      </c>
      <c r="E75" s="12" t="s">
        <v>11</v>
      </c>
      <c r="F75" s="12"/>
      <c r="G75" s="34" t="s">
        <v>427</v>
      </c>
      <c r="H75" s="25" t="s">
        <v>427</v>
      </c>
      <c r="I75" s="25" t="s">
        <v>53</v>
      </c>
      <c r="J75" s="90"/>
      <c r="K75" s="44" t="s">
        <v>332</v>
      </c>
      <c r="L75" s="11" t="s">
        <v>324</v>
      </c>
      <c r="M75" s="98" t="s">
        <v>325</v>
      </c>
      <c r="N75" s="11" t="s">
        <v>2</v>
      </c>
      <c r="O75" s="25" t="s">
        <v>13</v>
      </c>
      <c r="P75" s="25">
        <v>2400</v>
      </c>
      <c r="Q75" s="12" t="s">
        <v>427</v>
      </c>
      <c r="R75" s="12" t="s">
        <v>427</v>
      </c>
      <c r="S75" s="12" t="s">
        <v>427</v>
      </c>
      <c r="T75" s="110" t="s">
        <v>427</v>
      </c>
      <c r="U75" s="47">
        <f>SUM(Table2[[#This Row],[A1toA3_GWP]:[C1toC4_GWP]])</f>
        <v>84.583333333333329</v>
      </c>
      <c r="V75" s="22">
        <f>203/Table2[[#This Row],[DENSITY]]*1000</f>
        <v>84.583333333333329</v>
      </c>
      <c r="W75" s="119" t="s">
        <v>427</v>
      </c>
      <c r="X75" s="150"/>
      <c r="Y75" s="150"/>
      <c r="Z75" s="119"/>
      <c r="AA75" s="47">
        <f ca="1">IF(OR($E75="Ecoinvent",$E75="Betonsortenrechner",$E75="KBOB",$U75&lt;=0,Table2[[#This Row],[VALID_TO]]&lt;=TODAY()),0,1)</f>
        <v>0</v>
      </c>
      <c r="AB75" s="150">
        <v>0</v>
      </c>
      <c r="AC75" s="247" cm="1">
        <f t="array" aca="1" ref="AC75" ca="1">IF($AA75&lt;&gt;0,
IF(AND(
                         U75&gt;=_xlfn.PERCENTILE.INC(_xlfn._xlws.FILTER($U$2:$U$197, ($M$2:$M$197=M75)*($AA$2:$AA$197=1)),0.1),
                         U75&lt;=_xlfn.PERCENTILE.INC(_xlfn._xlws.FILTER($U$2:$U$197, ($M$2:$M$197=M75)*($AA$2:$AA$197=1)),0.9)
               ),1,0),
0)</f>
        <v>0</v>
      </c>
      <c r="AD75" s="129"/>
      <c r="AE75" s="11"/>
      <c r="AF75" s="11"/>
    </row>
    <row r="76" spans="1:33" x14ac:dyDescent="0.25">
      <c r="A76" s="83" t="s">
        <v>343</v>
      </c>
      <c r="B76" s="157"/>
      <c r="C76" s="218">
        <v>4</v>
      </c>
      <c r="D76" s="11" t="s">
        <v>20</v>
      </c>
      <c r="E76" s="12" t="s">
        <v>11</v>
      </c>
      <c r="F76" s="12"/>
      <c r="G76" s="34" t="s">
        <v>427</v>
      </c>
      <c r="H76" s="25" t="s">
        <v>427</v>
      </c>
      <c r="I76" s="25" t="s">
        <v>53</v>
      </c>
      <c r="J76" s="90"/>
      <c r="K76" s="44" t="s">
        <v>332</v>
      </c>
      <c r="L76" s="11" t="s">
        <v>324</v>
      </c>
      <c r="M76" s="98" t="s">
        <v>325</v>
      </c>
      <c r="N76" s="11" t="s">
        <v>15</v>
      </c>
      <c r="O76" s="25" t="s">
        <v>13</v>
      </c>
      <c r="P76" s="25">
        <v>2390</v>
      </c>
      <c r="Q76" s="12" t="s">
        <v>427</v>
      </c>
      <c r="R76" s="12" t="s">
        <v>427</v>
      </c>
      <c r="S76" s="12" t="s">
        <v>427</v>
      </c>
      <c r="T76" s="110" t="s">
        <v>427</v>
      </c>
      <c r="U76" s="47">
        <f>SUM(Table2[[#This Row],[A1toA3_GWP]:[C1toC4_GWP]])</f>
        <v>76.987447698744774</v>
      </c>
      <c r="V76" s="22">
        <f>184/Table2[[#This Row],[DENSITY]]*1000</f>
        <v>76.987447698744774</v>
      </c>
      <c r="W76" s="119" t="s">
        <v>427</v>
      </c>
      <c r="X76" s="150"/>
      <c r="Y76" s="150"/>
      <c r="Z76" s="202"/>
      <c r="AA76" s="47">
        <f ca="1">IF(OR($E76="Ecoinvent",$E76="Betonsortenrechner",$E76="KBOB",$U76&lt;=0,Table2[[#This Row],[VALID_TO]]&lt;=TODAY()),0,1)</f>
        <v>0</v>
      </c>
      <c r="AB76" s="150">
        <v>0</v>
      </c>
      <c r="AC76" s="247" cm="1">
        <f t="array" aca="1" ref="AC76" ca="1">IF($AA76&lt;&gt;0,
IF(AND(
                         U76&gt;=_xlfn.PERCENTILE.INC(_xlfn._xlws.FILTER($U$2:$U$197, ($M$2:$M$197=M76)*($AA$2:$AA$197=1)),0.1),
                         U76&lt;=_xlfn.PERCENTILE.INC(_xlfn._xlws.FILTER($U$2:$U$197, ($M$2:$M$197=M76)*($AA$2:$AA$197=1)),0.9)
               ),1,0),
0)</f>
        <v>0</v>
      </c>
      <c r="AD76" s="129"/>
      <c r="AE76" s="11"/>
      <c r="AF76" s="11"/>
    </row>
    <row r="77" spans="1:33" x14ac:dyDescent="0.25">
      <c r="A77" s="83" t="s">
        <v>350</v>
      </c>
      <c r="B77" s="157"/>
      <c r="C77" s="218">
        <v>11</v>
      </c>
      <c r="D77" s="11" t="s">
        <v>41</v>
      </c>
      <c r="E77" s="12" t="s">
        <v>11</v>
      </c>
      <c r="F77" s="12"/>
      <c r="G77" s="34" t="s">
        <v>427</v>
      </c>
      <c r="H77" s="25" t="s">
        <v>427</v>
      </c>
      <c r="I77" s="25" t="s">
        <v>53</v>
      </c>
      <c r="J77" s="90"/>
      <c r="K77" s="44" t="s">
        <v>332</v>
      </c>
      <c r="L77" s="11" t="s">
        <v>324</v>
      </c>
      <c r="M77" s="98" t="s">
        <v>325</v>
      </c>
      <c r="N77" s="11" t="s">
        <v>16</v>
      </c>
      <c r="O77" s="25" t="s">
        <v>13</v>
      </c>
      <c r="P77" s="25">
        <v>2400</v>
      </c>
      <c r="Q77" s="12" t="s">
        <v>427</v>
      </c>
      <c r="R77" s="12" t="s">
        <v>427</v>
      </c>
      <c r="S77" s="12" t="s">
        <v>427</v>
      </c>
      <c r="T77" s="110" t="s">
        <v>427</v>
      </c>
      <c r="U77" s="47">
        <f>SUM(Table2[[#This Row],[A1toA3_GWP]:[C1toC4_GWP]])</f>
        <v>89.583333333333329</v>
      </c>
      <c r="V77" s="22">
        <f>215/Table2[[#This Row],[DENSITY]]*1000</f>
        <v>89.583333333333329</v>
      </c>
      <c r="W77" s="119" t="s">
        <v>427</v>
      </c>
      <c r="X77" s="150"/>
      <c r="Y77" s="150"/>
      <c r="Z77" s="202"/>
      <c r="AA77" s="47">
        <f ca="1">IF(OR($E77="Ecoinvent",$E77="Betonsortenrechner",$E77="KBOB",$U77&lt;=0,Table2[[#This Row],[VALID_TO]]&lt;=TODAY()),0,1)</f>
        <v>0</v>
      </c>
      <c r="AB77" s="150">
        <v>0</v>
      </c>
      <c r="AC77" s="247" cm="1">
        <f t="array" aca="1" ref="AC77" ca="1">IF($AA77&lt;&gt;0,
IF(AND(
                         U77&gt;=_xlfn.PERCENTILE.INC(_xlfn._xlws.FILTER($U$2:$U$197, ($M$2:$M$197=M77)*($AA$2:$AA$197=1)),0.1),
                         U77&lt;=_xlfn.PERCENTILE.INC(_xlfn._xlws.FILTER($U$2:$U$197, ($M$2:$M$197=M77)*($AA$2:$AA$197=1)),0.9)
               ),1,0),
0)</f>
        <v>0</v>
      </c>
      <c r="AD77" s="129"/>
      <c r="AE77" s="11"/>
      <c r="AF77" s="11"/>
    </row>
    <row r="78" spans="1:33" x14ac:dyDescent="0.25">
      <c r="A78" s="85" t="s">
        <v>360</v>
      </c>
      <c r="B78" s="158"/>
      <c r="C78" s="220">
        <v>21</v>
      </c>
      <c r="D78" s="37" t="s">
        <v>427</v>
      </c>
      <c r="E78" s="38" t="s">
        <v>3</v>
      </c>
      <c r="F78" s="38"/>
      <c r="G78" s="171" t="s">
        <v>427</v>
      </c>
      <c r="H78" s="39" t="s">
        <v>427</v>
      </c>
      <c r="I78" s="39" t="s">
        <v>53</v>
      </c>
      <c r="J78" s="91" t="s">
        <v>37</v>
      </c>
      <c r="K78" s="45" t="s">
        <v>332</v>
      </c>
      <c r="L78" s="37" t="s">
        <v>324</v>
      </c>
      <c r="M78" s="99" t="s">
        <v>325</v>
      </c>
      <c r="N78" s="37" t="s">
        <v>2</v>
      </c>
      <c r="O78" s="39" t="s">
        <v>13</v>
      </c>
      <c r="P78" s="39">
        <v>2332</v>
      </c>
      <c r="Q78" s="38" t="s">
        <v>427</v>
      </c>
      <c r="R78" s="38" t="s">
        <v>427</v>
      </c>
      <c r="S78" s="38" t="s">
        <v>427</v>
      </c>
      <c r="T78" s="111" t="s">
        <v>427</v>
      </c>
      <c r="U78" s="61">
        <f>SUM(Table2[[#This Row],[A1toA3_GWP]:[C1toC4_GWP]])</f>
        <v>102.22984562607205</v>
      </c>
      <c r="V78" s="73">
        <f>210/Table2[[#This Row],[DENSITY]]*1000</f>
        <v>90.051457975986281</v>
      </c>
      <c r="W78" s="120">
        <f>28.4/Table2[[#This Row],[DENSITY]]*1000</f>
        <v>12.178387650085762</v>
      </c>
      <c r="X78" s="151"/>
      <c r="Y78" s="151"/>
      <c r="Z78" s="203"/>
      <c r="AA78" s="61">
        <f ca="1">IF(OR($E78="Ecoinvent",$E78="Betonsortenrechner",$E78="KBOB",$U78&lt;=0,Table2[[#This Row],[VALID_TO]]&lt;=TODAY()),0,1)</f>
        <v>0</v>
      </c>
      <c r="AB78" s="151">
        <v>0</v>
      </c>
      <c r="AC78" s="247" cm="1">
        <f t="array" aca="1" ref="AC78" ca="1">IF($AA78&lt;&gt;0,
IF(AND(
                         U78&gt;=_xlfn.PERCENTILE.INC(_xlfn._xlws.FILTER($U$2:$U$197, ($M$2:$M$197=M78)*($AA$2:$AA$197=1)),0.1),
                         U78&lt;=_xlfn.PERCENTILE.INC(_xlfn._xlws.FILTER($U$2:$U$197, ($M$2:$M$197=M78)*($AA$2:$AA$197=1)),0.9)
               ),1,0),
0)</f>
        <v>0</v>
      </c>
      <c r="AD78" s="130"/>
      <c r="AE78" s="37"/>
      <c r="AF78" s="37"/>
    </row>
    <row r="79" spans="1:33" x14ac:dyDescent="0.25">
      <c r="A79" s="85" t="s">
        <v>361</v>
      </c>
      <c r="B79" s="158"/>
      <c r="C79" s="220">
        <v>22</v>
      </c>
      <c r="D79" s="37" t="s">
        <v>427</v>
      </c>
      <c r="E79" s="38" t="s">
        <v>3</v>
      </c>
      <c r="F79" s="38"/>
      <c r="G79" s="171" t="s">
        <v>427</v>
      </c>
      <c r="H79" s="39" t="s">
        <v>427</v>
      </c>
      <c r="I79" s="39" t="s">
        <v>53</v>
      </c>
      <c r="J79" s="91" t="s">
        <v>37</v>
      </c>
      <c r="K79" s="45" t="s">
        <v>332</v>
      </c>
      <c r="L79" s="37" t="s">
        <v>324</v>
      </c>
      <c r="M79" s="99" t="s">
        <v>325</v>
      </c>
      <c r="N79" s="37" t="s">
        <v>43</v>
      </c>
      <c r="O79" s="39" t="s">
        <v>13</v>
      </c>
      <c r="P79" s="39">
        <v>2332</v>
      </c>
      <c r="Q79" s="38" t="s">
        <v>427</v>
      </c>
      <c r="R79" s="38" t="s">
        <v>427</v>
      </c>
      <c r="S79" s="38" t="s">
        <v>427</v>
      </c>
      <c r="T79" s="111" t="s">
        <v>427</v>
      </c>
      <c r="U79" s="61">
        <f>SUM(Table2[[#This Row],[A1toA3_GWP]:[C1toC4_GWP]])</f>
        <v>96.655231560891949</v>
      </c>
      <c r="V79" s="73">
        <f>197/Table2[[#This Row],[DENSITY]]*1000</f>
        <v>84.476843910806181</v>
      </c>
      <c r="W79" s="120">
        <f>28.4/Table2[[#This Row],[DENSITY]]*1000</f>
        <v>12.178387650085762</v>
      </c>
      <c r="X79" s="151"/>
      <c r="Y79" s="151"/>
      <c r="Z79" s="203"/>
      <c r="AA79" s="61">
        <f ca="1">IF(OR($E79="Ecoinvent",$E79="Betonsortenrechner",$E79="KBOB",$U79&lt;=0,Table2[[#This Row],[VALID_TO]]&lt;=TODAY()),0,1)</f>
        <v>0</v>
      </c>
      <c r="AB79" s="151">
        <v>0</v>
      </c>
      <c r="AC79" s="247" cm="1">
        <f t="array" aca="1" ref="AC79" ca="1">IF($AA79&lt;&gt;0,
IF(AND(
                         U79&gt;=_xlfn.PERCENTILE.INC(_xlfn._xlws.FILTER($U$2:$U$197, ($M$2:$M$197=M79)*($AA$2:$AA$197=1)),0.1),
                         U79&lt;=_xlfn.PERCENTILE.INC(_xlfn._xlws.FILTER($U$2:$U$197, ($M$2:$M$197=M79)*($AA$2:$AA$197=1)),0.9)
               ),1,0),
0)</f>
        <v>0</v>
      </c>
      <c r="AD79" s="130"/>
      <c r="AE79" s="37"/>
      <c r="AF79" s="37"/>
    </row>
    <row r="80" spans="1:33" x14ac:dyDescent="0.25">
      <c r="A80" s="8" t="s">
        <v>203</v>
      </c>
      <c r="B80" s="21"/>
      <c r="C80" s="222">
        <v>25</v>
      </c>
      <c r="D80" s="2" t="s">
        <v>36</v>
      </c>
      <c r="E80" s="3" t="s">
        <v>44</v>
      </c>
      <c r="F80" s="3"/>
      <c r="G80" s="32">
        <v>45068</v>
      </c>
      <c r="H80" s="32">
        <v>46894</v>
      </c>
      <c r="I80" s="26" t="s">
        <v>53</v>
      </c>
      <c r="J80" s="92" t="s">
        <v>37</v>
      </c>
      <c r="K80" s="46" t="s">
        <v>332</v>
      </c>
      <c r="L80" s="2" t="s">
        <v>324</v>
      </c>
      <c r="M80" s="100" t="s">
        <v>325</v>
      </c>
      <c r="N80" s="2" t="s">
        <v>427</v>
      </c>
      <c r="O80" s="26" t="s">
        <v>13</v>
      </c>
      <c r="P80" s="26">
        <v>2347</v>
      </c>
      <c r="Q80" s="3" t="s">
        <v>86</v>
      </c>
      <c r="R80" s="3">
        <v>32</v>
      </c>
      <c r="S80" s="3">
        <v>0.1</v>
      </c>
      <c r="T80" s="112" t="s">
        <v>87</v>
      </c>
      <c r="U80" s="84">
        <f>SUM(Table2[[#This Row],[A1toA3_GWP]:[C1toC4_GWP]])</f>
        <v>87.201533873029405</v>
      </c>
      <c r="V80" s="24">
        <f>187.792/Table2[[#This Row],[DENSITY]]*1000</f>
        <v>80.013634426927993</v>
      </c>
      <c r="W80" s="121">
        <f>(7.278+9.392+0.2)/Table2[[#This Row],[DENSITY]]*1000</f>
        <v>7.1878994461014054</v>
      </c>
      <c r="X80" s="78"/>
      <c r="Y80" s="78"/>
      <c r="Z80" s="198"/>
      <c r="AA80" s="84">
        <f ca="1">IF(OR($E80="Ecoinvent",$E80="Betonsortenrechner",$E80="KBOB",$U80&lt;=0,Table2[[#This Row],[VALID_TO]]&lt;=TODAY()),0,1)</f>
        <v>1</v>
      </c>
      <c r="AB80" s="154">
        <f ca="1">IF(Table2[[#This Row],[VALID_TO]]&gt;=TODAY(), 1, 0)</f>
        <v>1</v>
      </c>
      <c r="AC80" s="213" cm="1">
        <f t="array" aca="1" ref="AC80" ca="1">IF($AA80&lt;&gt;0,
IF(AND(
                         U80&gt;=_xlfn.PERCENTILE.INC(_xlfn._xlws.FILTER($U$2:$U$197, ($M$2:$M$197=M80)*($AA$2:$AA$197=1)),0.1),
                         U80&lt;=_xlfn.PERCENTILE.INC(_xlfn._xlws.FILTER($U$2:$U$197, ($M$2:$M$197=M80)*($AA$2:$AA$197=1)),0.9)
               ),1,0),
0)</f>
        <v>1</v>
      </c>
      <c r="AD80" s="131"/>
      <c r="AE80" s="2"/>
      <c r="AF80" s="2"/>
    </row>
    <row r="81" spans="1:32" x14ac:dyDescent="0.25">
      <c r="A81" s="8" t="s">
        <v>206</v>
      </c>
      <c r="B81" s="21"/>
      <c r="C81" s="222">
        <v>28</v>
      </c>
      <c r="D81" s="2" t="s">
        <v>94</v>
      </c>
      <c r="E81" s="3" t="s">
        <v>44</v>
      </c>
      <c r="F81" s="3"/>
      <c r="G81" s="32">
        <v>45068</v>
      </c>
      <c r="H81" s="32">
        <v>46894</v>
      </c>
      <c r="I81" s="26" t="s">
        <v>53</v>
      </c>
      <c r="J81" s="92" t="s">
        <v>95</v>
      </c>
      <c r="K81" s="46" t="s">
        <v>332</v>
      </c>
      <c r="L81" s="2" t="s">
        <v>324</v>
      </c>
      <c r="M81" s="100" t="s">
        <v>325</v>
      </c>
      <c r="N81" s="2" t="s">
        <v>427</v>
      </c>
      <c r="O81" s="26" t="s">
        <v>13</v>
      </c>
      <c r="P81" s="26">
        <v>2420</v>
      </c>
      <c r="Q81" s="3" t="s">
        <v>96</v>
      </c>
      <c r="R81" s="3">
        <v>32</v>
      </c>
      <c r="S81" s="3">
        <v>0.1</v>
      </c>
      <c r="T81" s="112" t="s">
        <v>87</v>
      </c>
      <c r="U81" s="84">
        <f>SUM(Table2[[#This Row],[A1toA3_GWP]:[C1toC4_GWP]])</f>
        <v>91.627272727272739</v>
      </c>
      <c r="V81" s="24">
        <f>204.59/Table2[[#This Row],[DENSITY]]*1000</f>
        <v>84.541322314049594</v>
      </c>
      <c r="W81" s="121">
        <f>(7.278+9.664+0.206)/Table2[[#This Row],[DENSITY]]*1000</f>
        <v>7.0859504132231406</v>
      </c>
      <c r="X81" s="78"/>
      <c r="Y81" s="78"/>
      <c r="Z81" s="121"/>
      <c r="AA81" s="84">
        <f ca="1">IF(OR($E81="Ecoinvent",$E81="Betonsortenrechner",$E81="KBOB",$U81&lt;=0,Table2[[#This Row],[VALID_TO]]&lt;=TODAY()),0,1)</f>
        <v>1</v>
      </c>
      <c r="AB81" s="154">
        <f ca="1">IF(Table2[[#This Row],[VALID_TO]]&gt;=TODAY(), 1, 0)</f>
        <v>1</v>
      </c>
      <c r="AC81" s="213" cm="1">
        <f t="array" aca="1" ref="AC81" ca="1">IF($AA81&lt;&gt;0,
IF(AND(
                         U81&gt;=_xlfn.PERCENTILE.INC(_xlfn._xlws.FILTER($U$2:$U$197, ($M$2:$M$197=M81)*($AA$2:$AA$197=1)),0.1),
                         U81&lt;=_xlfn.PERCENTILE.INC(_xlfn._xlws.FILTER($U$2:$U$197, ($M$2:$M$197=M81)*($AA$2:$AA$197=1)),0.9)
               ),1,0),
0)</f>
        <v>0</v>
      </c>
      <c r="AD81" s="131"/>
      <c r="AE81" s="2"/>
      <c r="AF81" s="2"/>
    </row>
    <row r="82" spans="1:32" x14ac:dyDescent="0.25">
      <c r="A82" s="8" t="s">
        <v>207</v>
      </c>
      <c r="B82" s="21"/>
      <c r="C82" s="222">
        <v>29</v>
      </c>
      <c r="D82" s="2" t="s">
        <v>97</v>
      </c>
      <c r="E82" s="3" t="s">
        <v>44</v>
      </c>
      <c r="F82" s="3"/>
      <c r="G82" s="32">
        <v>45068</v>
      </c>
      <c r="H82" s="32">
        <v>46894</v>
      </c>
      <c r="I82" s="26" t="s">
        <v>53</v>
      </c>
      <c r="J82" s="92" t="s">
        <v>98</v>
      </c>
      <c r="K82" s="46" t="s">
        <v>332</v>
      </c>
      <c r="L82" s="2" t="s">
        <v>324</v>
      </c>
      <c r="M82" s="100" t="s">
        <v>325</v>
      </c>
      <c r="N82" s="2" t="s">
        <v>427</v>
      </c>
      <c r="O82" s="26" t="s">
        <v>13</v>
      </c>
      <c r="P82" s="26">
        <v>2430</v>
      </c>
      <c r="Q82" s="3" t="s">
        <v>99</v>
      </c>
      <c r="R82" s="3">
        <v>32</v>
      </c>
      <c r="S82" s="3">
        <v>0.1</v>
      </c>
      <c r="T82" s="112" t="s">
        <v>87</v>
      </c>
      <c r="U82" s="84">
        <f>SUM(Table2[[#This Row],[A1toA3_GWP]:[C1toC4_GWP]])</f>
        <v>76.722633744855969</v>
      </c>
      <c r="V82" s="24">
        <f>169.181/Table2[[#This Row],[DENSITY]]*1000</f>
        <v>69.62181069958848</v>
      </c>
      <c r="W82" s="121">
        <f>(7.278+9.768+0.209)/Table2[[#This Row],[DENSITY]]*1000</f>
        <v>7.1008230452674894</v>
      </c>
      <c r="X82" s="78"/>
      <c r="Y82" s="78"/>
      <c r="Z82" s="121"/>
      <c r="AA82" s="84">
        <f ca="1">IF(OR($E82="Ecoinvent",$E82="Betonsortenrechner",$E82="KBOB",$U82&lt;=0,Table2[[#This Row],[VALID_TO]]&lt;=TODAY()),0,1)</f>
        <v>1</v>
      </c>
      <c r="AB82" s="154">
        <f ca="1">IF(Table2[[#This Row],[VALID_TO]]&gt;=TODAY(), 1, 0)</f>
        <v>1</v>
      </c>
      <c r="AC82" s="213" cm="1">
        <f t="array" aca="1" ref="AC82" ca="1">IF($AA82&lt;&gt;0,
IF(AND(
                         U82&gt;=_xlfn.PERCENTILE.INC(_xlfn._xlws.FILTER($U$2:$U$197, ($M$2:$M$197=M82)*($AA$2:$AA$197=1)),0.1),
                         U82&lt;=_xlfn.PERCENTILE.INC(_xlfn._xlws.FILTER($U$2:$U$197, ($M$2:$M$197=M82)*($AA$2:$AA$197=1)),0.9)
               ),1,0),
0)</f>
        <v>0</v>
      </c>
      <c r="AD82" s="131"/>
      <c r="AE82" s="2"/>
      <c r="AF82" s="2"/>
    </row>
    <row r="83" spans="1:32" x14ac:dyDescent="0.25">
      <c r="A83" s="136" t="s">
        <v>488</v>
      </c>
      <c r="B83" s="137"/>
      <c r="C83" s="223">
        <v>32</v>
      </c>
      <c r="D83" s="16" t="s">
        <v>427</v>
      </c>
      <c r="E83" s="17" t="s">
        <v>479</v>
      </c>
      <c r="F83" s="148" t="s">
        <v>500</v>
      </c>
      <c r="G83" s="35"/>
      <c r="H83" s="35"/>
      <c r="I83" s="30"/>
      <c r="J83" s="94" t="s">
        <v>481</v>
      </c>
      <c r="K83" s="138" t="s">
        <v>332</v>
      </c>
      <c r="L83" s="16" t="s">
        <v>324</v>
      </c>
      <c r="M83" s="102" t="s">
        <v>325</v>
      </c>
      <c r="N83" s="16" t="s">
        <v>485</v>
      </c>
      <c r="O83" s="30" t="s">
        <v>13</v>
      </c>
      <c r="P83" s="30">
        <v>2373</v>
      </c>
      <c r="Q83" s="17" t="s">
        <v>427</v>
      </c>
      <c r="R83" s="17" t="s">
        <v>427</v>
      </c>
      <c r="S83" s="17" t="s">
        <v>427</v>
      </c>
      <c r="T83" s="116" t="s">
        <v>427</v>
      </c>
      <c r="U83" s="109">
        <f>SUM(Table2[[#This Row],[A1toA3_GWP]:[C1toC4_GWP]])</f>
        <v>77</v>
      </c>
      <c r="V83" s="77">
        <v>64</v>
      </c>
      <c r="W83" s="124">
        <v>13</v>
      </c>
      <c r="X83" s="152"/>
      <c r="Y83" s="152"/>
      <c r="Z83" s="124"/>
      <c r="AA83" s="109">
        <f ca="1">IF(OR($E83="Ecoinvent",$E83="Betonsortenrechner",$E83="KBOB",$U83&lt;=0,Table2[[#This Row],[VALID_TO]]&lt;=TODAY()),0,1)</f>
        <v>0</v>
      </c>
      <c r="AB83" s="152">
        <v>1</v>
      </c>
      <c r="AC83" s="247" cm="1">
        <f t="array" aca="1" ref="AC83" ca="1">IF($AA83&lt;&gt;0,
IF(AND(
                         U83&gt;=_xlfn.PERCENTILE.INC(_xlfn._xlws.FILTER($U$2:$U$197, ($M$2:$M$197=M83)*($AA$2:$AA$197=1)),0.1),
                         U83&lt;=_xlfn.PERCENTILE.INC(_xlfn._xlws.FILTER($U$2:$U$197, ($M$2:$M$197=M83)*($AA$2:$AA$197=1)),0.9)
               ),1,0),
0)</f>
        <v>0</v>
      </c>
      <c r="AD83" s="135"/>
      <c r="AE83" s="2"/>
      <c r="AF83" s="2"/>
    </row>
    <row r="84" spans="1:32" x14ac:dyDescent="0.25">
      <c r="A84" s="136" t="s">
        <v>489</v>
      </c>
      <c r="B84" s="137"/>
      <c r="C84" s="223">
        <v>33</v>
      </c>
      <c r="D84" s="16" t="s">
        <v>427</v>
      </c>
      <c r="E84" s="17" t="s">
        <v>479</v>
      </c>
      <c r="F84" s="148" t="s">
        <v>501</v>
      </c>
      <c r="G84" s="35"/>
      <c r="H84" s="35"/>
      <c r="I84" s="30"/>
      <c r="J84" s="94" t="s">
        <v>482</v>
      </c>
      <c r="K84" s="138" t="s">
        <v>332</v>
      </c>
      <c r="L84" s="16" t="s">
        <v>324</v>
      </c>
      <c r="M84" s="102" t="s">
        <v>325</v>
      </c>
      <c r="N84" s="16" t="s">
        <v>485</v>
      </c>
      <c r="O84" s="30" t="s">
        <v>13</v>
      </c>
      <c r="P84" s="30">
        <v>2388</v>
      </c>
      <c r="Q84" s="17" t="s">
        <v>427</v>
      </c>
      <c r="R84" s="17" t="s">
        <v>427</v>
      </c>
      <c r="S84" s="17" t="s">
        <v>427</v>
      </c>
      <c r="T84" s="116" t="s">
        <v>427</v>
      </c>
      <c r="U84" s="109">
        <f>SUM(Table2[[#This Row],[A1toA3_GWP]:[C1toC4_GWP]])</f>
        <v>79</v>
      </c>
      <c r="V84" s="77">
        <v>66</v>
      </c>
      <c r="W84" s="124">
        <v>13</v>
      </c>
      <c r="X84" s="152"/>
      <c r="Y84" s="152"/>
      <c r="Z84" s="124"/>
      <c r="AA84" s="109">
        <f ca="1">IF(OR($E84="Ecoinvent",$E84="Betonsortenrechner",$E84="KBOB",$U84&lt;=0,Table2[[#This Row],[VALID_TO]]&lt;=TODAY()),0,1)</f>
        <v>0</v>
      </c>
      <c r="AB84" s="152">
        <v>1</v>
      </c>
      <c r="AC84" s="247" cm="1">
        <f t="array" aca="1" ref="AC84" ca="1">IF($AA84&lt;&gt;0,
IF(AND(
                         U84&gt;=_xlfn.PERCENTILE.INC(_xlfn._xlws.FILTER($U$2:$U$197, ($M$2:$M$197=M84)*($AA$2:$AA$197=1)),0.1),
                         U84&lt;=_xlfn.PERCENTILE.INC(_xlfn._xlws.FILTER($U$2:$U$197, ($M$2:$M$197=M84)*($AA$2:$AA$197=1)),0.9)
               ),1,0),
0)</f>
        <v>0</v>
      </c>
      <c r="AD84" s="135"/>
      <c r="AE84" s="2"/>
      <c r="AF84" s="2"/>
    </row>
    <row r="85" spans="1:32" x14ac:dyDescent="0.25">
      <c r="A85" s="136" t="s">
        <v>491</v>
      </c>
      <c r="B85" s="137"/>
      <c r="C85" s="223">
        <v>35</v>
      </c>
      <c r="D85" s="16" t="s">
        <v>427</v>
      </c>
      <c r="E85" s="17" t="s">
        <v>479</v>
      </c>
      <c r="F85" s="148" t="s">
        <v>503</v>
      </c>
      <c r="G85" s="35"/>
      <c r="H85" s="35"/>
      <c r="I85" s="30"/>
      <c r="J85" s="94" t="s">
        <v>484</v>
      </c>
      <c r="K85" s="138" t="s">
        <v>332</v>
      </c>
      <c r="L85" s="16" t="s">
        <v>324</v>
      </c>
      <c r="M85" s="102" t="s">
        <v>325</v>
      </c>
      <c r="N85" s="16" t="s">
        <v>485</v>
      </c>
      <c r="O85" s="30" t="s">
        <v>13</v>
      </c>
      <c r="P85" s="30">
        <v>2334</v>
      </c>
      <c r="Q85" s="17" t="s">
        <v>427</v>
      </c>
      <c r="R85" s="17" t="s">
        <v>427</v>
      </c>
      <c r="S85" s="17" t="s">
        <v>427</v>
      </c>
      <c r="T85" s="116" t="s">
        <v>427</v>
      </c>
      <c r="U85" s="109">
        <f>SUM(Table2[[#This Row],[A1toA3_GWP]:[C1toC4_GWP]])</f>
        <v>108</v>
      </c>
      <c r="V85" s="77">
        <v>95</v>
      </c>
      <c r="W85" s="124">
        <v>13</v>
      </c>
      <c r="X85" s="152"/>
      <c r="Y85" s="152"/>
      <c r="Z85" s="124"/>
      <c r="AA85" s="109">
        <f ca="1">IF(OR($E85="Ecoinvent",$E85="Betonsortenrechner",$E85="KBOB",$U85&lt;=0,Table2[[#This Row],[VALID_TO]]&lt;=TODAY()),0,1)</f>
        <v>0</v>
      </c>
      <c r="AB85" s="152">
        <v>1</v>
      </c>
      <c r="AC85" s="247" cm="1">
        <f t="array" aca="1" ref="AC85" ca="1">IF($AA85&lt;&gt;0,
IF(AND(
                         U85&gt;=_xlfn.PERCENTILE.INC(_xlfn._xlws.FILTER($U$2:$U$197, ($M$2:$M$197=M85)*($AA$2:$AA$197=1)),0.1),
                         U85&lt;=_xlfn.PERCENTILE.INC(_xlfn._xlws.FILTER($U$2:$U$197, ($M$2:$M$197=M85)*($AA$2:$AA$197=1)),0.9)
               ),1,0),
0)</f>
        <v>0</v>
      </c>
      <c r="AD85" s="135"/>
      <c r="AE85" s="2"/>
      <c r="AF85" s="2"/>
    </row>
    <row r="86" spans="1:32" x14ac:dyDescent="0.25">
      <c r="A86" s="8" t="s">
        <v>256</v>
      </c>
      <c r="B86" s="21" t="s">
        <v>540</v>
      </c>
      <c r="C86" s="225">
        <v>98</v>
      </c>
      <c r="D86" s="2" t="s">
        <v>255</v>
      </c>
      <c r="E86" s="3" t="s">
        <v>108</v>
      </c>
      <c r="F86" s="3"/>
      <c r="G86" s="32">
        <v>44449</v>
      </c>
      <c r="H86" s="32">
        <v>46236</v>
      </c>
      <c r="I86" s="26" t="s">
        <v>249</v>
      </c>
      <c r="J86" s="92" t="s">
        <v>118</v>
      </c>
      <c r="K86" s="6" t="s">
        <v>505</v>
      </c>
      <c r="L86" s="2" t="s">
        <v>323</v>
      </c>
      <c r="M86" s="100" t="s">
        <v>509</v>
      </c>
      <c r="N86" s="2" t="s">
        <v>427</v>
      </c>
      <c r="O86" s="26" t="s">
        <v>553</v>
      </c>
      <c r="P86" s="26">
        <v>470</v>
      </c>
      <c r="Q86" s="3" t="s">
        <v>427</v>
      </c>
      <c r="R86" s="3" t="s">
        <v>427</v>
      </c>
      <c r="S86" s="3" t="s">
        <v>427</v>
      </c>
      <c r="T86" s="112" t="s">
        <v>427</v>
      </c>
      <c r="U86" s="107">
        <f>SUM(Table2[[#This Row],[A1toA3_GWP]:[C1toC4_GWP]])</f>
        <v>200.89361702127644</v>
      </c>
      <c r="V86" s="24">
        <f>-660/Table2[[#This Row],[DENSITY]]*1000</f>
        <v>-1404.2553191489362</v>
      </c>
      <c r="W86" s="121">
        <f>(1.42+753)/Table2[[#This Row],[DENSITY]]*1000</f>
        <v>1605.1489361702127</v>
      </c>
      <c r="X86" s="154">
        <f>SUM(Table2[[#This Row],[A1toA3_GWP-biogenic]:[C1toC4_GWP-biogenic]])</f>
        <v>-8.5141914893617923</v>
      </c>
      <c r="Y86" s="154">
        <f>(-754)/Table2[[#This Row],[DENSITY]]*1000</f>
        <v>-1604.2553191489362</v>
      </c>
      <c r="Z86" s="186">
        <f>(-1.67*10^-3+7.5*10^2)/Table2[[#This Row],[DENSITY]]*1000</f>
        <v>1595.7411276595744</v>
      </c>
      <c r="AA86" s="84">
        <f ca="1">IF(OR($E86="Ecoinvent",$E86="Betonsortenrechner",$E86="KBOB",$U86&lt;=0,Table2[[#This Row],[VALID_TO]]&lt;=TODAY()),0,1)</f>
        <v>1</v>
      </c>
      <c r="AB86" s="154">
        <f ca="1">IF(Table2[[#This Row],[VALID_TO]]&gt;=TODAY(), 1, 0)</f>
        <v>1</v>
      </c>
      <c r="AC86" s="213" cm="1">
        <f t="array" aca="1" ref="AC86" ca="1">IF($AA86&lt;&gt;0,
IF(AND(
                         U86&gt;=_xlfn.PERCENTILE.INC(_xlfn._xlws.FILTER($U$2:$U$197, ($L$2:$L$197=L86)*($AA$2:$AA$197=1)),0.1),
                         U86&lt;=_xlfn.PERCENTILE.INC(_xlfn._xlws.FILTER($U$2:$U$197, ($L$3:$L$198=L86)*($AA$2:$AA$197=1)),0.9)
               ),1,0),
0)</f>
        <v>1</v>
      </c>
      <c r="AD86" s="131"/>
      <c r="AE86" s="2"/>
      <c r="AF86" s="2"/>
    </row>
    <row r="87" spans="1:32" ht="14.25" customHeight="1" x14ac:dyDescent="0.25">
      <c r="A87" s="8" t="s">
        <v>268</v>
      </c>
      <c r="B87" s="21" t="s">
        <v>517</v>
      </c>
      <c r="C87" s="225">
        <v>82</v>
      </c>
      <c r="D87" s="2" t="s">
        <v>112</v>
      </c>
      <c r="E87" s="3" t="s">
        <v>111</v>
      </c>
      <c r="F87" s="3"/>
      <c r="G87" s="32">
        <v>43798</v>
      </c>
      <c r="H87" s="32">
        <v>45624</v>
      </c>
      <c r="I87" s="26" t="s">
        <v>106</v>
      </c>
      <c r="J87" s="92" t="s">
        <v>103</v>
      </c>
      <c r="K87" s="6" t="s">
        <v>336</v>
      </c>
      <c r="L87" s="2" t="s">
        <v>323</v>
      </c>
      <c r="M87" s="100" t="s">
        <v>329</v>
      </c>
      <c r="N87" s="2" t="s">
        <v>427</v>
      </c>
      <c r="O87" s="26" t="s">
        <v>548</v>
      </c>
      <c r="P87" s="31">
        <v>459.2</v>
      </c>
      <c r="Q87" s="3" t="s">
        <v>427</v>
      </c>
      <c r="R87" s="3" t="s">
        <v>427</v>
      </c>
      <c r="S87" s="3" t="s">
        <v>427</v>
      </c>
      <c r="T87" s="112" t="s">
        <v>427</v>
      </c>
      <c r="U87" s="107">
        <f>SUM(Table2[[#This Row],[A1toA3_GWP]:[C1toC4_GWP]])</f>
        <v>239.97386759581855</v>
      </c>
      <c r="V87" s="24">
        <f>(-660+6.26+14.4)/Table2[[#This Row],[DENSITY]]*1000</f>
        <v>-1392.2909407665506</v>
      </c>
      <c r="W87" s="121">
        <f>(0.536+749)/Table2[[#This Row],[DENSITY]]*1000</f>
        <v>1632.2648083623692</v>
      </c>
      <c r="X87" s="154">
        <f>SUM(Table2[[#This Row],[A1toA3_GWP-biogenic]:[C1toC4_GWP-biogenic]])</f>
        <v>0</v>
      </c>
      <c r="Y87" s="78" t="s">
        <v>427</v>
      </c>
      <c r="Z87" s="198" t="s">
        <v>427</v>
      </c>
      <c r="AA87" s="84">
        <f ca="1">IF(OR($E87="Ecoinvent",$E87="Betonsortenrechner",$E87="KBOB",$U87&lt;=0,Table2[[#This Row],[VALID_TO]]&lt;=TODAY()),0,1)</f>
        <v>0</v>
      </c>
      <c r="AB87" s="154">
        <f ca="1">IF(Table2[[#This Row],[VALID_TO]]&gt;=TODAY(), 1, 0)</f>
        <v>0</v>
      </c>
      <c r="AC87" s="213" cm="1">
        <f t="array" aca="1" ref="AC87" ca="1">IF($AA87&lt;&gt;0,
IF(AND(
                         U87&gt;=_xlfn.PERCENTILE.INC(_xlfn._xlws.FILTER($U$2:$U$197, ($L$2:$L$197=L87)*($AA$2:$AA$197=1)),0.1),
                         U87&lt;=_xlfn.PERCENTILE.INC(_xlfn._xlws.FILTER($U$2:$U$197, ($L$3:$L$198=L87)*($AA$2:$AA$197=1)),0.9)
               ),1,0),
0)</f>
        <v>0</v>
      </c>
      <c r="AD87" s="131"/>
      <c r="AE87" s="2"/>
      <c r="AF87" s="2"/>
    </row>
    <row r="88" spans="1:32" x14ac:dyDescent="0.25">
      <c r="A88" s="8" t="s">
        <v>278</v>
      </c>
      <c r="B88" s="21" t="s">
        <v>517</v>
      </c>
      <c r="C88" s="225">
        <v>110</v>
      </c>
      <c r="D88" s="2" t="s">
        <v>279</v>
      </c>
      <c r="E88" s="3" t="s">
        <v>280</v>
      </c>
      <c r="F88" s="3"/>
      <c r="G88" s="32">
        <v>44830</v>
      </c>
      <c r="H88" s="32">
        <v>46655</v>
      </c>
      <c r="I88" s="26" t="s">
        <v>273</v>
      </c>
      <c r="J88" s="92" t="s">
        <v>103</v>
      </c>
      <c r="K88" s="6" t="s">
        <v>336</v>
      </c>
      <c r="L88" s="2" t="s">
        <v>323</v>
      </c>
      <c r="M88" s="100" t="s">
        <v>329</v>
      </c>
      <c r="N88" s="2" t="s">
        <v>427</v>
      </c>
      <c r="O88" s="26" t="s">
        <v>548</v>
      </c>
      <c r="P88" s="26">
        <v>480</v>
      </c>
      <c r="Q88" s="3" t="s">
        <v>427</v>
      </c>
      <c r="R88" s="3" t="s">
        <v>427</v>
      </c>
      <c r="S88" s="3" t="s">
        <v>427</v>
      </c>
      <c r="T88" s="112" t="s">
        <v>427</v>
      </c>
      <c r="U88" s="107">
        <f>SUM(Table2[[#This Row],[A1toA3_GWP]:[C1toC4_GWP]])</f>
        <v>291.03750000000014</v>
      </c>
      <c r="V88" s="24">
        <f>(-680+6.04+37.1)/Table2[[#This Row],[DENSITY]]*1000</f>
        <v>-1326.7916666666665</v>
      </c>
      <c r="W88" s="121">
        <f>(0.558+776)/Table2[[#This Row],[DENSITY]]*1000</f>
        <v>1617.8291666666667</v>
      </c>
      <c r="X88" s="154">
        <f>SUM(Table2[[#This Row],[A1toA3_GWP-biogenic]:[C1toC4_GWP-biogenic]])</f>
        <v>0</v>
      </c>
      <c r="Y88" s="78" t="s">
        <v>427</v>
      </c>
      <c r="Z88" s="198" t="s">
        <v>427</v>
      </c>
      <c r="AA88" s="84">
        <f ca="1">IF(OR($E88="Ecoinvent",$E88="Betonsortenrechner",$E88="KBOB",$U88&lt;=0,Table2[[#This Row],[VALID_TO]]&lt;=TODAY()),0,1)</f>
        <v>1</v>
      </c>
      <c r="AB88" s="154">
        <f ca="1">IF(Table2[[#This Row],[VALID_TO]]&gt;=TODAY(), 1, 0)</f>
        <v>1</v>
      </c>
      <c r="AC88" s="213" cm="1">
        <f t="array" aca="1" ref="AC88" ca="1">IF($AA88&lt;&gt;0,
IF(AND(
                         U88&gt;=_xlfn.PERCENTILE.INC(_xlfn._xlws.FILTER($U$2:$U$197, ($L$2:$L$197=L88)*($AA$2:$AA$197=1)),0.1),
                         U88&lt;=_xlfn.PERCENTILE.INC(_xlfn._xlws.FILTER($U$2:$U$197, ($L$3:$L$198=L88)*($AA$2:$AA$197=1)),0.9)
               ),1,0),
0)</f>
        <v>1</v>
      </c>
      <c r="AD88" s="131"/>
      <c r="AE88" s="2" t="s">
        <v>435</v>
      </c>
      <c r="AF88" s="2"/>
    </row>
    <row r="89" spans="1:32" x14ac:dyDescent="0.25">
      <c r="A89" s="8" t="s">
        <v>289</v>
      </c>
      <c r="B89" s="21" t="s">
        <v>517</v>
      </c>
      <c r="C89" s="222">
        <v>115</v>
      </c>
      <c r="D89" s="2" t="s">
        <v>290</v>
      </c>
      <c r="E89" s="3" t="s">
        <v>291</v>
      </c>
      <c r="F89" s="3"/>
      <c r="G89" s="32">
        <v>43325</v>
      </c>
      <c r="H89" s="32">
        <v>45334</v>
      </c>
      <c r="I89" s="26" t="s">
        <v>273</v>
      </c>
      <c r="J89" s="92" t="s">
        <v>103</v>
      </c>
      <c r="K89" s="6" t="s">
        <v>336</v>
      </c>
      <c r="L89" s="2" t="s">
        <v>323</v>
      </c>
      <c r="M89" s="100" t="s">
        <v>329</v>
      </c>
      <c r="N89" s="2" t="s">
        <v>427</v>
      </c>
      <c r="O89" s="26" t="s">
        <v>558</v>
      </c>
      <c r="P89" s="26">
        <v>483</v>
      </c>
      <c r="Q89" s="3" t="s">
        <v>427</v>
      </c>
      <c r="R89" s="3" t="s">
        <v>427</v>
      </c>
      <c r="S89" s="3" t="s">
        <v>427</v>
      </c>
      <c r="T89" s="112" t="s">
        <v>427</v>
      </c>
      <c r="U89" s="107">
        <f>SUM(Table2[[#This Row],[A1toA3_GWP]:[C1toC4_GWP]])</f>
        <v>264.56521739130449</v>
      </c>
      <c r="V89" s="24">
        <f>(-751+32.1+68.2)/Table2[[#This Row],[DENSITY]]*1000</f>
        <v>-1347.2049689440992</v>
      </c>
      <c r="W89" s="121">
        <f>(0.485+778)/Table2[[#This Row],[DENSITY]]*1000</f>
        <v>1611.7701863354037</v>
      </c>
      <c r="X89" s="154">
        <f>SUM(Table2[[#This Row],[A1toA3_GWP-biogenic]:[C1toC4_GWP-biogenic]])</f>
        <v>0</v>
      </c>
      <c r="Y89" s="78" t="s">
        <v>427</v>
      </c>
      <c r="Z89" s="198" t="s">
        <v>427</v>
      </c>
      <c r="AA89" s="84">
        <f ca="1">IF(OR($E89="Ecoinvent",$E89="Betonsortenrechner",$E89="KBOB",$U89&lt;=0,Table2[[#This Row],[VALID_TO]]&lt;=TODAY()),0,1)</f>
        <v>0</v>
      </c>
      <c r="AB89" s="154">
        <f ca="1">IF(Table2[[#This Row],[VALID_TO]]&gt;=TODAY(), 1, 0)</f>
        <v>0</v>
      </c>
      <c r="AC89" s="213" cm="1">
        <f t="array" aca="1" ref="AC89" ca="1">IF($AA89&lt;&gt;0,
IF(AND(
                         U89&gt;=_xlfn.PERCENTILE.INC(_xlfn._xlws.FILTER($U$2:$U$197, ($L$2:$L$197=L89)*($AA$2:$AA$197=1)),0.1),
                         U89&lt;=_xlfn.PERCENTILE.INC(_xlfn._xlws.FILTER($U$2:$U$197, ($L$3:$L$198=L89)*($AA$2:$AA$197=1)),0.9)
               ),1,0),
0)</f>
        <v>0</v>
      </c>
      <c r="AD89" s="131"/>
      <c r="AE89" s="2"/>
      <c r="AF89" s="2"/>
    </row>
    <row r="90" spans="1:32" x14ac:dyDescent="0.25">
      <c r="A90" s="83" t="s">
        <v>362</v>
      </c>
      <c r="B90" s="157"/>
      <c r="C90" s="218">
        <v>57</v>
      </c>
      <c r="D90" s="19" t="s">
        <v>148</v>
      </c>
      <c r="E90" s="12" t="s">
        <v>11</v>
      </c>
      <c r="F90" s="12"/>
      <c r="G90" s="34" t="s">
        <v>427</v>
      </c>
      <c r="H90" s="34" t="s">
        <v>427</v>
      </c>
      <c r="I90" s="25" t="s">
        <v>53</v>
      </c>
      <c r="J90" s="90" t="s">
        <v>149</v>
      </c>
      <c r="K90" s="19" t="s">
        <v>336</v>
      </c>
      <c r="L90" s="11" t="s">
        <v>323</v>
      </c>
      <c r="M90" s="98" t="s">
        <v>329</v>
      </c>
      <c r="N90" s="11" t="s">
        <v>427</v>
      </c>
      <c r="O90" s="25" t="s">
        <v>1</v>
      </c>
      <c r="P90" s="25">
        <v>440</v>
      </c>
      <c r="Q90" s="12" t="s">
        <v>427</v>
      </c>
      <c r="R90" s="12" t="s">
        <v>427</v>
      </c>
      <c r="S90" s="12" t="s">
        <v>427</v>
      </c>
      <c r="T90" s="110" t="s">
        <v>427</v>
      </c>
      <c r="U90" s="47">
        <f>SUM(Table2[[#This Row],[A1toA3_GWP]:[C1toC4_GWP]])</f>
        <v>275</v>
      </c>
      <c r="V90" s="72">
        <f>85.8/Table2[[#This Row],[DENSITY]]*1000</f>
        <v>195</v>
      </c>
      <c r="W90" s="119">
        <v>80</v>
      </c>
      <c r="X90" s="150"/>
      <c r="Y90" s="150"/>
      <c r="Z90" s="202"/>
      <c r="AA90" s="47">
        <f ca="1">IF(OR($E90="Ecoinvent",$E90="Betonsortenrechner",$E90="KBOB",$U90&lt;=0,Table2[[#This Row],[VALID_TO]]&lt;=TODAY()),0,1)</f>
        <v>0</v>
      </c>
      <c r="AB90" s="150">
        <v>0</v>
      </c>
      <c r="AC90" s="247" cm="1">
        <f t="array" aca="1" ref="AC90" ca="1">IF($AA90&lt;&gt;0,
IF(AND(
                         U90&gt;=_xlfn.PERCENTILE.INC(_xlfn._xlws.FILTER($U$2:$U$197, ($L$2:$L$197=L90)*($AA$2:$AA$197=1)),0.1),
                         U90&lt;=_xlfn.PERCENTILE.INC(_xlfn._xlws.FILTER($U$2:$U$197, ($L$3:$L$198=L90)*($AA$2:$AA$197=1)),0.9)
               ),1,0),
0)</f>
        <v>0</v>
      </c>
      <c r="AD90" s="129"/>
      <c r="AE90" s="11"/>
      <c r="AF90" s="11"/>
    </row>
    <row r="91" spans="1:32" x14ac:dyDescent="0.25">
      <c r="A91" s="83" t="s">
        <v>363</v>
      </c>
      <c r="B91" s="157"/>
      <c r="C91" s="218">
        <v>58</v>
      </c>
      <c r="D91" s="19" t="s">
        <v>151</v>
      </c>
      <c r="E91" s="12" t="s">
        <v>11</v>
      </c>
      <c r="F91" s="12"/>
      <c r="G91" s="34" t="s">
        <v>427</v>
      </c>
      <c r="H91" s="34" t="s">
        <v>427</v>
      </c>
      <c r="I91" s="25" t="s">
        <v>53</v>
      </c>
      <c r="J91" s="90" t="s">
        <v>150</v>
      </c>
      <c r="K91" s="19" t="s">
        <v>336</v>
      </c>
      <c r="L91" s="11" t="s">
        <v>323</v>
      </c>
      <c r="M91" s="98" t="s">
        <v>329</v>
      </c>
      <c r="N91" s="11" t="s">
        <v>427</v>
      </c>
      <c r="O91" s="25" t="s">
        <v>1</v>
      </c>
      <c r="P91" s="25">
        <v>440</v>
      </c>
      <c r="Q91" s="12" t="s">
        <v>427</v>
      </c>
      <c r="R91" s="12" t="s">
        <v>427</v>
      </c>
      <c r="S91" s="12" t="s">
        <v>427</v>
      </c>
      <c r="T91" s="110" t="s">
        <v>427</v>
      </c>
      <c r="U91" s="47">
        <f>SUM(Table2[[#This Row],[A1toA3_GWP]:[C1toC4_GWP]])</f>
        <v>279.31818181818181</v>
      </c>
      <c r="V91" s="22">
        <f>87.7/Table2[[#This Row],[DENSITY]]*1000</f>
        <v>199.31818181818181</v>
      </c>
      <c r="W91" s="119">
        <v>80</v>
      </c>
      <c r="X91" s="150"/>
      <c r="Y91" s="150"/>
      <c r="Z91" s="119"/>
      <c r="AA91" s="47">
        <f ca="1">IF(OR($E91="Ecoinvent",$E91="Betonsortenrechner",$E91="KBOB",$U91&lt;=0,Table2[[#This Row],[VALID_TO]]&lt;=TODAY()),0,1)</f>
        <v>0</v>
      </c>
      <c r="AB91" s="150">
        <v>0</v>
      </c>
      <c r="AC91" s="247" cm="1">
        <f t="array" aca="1" ref="AC91" ca="1">IF($AA91&lt;&gt;0,
IF(AND(
                         U91&gt;=_xlfn.PERCENTILE.INC(_xlfn._xlws.FILTER($U$2:$U$197, ($L$2:$L$197=L91)*($AA$2:$AA$197=1)),0.1),
                         U91&lt;=_xlfn.PERCENTILE.INC(_xlfn._xlws.FILTER($U$2:$U$197, ($L$3:$L$198=L91)*($AA$2:$AA$197=1)),0.9)
               ),1,0),
0)</f>
        <v>0</v>
      </c>
      <c r="AD91" s="129"/>
      <c r="AE91" s="11"/>
      <c r="AF91" s="11"/>
    </row>
    <row r="92" spans="1:32" x14ac:dyDescent="0.25">
      <c r="A92" s="83" t="s">
        <v>364</v>
      </c>
      <c r="B92" s="157"/>
      <c r="C92" s="218">
        <v>59</v>
      </c>
      <c r="D92" s="19" t="s">
        <v>152</v>
      </c>
      <c r="E92" s="12" t="s">
        <v>11</v>
      </c>
      <c r="F92" s="12"/>
      <c r="G92" s="34" t="s">
        <v>427</v>
      </c>
      <c r="H92" s="34" t="s">
        <v>427</v>
      </c>
      <c r="I92" s="25" t="s">
        <v>153</v>
      </c>
      <c r="J92" s="90" t="s">
        <v>103</v>
      </c>
      <c r="K92" s="19" t="s">
        <v>336</v>
      </c>
      <c r="L92" s="11" t="s">
        <v>323</v>
      </c>
      <c r="M92" s="98" t="s">
        <v>329</v>
      </c>
      <c r="N92" s="11" t="s">
        <v>427</v>
      </c>
      <c r="O92" s="25" t="s">
        <v>1</v>
      </c>
      <c r="P92" s="25">
        <v>440</v>
      </c>
      <c r="Q92" s="12" t="s">
        <v>427</v>
      </c>
      <c r="R92" s="12" t="s">
        <v>427</v>
      </c>
      <c r="S92" s="12" t="s">
        <v>427</v>
      </c>
      <c r="T92" s="110" t="s">
        <v>427</v>
      </c>
      <c r="U92" s="47">
        <f>SUM(Table2[[#This Row],[A1toA3_GWP]:[C1toC4_GWP]])</f>
        <v>400.45454545454544</v>
      </c>
      <c r="V92" s="22">
        <f>141/Table2[[#This Row],[DENSITY]]*1000</f>
        <v>320.45454545454544</v>
      </c>
      <c r="W92" s="119">
        <v>80</v>
      </c>
      <c r="X92" s="150"/>
      <c r="Y92" s="150"/>
      <c r="Z92" s="119"/>
      <c r="AA92" s="47">
        <f ca="1">IF(OR($E92="Ecoinvent",$E92="Betonsortenrechner",$E92="KBOB",$U92&lt;=0,Table2[[#This Row],[VALID_TO]]&lt;=TODAY()),0,1)</f>
        <v>0</v>
      </c>
      <c r="AB92" s="150">
        <v>0</v>
      </c>
      <c r="AC92" s="247" cm="1">
        <f t="array" aca="1" ref="AC92" ca="1">IF($AA92&lt;&gt;0,
IF(AND(
                         U92&gt;=_xlfn.PERCENTILE.INC(_xlfn._xlws.FILTER($U$2:$U$197, ($L$2:$L$197=L92)*($AA$2:$AA$197=1)),0.1),
                         U92&lt;=_xlfn.PERCENTILE.INC(_xlfn._xlws.FILTER($U$2:$U$197, ($L$3:$L$198=L92)*($AA$2:$AA$197=1)),0.9)
               ),1,0),
0)</f>
        <v>0</v>
      </c>
      <c r="AD92" s="129"/>
      <c r="AE92" s="11"/>
      <c r="AF92" s="11"/>
    </row>
    <row r="93" spans="1:32" x14ac:dyDescent="0.25">
      <c r="A93" s="83" t="s">
        <v>365</v>
      </c>
      <c r="B93" s="157"/>
      <c r="C93" s="218">
        <v>60</v>
      </c>
      <c r="D93" s="19" t="s">
        <v>154</v>
      </c>
      <c r="E93" s="12" t="s">
        <v>11</v>
      </c>
      <c r="F93" s="12"/>
      <c r="G93" s="173" t="s">
        <v>427</v>
      </c>
      <c r="H93" s="34" t="s">
        <v>427</v>
      </c>
      <c r="I93" s="25" t="s">
        <v>155</v>
      </c>
      <c r="J93" s="90" t="s">
        <v>118</v>
      </c>
      <c r="K93" s="19" t="s">
        <v>505</v>
      </c>
      <c r="L93" s="11" t="s">
        <v>323</v>
      </c>
      <c r="M93" s="98" t="s">
        <v>509</v>
      </c>
      <c r="N93" s="11" t="s">
        <v>427</v>
      </c>
      <c r="O93" s="25" t="s">
        <v>1</v>
      </c>
      <c r="P93" s="25">
        <v>435</v>
      </c>
      <c r="Q93" s="12" t="s">
        <v>427</v>
      </c>
      <c r="R93" s="12" t="s">
        <v>427</v>
      </c>
      <c r="S93" s="12" t="s">
        <v>427</v>
      </c>
      <c r="T93" s="110" t="s">
        <v>427</v>
      </c>
      <c r="U93" s="47">
        <f>SUM(Table2[[#This Row],[A1toA3_GWP]:[C1toC4_GWP]])</f>
        <v>415.63218390804599</v>
      </c>
      <c r="V93" s="22">
        <f>146/Table2[[#This Row],[DENSITY]]*1000</f>
        <v>335.63218390804599</v>
      </c>
      <c r="W93" s="119">
        <v>80</v>
      </c>
      <c r="X93" s="150"/>
      <c r="Y93" s="150"/>
      <c r="Z93" s="119"/>
      <c r="AA93" s="47">
        <f ca="1">IF(OR($E93="Ecoinvent",$E93="Betonsortenrechner",$E93="KBOB",$U93&lt;=0,Table2[[#This Row],[VALID_TO]]&lt;=TODAY()),0,1)</f>
        <v>0</v>
      </c>
      <c r="AB93" s="150">
        <v>0</v>
      </c>
      <c r="AC93" s="247" cm="1">
        <f t="array" aca="1" ref="AC93" ca="1">IF($AA93&lt;&gt;0,
IF(AND(
                         U93&gt;=_xlfn.PERCENTILE.INC(_xlfn._xlws.FILTER($U$2:$U$197, ($L$2:$L$197=L93)*($AA$2:$AA$197=1)),0.1),
                         U93&lt;=_xlfn.PERCENTILE.INC(_xlfn._xlws.FILTER($U$2:$U$197, ($L$3:$L$198=L93)*($AA$2:$AA$197=1)),0.9)
               ),1,0),
0)</f>
        <v>0</v>
      </c>
      <c r="AD93" s="129"/>
      <c r="AE93" s="11"/>
      <c r="AF93" s="11"/>
    </row>
    <row r="94" spans="1:32" x14ac:dyDescent="0.25">
      <c r="A94" s="8" t="s">
        <v>238</v>
      </c>
      <c r="B94" s="21" t="s">
        <v>517</v>
      </c>
      <c r="C94" s="225">
        <v>68</v>
      </c>
      <c r="D94" s="2" t="s">
        <v>100</v>
      </c>
      <c r="E94" s="3" t="s">
        <v>101</v>
      </c>
      <c r="F94" s="3"/>
      <c r="G94" s="32">
        <v>43248</v>
      </c>
      <c r="H94" s="174">
        <v>45439</v>
      </c>
      <c r="I94" s="26" t="s">
        <v>53</v>
      </c>
      <c r="J94" s="92" t="s">
        <v>103</v>
      </c>
      <c r="K94" s="6" t="s">
        <v>336</v>
      </c>
      <c r="L94" s="2" t="s">
        <v>323</v>
      </c>
      <c r="M94" s="100" t="s">
        <v>329</v>
      </c>
      <c r="N94" s="2" t="s">
        <v>427</v>
      </c>
      <c r="O94" s="26" t="s">
        <v>1</v>
      </c>
      <c r="P94" s="26">
        <v>427</v>
      </c>
      <c r="Q94" s="3" t="s">
        <v>427</v>
      </c>
      <c r="R94" s="3" t="s">
        <v>427</v>
      </c>
      <c r="S94" s="3" t="s">
        <v>427</v>
      </c>
      <c r="T94" s="112" t="s">
        <v>427</v>
      </c>
      <c r="U94" s="107">
        <f>SUM(Table2[[#This Row],[A1toA3_GWP]:[C1toC4_GWP]])</f>
        <v>169.48477751756423</v>
      </c>
      <c r="V94" s="24">
        <f>-615/Table2[[#This Row],[DENSITY]]*1000</f>
        <v>-1440.2810304449649</v>
      </c>
      <c r="W94" s="121">
        <f>(1.37+686)/Table2[[#This Row],[DENSITY]]*1000</f>
        <v>1609.7658079625292</v>
      </c>
      <c r="X94" s="154">
        <f>SUM(Table2[[#This Row],[A1toA3_GWP-biogenic]:[C1toC4_GWP-biogenic]])</f>
        <v>0</v>
      </c>
      <c r="Y94" s="78" t="s">
        <v>427</v>
      </c>
      <c r="Z94" s="198" t="s">
        <v>427</v>
      </c>
      <c r="AA94" s="84">
        <f ca="1">IF(OR($E94="Ecoinvent",$E94="Betonsortenrechner",$E94="KBOB",$U94&lt;=0,Table2[[#This Row],[VALID_TO]]&lt;=TODAY()),0,1)</f>
        <v>0</v>
      </c>
      <c r="AB94" s="154">
        <f ca="1">IF(Table2[[#This Row],[VALID_TO]]&gt;=TODAY(), 1, 0)</f>
        <v>0</v>
      </c>
      <c r="AC94" s="247" cm="1">
        <f t="array" aca="1" ref="AC94" ca="1">IF($AA94&lt;&gt;0,
IF(AND(
                         U94&gt;=_xlfn.PERCENTILE.INC(_xlfn._xlws.FILTER($U$2:$U$197, ($L$2:$L$197=L94)*($AA$2:$AA$197=1)),0.1),
                         U94&lt;=_xlfn.PERCENTILE.INC(_xlfn._xlws.FILTER($U$2:$U$197, ($L$3:$L$198=L94)*($AA$2:$AA$197=1)),0.9)
               ),1,0),
0)</f>
        <v>0</v>
      </c>
      <c r="AD94" s="131"/>
      <c r="AE94" s="2" t="s">
        <v>428</v>
      </c>
      <c r="AF94" s="2"/>
    </row>
    <row r="95" spans="1:32" x14ac:dyDescent="0.25">
      <c r="A95" s="8" t="s">
        <v>237</v>
      </c>
      <c r="B95" s="21" t="s">
        <v>517</v>
      </c>
      <c r="C95" s="222">
        <v>71</v>
      </c>
      <c r="D95" s="2" t="s">
        <v>102</v>
      </c>
      <c r="E95" s="3" t="s">
        <v>101</v>
      </c>
      <c r="F95" s="3"/>
      <c r="G95" s="32">
        <v>45358</v>
      </c>
      <c r="H95" s="32">
        <v>47183</v>
      </c>
      <c r="I95" s="26" t="s">
        <v>53</v>
      </c>
      <c r="J95" s="92" t="s">
        <v>103</v>
      </c>
      <c r="K95" s="6" t="s">
        <v>336</v>
      </c>
      <c r="L95" s="2" t="s">
        <v>323</v>
      </c>
      <c r="M95" s="100" t="s">
        <v>329</v>
      </c>
      <c r="N95" s="2" t="s">
        <v>427</v>
      </c>
      <c r="O95" s="26" t="s">
        <v>1</v>
      </c>
      <c r="P95" s="26">
        <v>424</v>
      </c>
      <c r="Q95" s="3" t="s">
        <v>427</v>
      </c>
      <c r="R95" s="3" t="s">
        <v>427</v>
      </c>
      <c r="S95" s="3" t="s">
        <v>427</v>
      </c>
      <c r="T95" s="112" t="s">
        <v>427</v>
      </c>
      <c r="U95" s="107">
        <f>SUM(Table2[[#This Row],[A1toA3_GWP]:[C1toC4_GWP]])</f>
        <v>305.09433962264143</v>
      </c>
      <c r="V95" s="24">
        <f>-559/Table2[[#This Row],[DENSITY]]*1000</f>
        <v>-1318.3962264150944</v>
      </c>
      <c r="W95" s="121">
        <f>(2.36+686)/Table2[[#This Row],[DENSITY]]*1000</f>
        <v>1623.4905660377358</v>
      </c>
      <c r="X95" s="154">
        <f>SUM(Table2[[#This Row],[A1toA3_GWP-biogenic]:[C1toC4_GWP-biogenic]])</f>
        <v>0</v>
      </c>
      <c r="Y95" s="78">
        <f>(-682)/Table2[[#This Row],[DENSITY]]*1000</f>
        <v>-1608.4905660377358</v>
      </c>
      <c r="Z95" s="198">
        <f>(682)/Table2[[#This Row],[DENSITY]]*1000</f>
        <v>1608.4905660377358</v>
      </c>
      <c r="AA95" s="84">
        <f ca="1">IF(OR($E95="Ecoinvent",$E95="Betonsortenrechner",$E95="KBOB",$U95&lt;=0,Table2[[#This Row],[VALID_TO]]&lt;=TODAY()),0,1)</f>
        <v>1</v>
      </c>
      <c r="AB95" s="154">
        <f ca="1">IF(Table2[[#This Row],[VALID_TO]]&gt;=TODAY(), 1, 0)</f>
        <v>1</v>
      </c>
      <c r="AC95" s="213" cm="1">
        <f t="array" aca="1" ref="AC95" ca="1">IF($AA95&lt;&gt;0,
IF(AND(
                         U95&gt;=_xlfn.PERCENTILE.INC(_xlfn._xlws.FILTER($U$2:$U$197, ($L$2:$L$197=L95)*($AA$2:$AA$197=1)),0.1),
                         U95&lt;=_xlfn.PERCENTILE.INC(_xlfn._xlws.FILTER($U$2:$U$197, ($L$3:$L$198=L95)*($AA$2:$AA$197=1)),0.9)
               ),1,0),
0)</f>
        <v>1</v>
      </c>
      <c r="AD95" s="131"/>
      <c r="AE95" s="2" t="s">
        <v>429</v>
      </c>
      <c r="AF95" s="2"/>
    </row>
    <row r="96" spans="1:32" x14ac:dyDescent="0.25">
      <c r="A96" s="8" t="s">
        <v>232</v>
      </c>
      <c r="B96" s="21" t="s">
        <v>517</v>
      </c>
      <c r="C96" s="222">
        <v>75</v>
      </c>
      <c r="D96" s="2" t="s">
        <v>104</v>
      </c>
      <c r="E96" s="3" t="s">
        <v>105</v>
      </c>
      <c r="F96" s="3"/>
      <c r="G96" s="32">
        <v>45387</v>
      </c>
      <c r="H96" s="32">
        <v>47212</v>
      </c>
      <c r="I96" s="26" t="s">
        <v>106</v>
      </c>
      <c r="J96" s="92" t="s">
        <v>103</v>
      </c>
      <c r="K96" s="6" t="s">
        <v>336</v>
      </c>
      <c r="L96" s="2" t="s">
        <v>323</v>
      </c>
      <c r="M96" s="100" t="s">
        <v>329</v>
      </c>
      <c r="N96" s="2" t="s">
        <v>427</v>
      </c>
      <c r="O96" s="26" t="s">
        <v>1</v>
      </c>
      <c r="P96" s="26">
        <v>466</v>
      </c>
      <c r="Q96" s="3" t="s">
        <v>427</v>
      </c>
      <c r="R96" s="3" t="s">
        <v>427</v>
      </c>
      <c r="S96" s="3" t="s">
        <v>427</v>
      </c>
      <c r="T96" s="112" t="s">
        <v>427</v>
      </c>
      <c r="U96" s="107">
        <f>SUM(Table2[[#This Row],[A1toA3_GWP]:[C1toC4_GWP]])</f>
        <v>190.53648068669531</v>
      </c>
      <c r="V96" s="24">
        <f>-677/Table2[[#This Row],[DENSITY]]*1000</f>
        <v>-1452.7896995708154</v>
      </c>
      <c r="W96" s="121">
        <f>(1.79+764)/Table2[[#This Row],[DENSITY]]*1000</f>
        <v>1643.3261802575107</v>
      </c>
      <c r="X96" s="154">
        <f>SUM(Table2[[#This Row],[A1toA3_GWP-biogenic]:[C1toC4_GWP-biogenic]])</f>
        <v>4.4407725321887028</v>
      </c>
      <c r="Y96" s="78">
        <f>(-759)/Table2[[#This Row],[DENSITY]]*1000</f>
        <v>-1628.755364806867</v>
      </c>
      <c r="Z96" s="198">
        <f>(6.94*10^-2+761)/Table2[[#This Row],[DENSITY]]*1000</f>
        <v>1633.1961373390557</v>
      </c>
      <c r="AA96" s="84">
        <f ca="1">IF(OR($E96="Ecoinvent",$E96="Betonsortenrechner",$E96="KBOB",$U96&lt;=0,Table2[[#This Row],[VALID_TO]]&lt;=TODAY()),0,1)</f>
        <v>1</v>
      </c>
      <c r="AB96" s="154">
        <f ca="1">IF(Table2[[#This Row],[VALID_TO]]&gt;=TODAY(), 1, 0)</f>
        <v>1</v>
      </c>
      <c r="AC96" s="213" cm="1">
        <f t="array" aca="1" ref="AC96" ca="1">IF($AA96&lt;&gt;0,
IF(AND(
                         U96&gt;=_xlfn.PERCENTILE.INC(_xlfn._xlws.FILTER($U$2:$U$197, ($L$2:$L$197=L96)*($AA$2:$AA$197=1)),0.1),
                         U96&lt;=_xlfn.PERCENTILE.INC(_xlfn._xlws.FILTER($U$2:$U$197, ($L$3:$L$198=L96)*($AA$2:$AA$197=1)),0.9)
               ),1,0),
0)</f>
        <v>1</v>
      </c>
      <c r="AD96" s="131"/>
      <c r="AE96" s="2" t="s">
        <v>431</v>
      </c>
      <c r="AF96" s="2"/>
    </row>
    <row r="97" spans="1:32" x14ac:dyDescent="0.25">
      <c r="A97" s="8" t="s">
        <v>269</v>
      </c>
      <c r="B97" s="21" t="s">
        <v>517</v>
      </c>
      <c r="C97" s="225">
        <v>78</v>
      </c>
      <c r="D97" s="2" t="s">
        <v>107</v>
      </c>
      <c r="E97" s="3" t="s">
        <v>108</v>
      </c>
      <c r="F97" s="3"/>
      <c r="G97" s="32">
        <v>44411</v>
      </c>
      <c r="H97" s="32">
        <v>46236</v>
      </c>
      <c r="I97" s="26" t="s">
        <v>106</v>
      </c>
      <c r="J97" s="92" t="s">
        <v>103</v>
      </c>
      <c r="K97" s="6" t="s">
        <v>336</v>
      </c>
      <c r="L97" s="2" t="s">
        <v>323</v>
      </c>
      <c r="M97" s="100" t="s">
        <v>329</v>
      </c>
      <c r="N97" s="2" t="s">
        <v>427</v>
      </c>
      <c r="O97" s="26" t="s">
        <v>1</v>
      </c>
      <c r="P97" s="26">
        <v>470</v>
      </c>
      <c r="Q97" s="3" t="s">
        <v>427</v>
      </c>
      <c r="R97" s="3" t="s">
        <v>427</v>
      </c>
      <c r="S97" s="3" t="s">
        <v>427</v>
      </c>
      <c r="T97" s="112" t="s">
        <v>427</v>
      </c>
      <c r="U97" s="107">
        <f>SUM(Table2[[#This Row],[A1toA3_GWP]:[C1toC4_GWP]])</f>
        <v>311.53191489361689</v>
      </c>
      <c r="V97" s="24">
        <f>-608/Table2[[#This Row],[DENSITY]]*1000</f>
        <v>-1293.6170212765958</v>
      </c>
      <c r="W97" s="121">
        <f>(1.42+753)/Table2[[#This Row],[DENSITY]]*1000</f>
        <v>1605.1489361702127</v>
      </c>
      <c r="X97" s="154">
        <f>SUM(Table2[[#This Row],[A1toA3_GWP-biogenic]:[C1toC4_GWP-biogenic]])</f>
        <v>-6.3865319148935669</v>
      </c>
      <c r="Y97" s="78">
        <f>(-753)/Table2[[#This Row],[DENSITY]]*1000</f>
        <v>-1602.127659574468</v>
      </c>
      <c r="Z97" s="121">
        <f>(-1.67*10^-3+750)/Table2[[#This Row],[DENSITY]]*1000</f>
        <v>1595.7411276595744</v>
      </c>
      <c r="AA97" s="84">
        <f ca="1">IF(OR($E97="Ecoinvent",$E97="Betonsortenrechner",$E97="KBOB",$U97&lt;=0,Table2[[#This Row],[VALID_TO]]&lt;=TODAY()),0,1)</f>
        <v>1</v>
      </c>
      <c r="AB97" s="154">
        <f ca="1">IF(Table2[[#This Row],[VALID_TO]]&gt;=TODAY(), 1, 0)</f>
        <v>1</v>
      </c>
      <c r="AC97" s="213" cm="1">
        <f t="array" aca="1" ref="AC97" ca="1">IF($AA97&lt;&gt;0,
IF(AND(
                         U97&gt;=_xlfn.PERCENTILE.INC(_xlfn._xlws.FILTER($U$2:$U$197, ($L$2:$L$197=L97)*($AA$2:$AA$197=1)),0.1),
                         U97&lt;=_xlfn.PERCENTILE.INC(_xlfn._xlws.FILTER($U$2:$U$197, ($L$3:$L$198=L97)*($AA$2:$AA$197=1)),0.9)
               ),1,0),
0)</f>
        <v>1</v>
      </c>
      <c r="AD97" s="131"/>
      <c r="AE97" s="2" t="s">
        <v>430</v>
      </c>
      <c r="AF97" s="2"/>
    </row>
    <row r="98" spans="1:32" x14ac:dyDescent="0.25">
      <c r="A98" s="8" t="s">
        <v>233</v>
      </c>
      <c r="B98" s="21"/>
      <c r="C98" s="222">
        <v>81</v>
      </c>
      <c r="D98" s="2" t="s">
        <v>109</v>
      </c>
      <c r="E98" s="3" t="s">
        <v>110</v>
      </c>
      <c r="F98" s="3"/>
      <c r="G98" s="32">
        <v>45104</v>
      </c>
      <c r="H98" s="32">
        <v>46930</v>
      </c>
      <c r="I98" s="26" t="s">
        <v>56</v>
      </c>
      <c r="J98" s="92" t="s">
        <v>103</v>
      </c>
      <c r="K98" s="6" t="s">
        <v>336</v>
      </c>
      <c r="L98" s="2" t="s">
        <v>323</v>
      </c>
      <c r="M98" s="100" t="s">
        <v>329</v>
      </c>
      <c r="N98" s="2" t="s">
        <v>427</v>
      </c>
      <c r="O98" s="26" t="s">
        <v>1</v>
      </c>
      <c r="P98" s="26">
        <v>464</v>
      </c>
      <c r="Q98" s="3" t="s">
        <v>427</v>
      </c>
      <c r="R98" s="3" t="s">
        <v>427</v>
      </c>
      <c r="S98" s="3" t="s">
        <v>427</v>
      </c>
      <c r="T98" s="112" t="s">
        <v>427</v>
      </c>
      <c r="U98" s="107">
        <f>SUM(Table2[[#This Row],[A1toA3_GWP]:[C1toC4_GWP]])</f>
        <v>184.20258620689651</v>
      </c>
      <c r="V98" s="24">
        <f>-687/Table2[[#This Row],[DENSITY]]*1000</f>
        <v>-1480.6034482758621</v>
      </c>
      <c r="W98" s="121">
        <f>(1.47+771)/Table2[[#This Row],[DENSITY]]*1000</f>
        <v>1664.8060344827586</v>
      </c>
      <c r="X98" s="154">
        <f>SUM(Table2[[#This Row],[A1toA3_GWP-biogenic]:[C1toC4_GWP-biogenic]])</f>
        <v>8.4894396551724185</v>
      </c>
      <c r="Y98" s="78">
        <f>(-763)/Table2[[#This Row],[DENSITY]]*1000</f>
        <v>-1644.3965517241379</v>
      </c>
      <c r="Z98" s="121">
        <f>(-6.09*10^-2+767)/Table2[[#This Row],[DENSITY]]*1000</f>
        <v>1652.8859913793103</v>
      </c>
      <c r="AA98" s="84">
        <f ca="1">IF(OR($E98="Ecoinvent",$E98="Betonsortenrechner",$E98="KBOB",$U98&lt;=0,Table2[[#This Row],[VALID_TO]]&lt;=TODAY()),0,1)</f>
        <v>1</v>
      </c>
      <c r="AB98" s="154">
        <f ca="1">IF(Table2[[#This Row],[VALID_TO]]&gt;=TODAY(), 1, 0)</f>
        <v>1</v>
      </c>
      <c r="AC98" s="213" cm="1">
        <f t="array" aca="1" ref="AC98" ca="1">IF($AA98&lt;&gt;0,
IF(AND(
                         U98&gt;=_xlfn.PERCENTILE.INC(_xlfn._xlws.FILTER($U$2:$U$197, ($L$2:$L$197=L98)*($AA$2:$AA$197=1)),0.1),
                         U98&lt;=_xlfn.PERCENTILE.INC(_xlfn._xlws.FILTER($U$2:$U$197, ($L$3:$L$198=L98)*($AA$2:$AA$197=1)),0.9)
               ),1,0),
0)</f>
        <v>1</v>
      </c>
      <c r="AD98" s="131"/>
      <c r="AE98" s="2" t="s">
        <v>431</v>
      </c>
      <c r="AF98" s="2"/>
    </row>
    <row r="99" spans="1:32" x14ac:dyDescent="0.25">
      <c r="A99" s="8" t="s">
        <v>234</v>
      </c>
      <c r="B99" s="21"/>
      <c r="C99" s="222">
        <v>87</v>
      </c>
      <c r="D99" s="2" t="s">
        <v>116</v>
      </c>
      <c r="E99" s="3" t="s">
        <v>115</v>
      </c>
      <c r="F99" s="3"/>
      <c r="G99" s="32">
        <v>45386</v>
      </c>
      <c r="H99" s="32">
        <v>47211</v>
      </c>
      <c r="I99" s="26" t="s">
        <v>54</v>
      </c>
      <c r="J99" s="92" t="s">
        <v>103</v>
      </c>
      <c r="K99" s="6" t="s">
        <v>336</v>
      </c>
      <c r="L99" s="2" t="s">
        <v>323</v>
      </c>
      <c r="M99" s="100" t="s">
        <v>329</v>
      </c>
      <c r="N99" s="2" t="s">
        <v>427</v>
      </c>
      <c r="O99" s="26" t="s">
        <v>1</v>
      </c>
      <c r="P99" s="26">
        <v>430</v>
      </c>
      <c r="Q99" s="3" t="s">
        <v>427</v>
      </c>
      <c r="R99" s="3" t="s">
        <v>427</v>
      </c>
      <c r="S99" s="3" t="s">
        <v>427</v>
      </c>
      <c r="T99" s="112" t="s">
        <v>427</v>
      </c>
      <c r="U99" s="107">
        <f>SUM(Table2[[#This Row],[A1toA3_GWP]:[C1toC4_GWP]])</f>
        <v>442.09302325581416</v>
      </c>
      <c r="V99" s="24">
        <f>(-554)/Table2[[#This Row],[DENSITY]]*1000</f>
        <v>-1288.3720930232557</v>
      </c>
      <c r="W99" s="121">
        <f>(19.1+725)/Table2[[#This Row],[DENSITY]]*1000</f>
        <v>1730.4651162790699</v>
      </c>
      <c r="X99" s="154">
        <f>SUM(Table2[[#This Row],[A1toA3_GWP-biogenic]:[C1toC4_GWP-biogenic]])</f>
        <v>0</v>
      </c>
      <c r="Y99" s="78">
        <f>(-713)/Table2[[#This Row],[DENSITY]]*1000</f>
        <v>-1658.1395348837209</v>
      </c>
      <c r="Z99" s="198">
        <f>(713)/Table2[[#This Row],[DENSITY]]*1000</f>
        <v>1658.1395348837209</v>
      </c>
      <c r="AA99" s="84">
        <f ca="1">IF(OR($E99="Ecoinvent",$E99="Betonsortenrechner",$E99="KBOB",$U99&lt;=0,Table2[[#This Row],[VALID_TO]]&lt;=TODAY()),0,1)</f>
        <v>1</v>
      </c>
      <c r="AB99" s="154">
        <f ca="1">IF(Table2[[#This Row],[VALID_TO]]&gt;=TODAY(), 1, 0)</f>
        <v>1</v>
      </c>
      <c r="AC99" s="213" cm="1">
        <f t="array" aca="1" ref="AC99" ca="1">IF($AA99&lt;&gt;0,
IF(AND(
                         U99&gt;=_xlfn.PERCENTILE.INC(_xlfn._xlws.FILTER($U$2:$U$197, ($L$2:$L$197=L99)*($AA$2:$AA$197=1)),0.1),
                         U99&lt;=_xlfn.PERCENTILE.INC(_xlfn._xlws.FILTER($U$2:$U$197, ($L$3:$L$198=L99)*($AA$2:$AA$197=1)),0.9)
               ),1,0),
0)</f>
        <v>0</v>
      </c>
      <c r="AD99" s="131"/>
      <c r="AE99" s="2" t="s">
        <v>433</v>
      </c>
      <c r="AF99" s="2"/>
    </row>
    <row r="100" spans="1:32" x14ac:dyDescent="0.25">
      <c r="A100" s="8" t="s">
        <v>275</v>
      </c>
      <c r="B100" s="21"/>
      <c r="C100" s="225">
        <v>108</v>
      </c>
      <c r="D100" s="2" t="s">
        <v>274</v>
      </c>
      <c r="E100" s="3" t="s">
        <v>243</v>
      </c>
      <c r="F100" s="3"/>
      <c r="G100" s="32">
        <v>45454</v>
      </c>
      <c r="H100" s="32">
        <v>47280</v>
      </c>
      <c r="I100" s="26" t="s">
        <v>247</v>
      </c>
      <c r="J100" s="92" t="s">
        <v>103</v>
      </c>
      <c r="K100" s="6" t="s">
        <v>336</v>
      </c>
      <c r="L100" s="2" t="s">
        <v>323</v>
      </c>
      <c r="M100" s="100" t="s">
        <v>329</v>
      </c>
      <c r="N100" s="2" t="s">
        <v>427</v>
      </c>
      <c r="O100" s="26" t="s">
        <v>1</v>
      </c>
      <c r="P100" s="26">
        <v>463</v>
      </c>
      <c r="Q100" s="3" t="s">
        <v>427</v>
      </c>
      <c r="R100" s="3" t="s">
        <v>427</v>
      </c>
      <c r="S100" s="3" t="s">
        <v>427</v>
      </c>
      <c r="T100" s="112" t="s">
        <v>427</v>
      </c>
      <c r="U100" s="107">
        <f>SUM(Table2[[#This Row],[A1toA3_GWP]:[C1toC4_GWP]])</f>
        <v>116.63714902807783</v>
      </c>
      <c r="V100" s="24">
        <f>(-700)/Table2[[#This Row],[DENSITY]]*1000</f>
        <v>-1511.8790496760259</v>
      </c>
      <c r="W100" s="121">
        <f>(0.153+1.85+752)/Table2[[#This Row],[DENSITY]]*1000</f>
        <v>1628.5161987041038</v>
      </c>
      <c r="X100" s="154">
        <f>SUM(Table2[[#This Row],[A1toA3_GWP-biogenic]:[C1toC4_GWP-biogenic]])</f>
        <v>5.332613390919505E-2</v>
      </c>
      <c r="Y100" s="78">
        <f>(-751)/Table2[[#This Row],[DENSITY]]*1000</f>
        <v>-1622.0302375809936</v>
      </c>
      <c r="Z100" s="198">
        <f>(1.89*10^-3+2.28*10^-2+751)/Table2[[#This Row],[DENSITY]]*1000</f>
        <v>1622.0835637149028</v>
      </c>
      <c r="AA100" s="84">
        <f ca="1">IF(OR($E100="Ecoinvent",$E100="Betonsortenrechner",$E100="KBOB",$U100&lt;=0,Table2[[#This Row],[VALID_TO]]&lt;=TODAY()),0,1)</f>
        <v>1</v>
      </c>
      <c r="AB100" s="154">
        <f ca="1">IF(Table2[[#This Row],[VALID_TO]]&gt;=TODAY(), 1, 0)</f>
        <v>1</v>
      </c>
      <c r="AC100" s="213" cm="1">
        <f t="array" aca="1" ref="AC100" ca="1">IF($AA100&lt;&gt;0,
IF(AND(
                         U100&gt;=_xlfn.PERCENTILE.INC(_xlfn._xlws.FILTER($U$2:$U$197, ($L$2:$L$197=L100)*($AA$2:$AA$197=1)),0.1),
                         U100&lt;=_xlfn.PERCENTILE.INC(_xlfn._xlws.FILTER($U$2:$U$197, ($L$3:$L$198=L100)*($AA$2:$AA$197=1)),0.9)
               ),1,0),
0)</f>
        <v>0</v>
      </c>
      <c r="AD100" s="131"/>
      <c r="AE100" s="2" t="s">
        <v>434</v>
      </c>
      <c r="AF100" s="2"/>
    </row>
    <row r="101" spans="1:32" x14ac:dyDescent="0.25">
      <c r="A101" s="8" t="s">
        <v>277</v>
      </c>
      <c r="B101" s="21"/>
      <c r="C101" s="222">
        <v>109</v>
      </c>
      <c r="D101" s="2" t="s">
        <v>276</v>
      </c>
      <c r="E101" s="3" t="s">
        <v>243</v>
      </c>
      <c r="F101" s="3"/>
      <c r="G101" s="32">
        <v>43399</v>
      </c>
      <c r="H101" s="32">
        <v>45225</v>
      </c>
      <c r="I101" s="26" t="s">
        <v>247</v>
      </c>
      <c r="J101" s="92" t="s">
        <v>103</v>
      </c>
      <c r="K101" s="6" t="s">
        <v>336</v>
      </c>
      <c r="L101" s="2" t="s">
        <v>323</v>
      </c>
      <c r="M101" s="100" t="s">
        <v>329</v>
      </c>
      <c r="N101" s="2" t="s">
        <v>427</v>
      </c>
      <c r="O101" s="26" t="s">
        <v>1</v>
      </c>
      <c r="P101" s="26">
        <v>430</v>
      </c>
      <c r="Q101" s="3" t="s">
        <v>427</v>
      </c>
      <c r="R101" s="3" t="s">
        <v>427</v>
      </c>
      <c r="S101" s="3" t="s">
        <v>427</v>
      </c>
      <c r="T101" s="112" t="s">
        <v>427</v>
      </c>
      <c r="U101" s="107">
        <f>SUM(Table2[[#This Row],[A1toA3_GWP]:[C1toC4_GWP]])</f>
        <v>-1534.8837209302326</v>
      </c>
      <c r="V101" s="24">
        <f>(-660)/Table2[[#This Row],[DENSITY]]*1000</f>
        <v>-1534.8837209302326</v>
      </c>
      <c r="W101" s="121" t="s">
        <v>427</v>
      </c>
      <c r="X101" s="154">
        <f>SUM(Table2[[#This Row],[A1toA3_GWP-biogenic]:[C1toC4_GWP-biogenic]])</f>
        <v>0</v>
      </c>
      <c r="Y101" s="78" t="s">
        <v>427</v>
      </c>
      <c r="Z101" s="198" t="s">
        <v>427</v>
      </c>
      <c r="AA101" s="84">
        <f ca="1">IF(OR($E101="Ecoinvent",$E101="Betonsortenrechner",$E101="KBOB",$U101&lt;=0,Table2[[#This Row],[VALID_TO]]&lt;=TODAY()),0,1)</f>
        <v>0</v>
      </c>
      <c r="AB101" s="154">
        <f ca="1">IF(Table2[[#This Row],[VALID_TO]]&gt;=TODAY(), 1, 0)</f>
        <v>0</v>
      </c>
      <c r="AC101" s="213" cm="1">
        <f t="array" aca="1" ref="AC101" ca="1">IF($AA101&lt;&gt;0,
IF(AND(
                         U101&gt;=_xlfn.PERCENTILE.INC(_xlfn._xlws.FILTER($U$2:$U$197, ($L$2:$L$197=L101)*($AA$2:$AA$197=1)),0.1),
                         U101&lt;=_xlfn.PERCENTILE.INC(_xlfn._xlws.FILTER($U$2:$U$197, ($L$3:$L$198=L101)*($AA$2:$AA$197=1)),0.9)
               ),1,0),
0)</f>
        <v>0</v>
      </c>
      <c r="AD101" s="131"/>
      <c r="AE101" s="2" t="s">
        <v>432</v>
      </c>
      <c r="AF101" s="2"/>
    </row>
    <row r="102" spans="1:32" x14ac:dyDescent="0.25">
      <c r="A102" s="8" t="s">
        <v>282</v>
      </c>
      <c r="B102" s="21"/>
      <c r="C102" s="222">
        <v>113</v>
      </c>
      <c r="D102" s="2" t="s">
        <v>281</v>
      </c>
      <c r="E102" s="3" t="s">
        <v>283</v>
      </c>
      <c r="F102" s="3"/>
      <c r="G102" s="32">
        <v>44746</v>
      </c>
      <c r="H102" s="32">
        <v>46572</v>
      </c>
      <c r="I102" s="26" t="s">
        <v>284</v>
      </c>
      <c r="J102" s="92" t="s">
        <v>103</v>
      </c>
      <c r="K102" s="6" t="s">
        <v>336</v>
      </c>
      <c r="L102" s="2" t="s">
        <v>323</v>
      </c>
      <c r="M102" s="100" t="s">
        <v>329</v>
      </c>
      <c r="N102" s="2" t="s">
        <v>427</v>
      </c>
      <c r="O102" s="26" t="s">
        <v>1</v>
      </c>
      <c r="P102" s="26">
        <v>430</v>
      </c>
      <c r="Q102" s="3" t="s">
        <v>427</v>
      </c>
      <c r="R102" s="3" t="s">
        <v>427</v>
      </c>
      <c r="S102" s="3" t="s">
        <v>427</v>
      </c>
      <c r="T102" s="112" t="s">
        <v>427</v>
      </c>
      <c r="U102" s="107">
        <f>SUM(Table2[[#This Row],[A1toA3_GWP]:[C1toC4_GWP]])</f>
        <v>319.93023255813955</v>
      </c>
      <c r="V102" s="24">
        <f>(-556)/Table2[[#This Row],[DENSITY]]*1000</f>
        <v>-1293.0232558139535</v>
      </c>
      <c r="W102" s="121">
        <f>(2.57+691)/Table2[[#This Row],[DENSITY]]*1000</f>
        <v>1612.953488372093</v>
      </c>
      <c r="X102" s="154">
        <f>SUM(Table2[[#This Row],[A1toA3_GWP-biogenic]:[C1toC4_GWP-biogenic]])</f>
        <v>6.3255813953446705E-2</v>
      </c>
      <c r="Y102" s="78">
        <f>(-678)/Table2[[#This Row],[DENSITY]]*1000</f>
        <v>-1576.7441860465117</v>
      </c>
      <c r="Z102" s="121">
        <f>(2.72*10^-2+678)/Table2[[#This Row],[DENSITY]]*1000</f>
        <v>1576.8074418604651</v>
      </c>
      <c r="AA102" s="84">
        <f ca="1">IF(OR($E102="Ecoinvent",$E102="Betonsortenrechner",$E102="KBOB",$U102&lt;=0,Table2[[#This Row],[VALID_TO]]&lt;=TODAY()),0,1)</f>
        <v>1</v>
      </c>
      <c r="AB102" s="154">
        <f ca="1">IF(Table2[[#This Row],[VALID_TO]]&gt;=TODAY(), 1, 0)</f>
        <v>1</v>
      </c>
      <c r="AC102" s="213" cm="1">
        <f t="array" aca="1" ref="AC102" ca="1">IF($AA102&lt;&gt;0,
IF(AND(
                         U102&gt;=_xlfn.PERCENTILE.INC(_xlfn._xlws.FILTER($U$2:$U$197, ($L$2:$L$197=L102)*($AA$2:$AA$197=1)),0.1),
                         U102&lt;=_xlfn.PERCENTILE.INC(_xlfn._xlws.FILTER($U$2:$U$197, ($L$3:$L$198=L102)*($AA$2:$AA$197=1)),0.9)
               ),1,0),
0)</f>
        <v>1</v>
      </c>
      <c r="AD102" s="131"/>
      <c r="AE102" s="2" t="s">
        <v>437</v>
      </c>
      <c r="AF102" s="2" t="s">
        <v>436</v>
      </c>
    </row>
    <row r="103" spans="1:32" x14ac:dyDescent="0.25">
      <c r="A103" s="8" t="s">
        <v>285</v>
      </c>
      <c r="B103" s="21"/>
      <c r="C103" s="225">
        <v>114</v>
      </c>
      <c r="D103" s="2" t="s">
        <v>286</v>
      </c>
      <c r="E103" s="3" t="s">
        <v>287</v>
      </c>
      <c r="F103" s="3"/>
      <c r="G103" s="32" t="s">
        <v>288</v>
      </c>
      <c r="H103" s="32">
        <v>46659</v>
      </c>
      <c r="I103" s="26" t="s">
        <v>247</v>
      </c>
      <c r="J103" s="92" t="s">
        <v>103</v>
      </c>
      <c r="K103" s="6" t="s">
        <v>336</v>
      </c>
      <c r="L103" s="2" t="s">
        <v>323</v>
      </c>
      <c r="M103" s="100" t="s">
        <v>329</v>
      </c>
      <c r="N103" s="2" t="s">
        <v>427</v>
      </c>
      <c r="O103" s="26" t="s">
        <v>1</v>
      </c>
      <c r="P103" s="26">
        <v>462</v>
      </c>
      <c r="Q103" s="3" t="s">
        <v>427</v>
      </c>
      <c r="R103" s="3" t="s">
        <v>427</v>
      </c>
      <c r="S103" s="3" t="s">
        <v>427</v>
      </c>
      <c r="T103" s="112" t="s">
        <v>427</v>
      </c>
      <c r="U103" s="107">
        <f>SUM(Table2[[#This Row],[A1toA3_GWP]:[C1toC4_GWP]])</f>
        <v>169.16883116883105</v>
      </c>
      <c r="V103" s="24">
        <f>(-674)/Table2[[#This Row],[DENSITY]]*1000</f>
        <v>-1458.8744588744589</v>
      </c>
      <c r="W103" s="121">
        <f>(0.116+1.04+751)/Table2[[#This Row],[DENSITY]]*1000</f>
        <v>1628.04329004329</v>
      </c>
      <c r="X103" s="154">
        <f>SUM(Table2[[#This Row],[A1toA3_GWP-biogenic]:[C1toC4_GWP-biogenic]])</f>
        <v>15.159218614718611</v>
      </c>
      <c r="Y103" s="78">
        <f>(-744)/Table2[[#This Row],[DENSITY]]*1000</f>
        <v>-1610.3896103896104</v>
      </c>
      <c r="Z103" s="121">
        <f>(3.59*10^-4+3.2*10^-3+751)/Table2[[#This Row],[DENSITY]]*1000</f>
        <v>1625.548829004329</v>
      </c>
      <c r="AA103" s="84">
        <f ca="1">IF(OR($E103="Ecoinvent",$E103="Betonsortenrechner",$E103="KBOB",$U103&lt;=0,Table2[[#This Row],[VALID_TO]]&lt;=TODAY()),0,1)</f>
        <v>1</v>
      </c>
      <c r="AB103" s="154">
        <f ca="1">IF(Table2[[#This Row],[VALID_TO]]&gt;=TODAY(), 1, 0)</f>
        <v>1</v>
      </c>
      <c r="AC103" s="213" cm="1">
        <f t="array" aca="1" ref="AC103" ca="1">IF($AA103&lt;&gt;0,
IF(AND(
                         U103&gt;=_xlfn.PERCENTILE.INC(_xlfn._xlws.FILTER($U$2:$U$197, ($L$2:$L$197=L103)*($AA$2:$AA$197=1)),0.1),
                         U103&lt;=_xlfn.PERCENTILE.INC(_xlfn._xlws.FILTER($U$2:$U$197, ($L$3:$L$198=L103)*($AA$2:$AA$197=1)),0.9)
               ),1,0),
0)</f>
        <v>1</v>
      </c>
      <c r="AD103" s="131"/>
      <c r="AE103" s="2" t="s">
        <v>434</v>
      </c>
      <c r="AF103" s="2"/>
    </row>
    <row r="104" spans="1:32" x14ac:dyDescent="0.25">
      <c r="A104" s="8" t="s">
        <v>293</v>
      </c>
      <c r="B104" s="21"/>
      <c r="C104" s="225">
        <v>118</v>
      </c>
      <c r="D104" s="2" t="s">
        <v>292</v>
      </c>
      <c r="E104" s="3" t="s">
        <v>294</v>
      </c>
      <c r="F104" s="3"/>
      <c r="G104" s="32">
        <v>44475</v>
      </c>
      <c r="H104" s="32">
        <v>6.1020260000000004</v>
      </c>
      <c r="I104" s="26" t="s">
        <v>296</v>
      </c>
      <c r="J104" s="92" t="s">
        <v>103</v>
      </c>
      <c r="K104" s="6" t="s">
        <v>336</v>
      </c>
      <c r="L104" s="2" t="s">
        <v>323</v>
      </c>
      <c r="M104" s="100" t="s">
        <v>329</v>
      </c>
      <c r="N104" s="2" t="s">
        <v>427</v>
      </c>
      <c r="O104" s="26" t="s">
        <v>1</v>
      </c>
      <c r="P104" s="26">
        <v>440</v>
      </c>
      <c r="Q104" s="3" t="s">
        <v>427</v>
      </c>
      <c r="R104" s="3" t="s">
        <v>427</v>
      </c>
      <c r="S104" s="3" t="s">
        <v>427</v>
      </c>
      <c r="T104" s="112" t="s">
        <v>427</v>
      </c>
      <c r="U104" s="107">
        <f>SUM(Table2[[#This Row],[A1toA3_GWP]:[C1toC4_GWP]])</f>
        <v>765.45454545454561</v>
      </c>
      <c r="V104" s="24">
        <f>(-371)/Table2[[#This Row],[DENSITY]]*1000</f>
        <v>-843.18181818181813</v>
      </c>
      <c r="W104" s="121">
        <f>(28.8+679)/Table2[[#This Row],[DENSITY]]*1000</f>
        <v>1608.6363636363637</v>
      </c>
      <c r="X104" s="154">
        <f>SUM(Table2[[#This Row],[A1toA3_GWP-biogenic]:[C1toC4_GWP-biogenic]])</f>
        <v>0</v>
      </c>
      <c r="Y104" s="78">
        <f>(-667)/Table2[[#This Row],[DENSITY]]*1000</f>
        <v>-1515.9090909090908</v>
      </c>
      <c r="Z104" s="121">
        <f>(667)/Table2[[#This Row],[DENSITY]]*1000</f>
        <v>1515.9090909090908</v>
      </c>
      <c r="AA104" s="84">
        <f ca="1">IF(OR($E104="Ecoinvent",$E104="Betonsortenrechner",$E104="KBOB",$U104&lt;=0,Table2[[#This Row],[VALID_TO]]&lt;=TODAY()),0,1)</f>
        <v>0</v>
      </c>
      <c r="AB104" s="154">
        <f ca="1">IF(Table2[[#This Row],[VALID_TO]]&gt;=TODAY(), 1, 0)</f>
        <v>0</v>
      </c>
      <c r="AC104" s="213" cm="1">
        <f t="array" aca="1" ref="AC104" ca="1">IF($AA104&lt;&gt;0,
IF(AND(
                         U104&gt;=_xlfn.PERCENTILE.INC(_xlfn._xlws.FILTER($U$2:$U$197, ($L$2:$L$197=L104)*($AA$2:$AA$197=1)),0.1),
                         U104&lt;=_xlfn.PERCENTILE.INC(_xlfn._xlws.FILTER($U$2:$U$197, ($L$3:$L$198=L104)*($AA$2:$AA$197=1)),0.9)
               ),1,0),
0)</f>
        <v>0</v>
      </c>
      <c r="AD104" s="131"/>
      <c r="AE104" s="2"/>
      <c r="AF104" s="2"/>
    </row>
    <row r="105" spans="1:32" x14ac:dyDescent="0.25">
      <c r="A105" s="8" t="s">
        <v>299</v>
      </c>
      <c r="B105" s="21"/>
      <c r="C105" s="222">
        <v>119</v>
      </c>
      <c r="D105" s="2" t="s">
        <v>297</v>
      </c>
      <c r="E105" s="3" t="s">
        <v>298</v>
      </c>
      <c r="F105" s="3"/>
      <c r="G105" s="32">
        <v>44293</v>
      </c>
      <c r="H105" s="32">
        <v>46119</v>
      </c>
      <c r="I105" s="26" t="s">
        <v>295</v>
      </c>
      <c r="J105" s="92" t="s">
        <v>103</v>
      </c>
      <c r="K105" s="6" t="s">
        <v>336</v>
      </c>
      <c r="L105" s="2" t="s">
        <v>323</v>
      </c>
      <c r="M105" s="100" t="s">
        <v>329</v>
      </c>
      <c r="N105" s="2" t="s">
        <v>427</v>
      </c>
      <c r="O105" s="26" t="s">
        <v>1</v>
      </c>
      <c r="P105" s="26">
        <v>467</v>
      </c>
      <c r="Q105" s="3" t="s">
        <v>427</v>
      </c>
      <c r="R105" s="3" t="s">
        <v>427</v>
      </c>
      <c r="S105" s="3" t="s">
        <v>427</v>
      </c>
      <c r="T105" s="112" t="s">
        <v>427</v>
      </c>
      <c r="U105" s="84">
        <f>SUM(Table2[[#This Row],[A1toA3_GWP]:[C1toC4_GWP]])</f>
        <v>-220.42826552462543</v>
      </c>
      <c r="V105" s="185">
        <f>(-814)/Table2[[#This Row],[DENSITY]]*1000</f>
        <v>-1743.0406852248395</v>
      </c>
      <c r="W105" s="186">
        <f>(1.57+6.49+703)/Table2[[#This Row],[DENSITY]]*1000</f>
        <v>1522.6124197002141</v>
      </c>
      <c r="X105" s="154">
        <f>SUM(Table2[[#This Row],[A1toA3_GWP-biogenic]:[C1toC4_GWP-biogenic]])</f>
        <v>-503.63961713062122</v>
      </c>
      <c r="Y105" s="154">
        <f>(-932.2)/Table2[[#This Row],[DENSITY]]*1000</f>
        <v>-1996.1456102783727</v>
      </c>
      <c r="Z105" s="186">
        <f>(1.15*10^-4+1.838*10^-4+697)/Table2[[#This Row],[DENSITY]]*1000</f>
        <v>1492.5059931477515</v>
      </c>
      <c r="AA105" s="84">
        <f ca="1">IF(OR($E105="Ecoinvent",$E105="Betonsortenrechner",$E105="KBOB",$U105&lt;=0,Table2[[#This Row],[VALID_TO]]&lt;=TODAY()),0,1)</f>
        <v>0</v>
      </c>
      <c r="AB105" s="154">
        <f ca="1">IF(Table2[[#This Row],[VALID_TO]]&gt;=TODAY(), 1, 0)</f>
        <v>1</v>
      </c>
      <c r="AC105" s="213" cm="1">
        <f t="array" aca="1" ref="AC105" ca="1">IF($AA105&lt;&gt;0,
IF(AND(
                         U105&gt;=_xlfn.PERCENTILE.INC(_xlfn._xlws.FILTER($U$2:$U$197, ($L$2:$L$197=L105)*($AA$2:$AA$197=1)),0.1),
                         U105&lt;=_xlfn.PERCENTILE.INC(_xlfn._xlws.FILTER($U$2:$U$197, ($L$3:$L$198=L105)*($AA$2:$AA$197=1)),0.9)
               ),1,0),
0)</f>
        <v>0</v>
      </c>
      <c r="AD105" s="131"/>
      <c r="AE105" s="2" t="s">
        <v>438</v>
      </c>
      <c r="AF105" s="2"/>
    </row>
    <row r="106" spans="1:32" x14ac:dyDescent="0.25">
      <c r="A106" s="8" t="s">
        <v>466</v>
      </c>
      <c r="B106" s="21"/>
      <c r="C106" s="225">
        <v>126</v>
      </c>
      <c r="D106" s="21" t="s">
        <v>468</v>
      </c>
      <c r="E106" s="3" t="s">
        <v>469</v>
      </c>
      <c r="F106" s="3"/>
      <c r="G106" s="32">
        <v>44312</v>
      </c>
      <c r="H106" s="32">
        <v>46138</v>
      </c>
      <c r="I106" s="32" t="s">
        <v>302</v>
      </c>
      <c r="J106" s="92" t="s">
        <v>103</v>
      </c>
      <c r="K106" s="6" t="s">
        <v>336</v>
      </c>
      <c r="L106" s="2" t="s">
        <v>323</v>
      </c>
      <c r="M106" s="100" t="s">
        <v>329</v>
      </c>
      <c r="N106" s="2" t="s">
        <v>427</v>
      </c>
      <c r="O106" s="26" t="s">
        <v>1</v>
      </c>
      <c r="P106" s="26">
        <v>468</v>
      </c>
      <c r="Q106" s="3" t="s">
        <v>427</v>
      </c>
      <c r="R106" s="3" t="s">
        <v>427</v>
      </c>
      <c r="S106" s="3" t="s">
        <v>427</v>
      </c>
      <c r="T106" s="112" t="s">
        <v>427</v>
      </c>
      <c r="U106" s="107">
        <f>SUM(Table2[[#This Row],[A1toA3_GWP]:[C1toC4_GWP]])</f>
        <v>80.555555555555657</v>
      </c>
      <c r="V106" s="24">
        <f>-726/Table2[[#This Row],[DENSITY]]*1000</f>
        <v>-1551.2820512820513</v>
      </c>
      <c r="W106" s="121">
        <f>(0.8+4.9+758)/Table2[[#This Row],[DENSITY]]*1000</f>
        <v>1631.8376068376069</v>
      </c>
      <c r="X106" s="154">
        <f>SUM(Table2[[#This Row],[A1toA3_GWP-biogenic]:[C1toC4_GWP-biogenic]])</f>
        <v>0</v>
      </c>
      <c r="Y106" s="154">
        <f>(-758)/Table2[[#This Row],[DENSITY]]*1000</f>
        <v>-1619.6581196581196</v>
      </c>
      <c r="Z106" s="186">
        <f>(758)/Table2[[#This Row],[DENSITY]]*1000</f>
        <v>1619.6581196581196</v>
      </c>
      <c r="AA106" s="84">
        <f ca="1">IF(OR($E106="Ecoinvent",$E106="Betonsortenrechner",$E106="KBOB",$U106&lt;=0,Table2[[#This Row],[VALID_TO]]&lt;=TODAY()),0,1)</f>
        <v>1</v>
      </c>
      <c r="AB106" s="154">
        <f ca="1">IF(Table2[[#This Row],[VALID_TO]]&gt;=TODAY(), 1, 0)</f>
        <v>1</v>
      </c>
      <c r="AC106" s="213" cm="1">
        <f t="array" aca="1" ref="AC106" ca="1">IF($AA106&lt;&gt;0,
IF(AND(
                         U106&gt;=_xlfn.PERCENTILE.INC(_xlfn._xlws.FILTER($U$2:$U$197, ($M$2:$M$197=M106)*($AA$2:$AA$197=1)),0.1),
                         U106&lt;=_xlfn.PERCENTILE.INC(_xlfn._xlws.FILTER($U$2:$U$197, ($M$2:$M$197=M106)*($AA$2:$AA$197=1)),0.9)
               ),1,0),
0)</f>
        <v>0</v>
      </c>
      <c r="AD106" s="131"/>
      <c r="AE106" s="2" t="s">
        <v>467</v>
      </c>
      <c r="AF106" s="2"/>
    </row>
    <row r="107" spans="1:32" x14ac:dyDescent="0.25">
      <c r="A107" s="8" t="s">
        <v>268</v>
      </c>
      <c r="B107" s="21" t="s">
        <v>538</v>
      </c>
      <c r="C107" s="222">
        <v>83</v>
      </c>
      <c r="D107" s="21" t="s">
        <v>112</v>
      </c>
      <c r="E107" s="3" t="s">
        <v>111</v>
      </c>
      <c r="F107" s="3"/>
      <c r="G107" s="32">
        <v>43798</v>
      </c>
      <c r="H107" s="32">
        <v>45624</v>
      </c>
      <c r="I107" s="26" t="s">
        <v>106</v>
      </c>
      <c r="J107" s="92" t="s">
        <v>103</v>
      </c>
      <c r="K107" s="6" t="s">
        <v>336</v>
      </c>
      <c r="L107" s="2" t="s">
        <v>323</v>
      </c>
      <c r="M107" s="100" t="s">
        <v>329</v>
      </c>
      <c r="N107" s="2" t="s">
        <v>427</v>
      </c>
      <c r="O107" s="26" t="s">
        <v>547</v>
      </c>
      <c r="P107" s="31">
        <v>459.2</v>
      </c>
      <c r="Q107" s="3" t="s">
        <v>427</v>
      </c>
      <c r="R107" s="3" t="s">
        <v>427</v>
      </c>
      <c r="S107" s="3" t="s">
        <v>427</v>
      </c>
      <c r="T107" s="112" t="s">
        <v>427</v>
      </c>
      <c r="U107" s="107">
        <f>SUM(Table2[[#This Row],[A1toA3_GWP]:[C1toC4_GWP]])</f>
        <v>239.97386759581855</v>
      </c>
      <c r="V107" s="24">
        <f>(-660+6.26+14.4)/Table2[[#This Row],[DENSITY]]*1000</f>
        <v>-1392.2909407665506</v>
      </c>
      <c r="W107" s="121">
        <f>(0.536+749)/Table2[[#This Row],[DENSITY]]*1000</f>
        <v>1632.2648083623692</v>
      </c>
      <c r="X107" s="154">
        <f>SUM(Table2[[#This Row],[A1toA3_GWP-biogenic]:[C1toC4_GWP-biogenic]])</f>
        <v>0</v>
      </c>
      <c r="Y107" s="78" t="s">
        <v>427</v>
      </c>
      <c r="Z107" s="121" t="s">
        <v>427</v>
      </c>
      <c r="AA107" s="84">
        <f ca="1">IF(OR($E107="Ecoinvent",$E107="Betonsortenrechner",$E107="KBOB",$U107&lt;=0,Table2[[#This Row],[VALID_TO]]&lt;=TODAY()),0,1)</f>
        <v>0</v>
      </c>
      <c r="AB107" s="154">
        <f ca="1">IF(Table2[[#This Row],[VALID_TO]]&gt;=TODAY(), 1, 0)</f>
        <v>0</v>
      </c>
      <c r="AC107" s="213" cm="1">
        <f t="array" aca="1" ref="AC107" ca="1">IF($AA107&lt;&gt;0,
IF(AND(
                         U107&gt;=_xlfn.PERCENTILE.INC(_xlfn._xlws.FILTER($U$2:$U$197, ($L$2:$L$197=L107)*($AA$2:$AA$197=1)),0.1),
                         U107&lt;=_xlfn.PERCENTILE.INC(_xlfn._xlws.FILTER($U$2:$U$197, ($L$3:$L$198=L107)*($AA$2:$AA$197=1)),0.9)
               ),1,0),
0)</f>
        <v>0</v>
      </c>
      <c r="AD107" s="131"/>
      <c r="AE107" s="2"/>
      <c r="AF107" s="2"/>
    </row>
    <row r="108" spans="1:32" x14ac:dyDescent="0.25">
      <c r="A108" s="8" t="s">
        <v>278</v>
      </c>
      <c r="B108" s="21" t="s">
        <v>538</v>
      </c>
      <c r="C108" s="222">
        <v>111</v>
      </c>
      <c r="D108" s="21" t="s">
        <v>279</v>
      </c>
      <c r="E108" s="3" t="s">
        <v>280</v>
      </c>
      <c r="F108" s="3"/>
      <c r="G108" s="32">
        <v>44830</v>
      </c>
      <c r="H108" s="32">
        <v>46655</v>
      </c>
      <c r="I108" s="26" t="s">
        <v>273</v>
      </c>
      <c r="J108" s="92" t="s">
        <v>103</v>
      </c>
      <c r="K108" s="6" t="s">
        <v>336</v>
      </c>
      <c r="L108" s="2" t="s">
        <v>323</v>
      </c>
      <c r="M108" s="100" t="s">
        <v>329</v>
      </c>
      <c r="N108" s="2" t="s">
        <v>427</v>
      </c>
      <c r="O108" s="26" t="s">
        <v>547</v>
      </c>
      <c r="P108" s="26">
        <v>480</v>
      </c>
      <c r="Q108" s="3" t="s">
        <v>427</v>
      </c>
      <c r="R108" s="3" t="s">
        <v>427</v>
      </c>
      <c r="S108" s="3" t="s">
        <v>427</v>
      </c>
      <c r="T108" s="112" t="s">
        <v>427</v>
      </c>
      <c r="U108" s="107">
        <f>SUM(Table2[[#This Row],[A1toA3_GWP]:[C1toC4_GWP]])</f>
        <v>291.03750000000014</v>
      </c>
      <c r="V108" s="24">
        <f>(-680+6.04+37.1)/Table2[[#This Row],[DENSITY]]*1000</f>
        <v>-1326.7916666666665</v>
      </c>
      <c r="W108" s="121">
        <f>(0.558+776)/Table2[[#This Row],[DENSITY]]*1000</f>
        <v>1617.8291666666667</v>
      </c>
      <c r="X108" s="154">
        <f>SUM(Table2[[#This Row],[A1toA3_GWP-biogenic]:[C1toC4_GWP-biogenic]])</f>
        <v>0</v>
      </c>
      <c r="Y108" s="78" t="s">
        <v>427</v>
      </c>
      <c r="Z108" s="121" t="s">
        <v>427</v>
      </c>
      <c r="AA108" s="84">
        <f ca="1">IF(OR($E108="Ecoinvent",$E108="Betonsortenrechner",$E108="KBOB",$U108&lt;=0,Table2[[#This Row],[VALID_TO]]&lt;=TODAY()),0,1)</f>
        <v>1</v>
      </c>
      <c r="AB108" s="154">
        <f ca="1">IF(Table2[[#This Row],[VALID_TO]]&gt;=TODAY(), 1, 0)</f>
        <v>1</v>
      </c>
      <c r="AC108" s="213" cm="1">
        <f t="array" aca="1" ref="AC108" ca="1">IF($AA108&lt;&gt;0,
IF(AND(
                         U108&gt;=_xlfn.PERCENTILE.INC(_xlfn._xlws.FILTER($U$2:$U$197, ($L$2:$L$197=L108)*($AA$2:$AA$197=1)),0.1),
                         U108&lt;=_xlfn.PERCENTILE.INC(_xlfn._xlws.FILTER($U$2:$U$197, ($L$3:$L$198=L108)*($AA$2:$AA$197=1)),0.9)
               ),1,0),
0)</f>
        <v>1</v>
      </c>
      <c r="AD108" s="131"/>
      <c r="AE108" s="2" t="s">
        <v>435</v>
      </c>
      <c r="AF108" s="2"/>
    </row>
    <row r="109" spans="1:32" x14ac:dyDescent="0.25">
      <c r="A109" s="8" t="s">
        <v>289</v>
      </c>
      <c r="B109" s="21" t="s">
        <v>538</v>
      </c>
      <c r="C109" s="225">
        <v>116</v>
      </c>
      <c r="D109" s="21" t="s">
        <v>290</v>
      </c>
      <c r="E109" s="3" t="s">
        <v>291</v>
      </c>
      <c r="F109" s="3"/>
      <c r="G109" s="32">
        <v>43325</v>
      </c>
      <c r="H109" s="32">
        <v>45334</v>
      </c>
      <c r="I109" s="26" t="s">
        <v>273</v>
      </c>
      <c r="J109" s="92" t="s">
        <v>103</v>
      </c>
      <c r="K109" s="6" t="s">
        <v>336</v>
      </c>
      <c r="L109" s="2" t="s">
        <v>323</v>
      </c>
      <c r="M109" s="100" t="s">
        <v>329</v>
      </c>
      <c r="N109" s="2" t="s">
        <v>427</v>
      </c>
      <c r="O109" s="26" t="s">
        <v>542</v>
      </c>
      <c r="P109" s="26">
        <v>483</v>
      </c>
      <c r="Q109" s="3" t="s">
        <v>427</v>
      </c>
      <c r="R109" s="3" t="s">
        <v>427</v>
      </c>
      <c r="S109" s="3" t="s">
        <v>427</v>
      </c>
      <c r="T109" s="112" t="s">
        <v>427</v>
      </c>
      <c r="U109" s="107">
        <f>SUM(Table2[[#This Row],[A1toA3_GWP]:[C1toC4_GWP]])</f>
        <v>264.56521739130449</v>
      </c>
      <c r="V109" s="24">
        <f>(-751+32.1+68.2)/Table2[[#This Row],[DENSITY]]*1000</f>
        <v>-1347.2049689440992</v>
      </c>
      <c r="W109" s="121">
        <f>(0.485+778)/Table2[[#This Row],[DENSITY]]*1000</f>
        <v>1611.7701863354037</v>
      </c>
      <c r="X109" s="154">
        <f>SUM(Table2[[#This Row],[A1toA3_GWP-biogenic]:[C1toC4_GWP-biogenic]])</f>
        <v>0</v>
      </c>
      <c r="Y109" s="78" t="s">
        <v>427</v>
      </c>
      <c r="Z109" s="121" t="s">
        <v>427</v>
      </c>
      <c r="AA109" s="84">
        <f ca="1">IF(OR($E109="Ecoinvent",$E109="Betonsortenrechner",$E109="KBOB",$U109&lt;=0,Table2[[#This Row],[VALID_TO]]&lt;=TODAY()),0,1)</f>
        <v>0</v>
      </c>
      <c r="AB109" s="154">
        <f ca="1">IF(Table2[[#This Row],[VALID_TO]]&gt;=TODAY(), 1, 0)</f>
        <v>0</v>
      </c>
      <c r="AC109" s="213" cm="1">
        <f t="array" aca="1" ref="AC109" ca="1">IF($AA109&lt;&gt;0,
IF(AND(
                         U109&gt;=_xlfn.PERCENTILE.INC(_xlfn._xlws.FILTER($U$2:$U$197, ($L$2:$L$197=L109)*($AA$2:$AA$197=1)),0.1),
                         U109&lt;=_xlfn.PERCENTILE.INC(_xlfn._xlws.FILTER($U$2:$U$197, ($L$3:$L$198=L109)*($AA$2:$AA$197=1)),0.9)
               ),1,0),
0)</f>
        <v>0</v>
      </c>
      <c r="AD109" s="131"/>
      <c r="AE109" s="2"/>
      <c r="AF109" s="2"/>
    </row>
    <row r="110" spans="1:32" x14ac:dyDescent="0.25">
      <c r="A110" s="8" t="s">
        <v>238</v>
      </c>
      <c r="B110" s="21" t="s">
        <v>538</v>
      </c>
      <c r="C110" s="222">
        <v>69</v>
      </c>
      <c r="D110" s="21" t="s">
        <v>100</v>
      </c>
      <c r="E110" s="3" t="s">
        <v>101</v>
      </c>
      <c r="F110" s="3"/>
      <c r="G110" s="32">
        <v>43248</v>
      </c>
      <c r="H110" s="174">
        <v>45439</v>
      </c>
      <c r="I110" s="26" t="s">
        <v>53</v>
      </c>
      <c r="J110" s="92" t="s">
        <v>103</v>
      </c>
      <c r="K110" s="6" t="s">
        <v>336</v>
      </c>
      <c r="L110" s="2" t="s">
        <v>323</v>
      </c>
      <c r="M110" s="100" t="s">
        <v>329</v>
      </c>
      <c r="N110" s="2" t="s">
        <v>427</v>
      </c>
      <c r="O110" s="26" t="s">
        <v>544</v>
      </c>
      <c r="P110" s="26">
        <v>427</v>
      </c>
      <c r="Q110" s="3" t="s">
        <v>427</v>
      </c>
      <c r="R110" s="3" t="s">
        <v>427</v>
      </c>
      <c r="S110" s="3" t="s">
        <v>427</v>
      </c>
      <c r="T110" s="112" t="s">
        <v>427</v>
      </c>
      <c r="U110" s="107">
        <f>SUM(Table2[[#This Row],[A1toA3_GWP]:[C1toC4_GWP]])</f>
        <v>169.48477751756423</v>
      </c>
      <c r="V110" s="24">
        <f>-615/Table2[[#This Row],[DENSITY]]*1000</f>
        <v>-1440.2810304449649</v>
      </c>
      <c r="W110" s="121">
        <f>(1.37+686)/Table2[[#This Row],[DENSITY]]*1000</f>
        <v>1609.7658079625292</v>
      </c>
      <c r="X110" s="154">
        <f>SUM(Table2[[#This Row],[A1toA3_GWP-biogenic]:[C1toC4_GWP-biogenic]])</f>
        <v>0</v>
      </c>
      <c r="Y110" s="78" t="s">
        <v>427</v>
      </c>
      <c r="Z110" s="121" t="s">
        <v>427</v>
      </c>
      <c r="AA110" s="84">
        <f ca="1">IF(OR($E110="Ecoinvent",$E110="Betonsortenrechner",$E110="KBOB",$U110&lt;=0,Table2[[#This Row],[VALID_TO]]&lt;=TODAY()),0,1)</f>
        <v>0</v>
      </c>
      <c r="AB110" s="154">
        <f ca="1">IF(Table2[[#This Row],[VALID_TO]]&gt;=TODAY(), 1, 0)</f>
        <v>0</v>
      </c>
      <c r="AC110" s="247" cm="1">
        <f t="array" aca="1" ref="AC110" ca="1">IF($AA110&lt;&gt;0,
IF(AND(
                         U110&gt;=_xlfn.PERCENTILE.INC(_xlfn._xlws.FILTER($U$2:$U$197, ($L$2:$L$197=L110)*($AA$2:$AA$197=1)),0.1),
                         U110&lt;=_xlfn.PERCENTILE.INC(_xlfn._xlws.FILTER($U$2:$U$197, ($L$3:$L$198=L110)*($AA$2:$AA$197=1)),0.9)
               ),1,0),
0)</f>
        <v>0</v>
      </c>
      <c r="AD110" s="131"/>
      <c r="AE110" s="2" t="s">
        <v>428</v>
      </c>
      <c r="AF110" s="2"/>
    </row>
    <row r="111" spans="1:32" x14ac:dyDescent="0.25">
      <c r="A111" s="8" t="s">
        <v>237</v>
      </c>
      <c r="B111" s="21" t="s">
        <v>538</v>
      </c>
      <c r="C111" s="225">
        <v>72</v>
      </c>
      <c r="D111" s="21" t="s">
        <v>102</v>
      </c>
      <c r="E111" s="3" t="s">
        <v>101</v>
      </c>
      <c r="F111" s="3"/>
      <c r="G111" s="32">
        <v>45358</v>
      </c>
      <c r="H111" s="32">
        <v>47183</v>
      </c>
      <c r="I111" s="26" t="s">
        <v>53</v>
      </c>
      <c r="J111" s="92" t="s">
        <v>103</v>
      </c>
      <c r="K111" s="6" t="s">
        <v>336</v>
      </c>
      <c r="L111" s="2" t="s">
        <v>323</v>
      </c>
      <c r="M111" s="100" t="s">
        <v>329</v>
      </c>
      <c r="N111" s="2" t="s">
        <v>427</v>
      </c>
      <c r="O111" s="26" t="s">
        <v>544</v>
      </c>
      <c r="P111" s="26">
        <v>424</v>
      </c>
      <c r="Q111" s="3" t="s">
        <v>427</v>
      </c>
      <c r="R111" s="3" t="s">
        <v>427</v>
      </c>
      <c r="S111" s="3" t="s">
        <v>427</v>
      </c>
      <c r="T111" s="112" t="s">
        <v>427</v>
      </c>
      <c r="U111" s="107">
        <f>SUM(Table2[[#This Row],[A1toA3_GWP]:[C1toC4_GWP]])</f>
        <v>305.09433962264143</v>
      </c>
      <c r="V111" s="24">
        <f>-559/Table2[[#This Row],[DENSITY]]*1000</f>
        <v>-1318.3962264150944</v>
      </c>
      <c r="W111" s="121">
        <f>(2.36+686)/Table2[[#This Row],[DENSITY]]*1000</f>
        <v>1623.4905660377358</v>
      </c>
      <c r="X111" s="154">
        <f>SUM(Table2[[#This Row],[A1toA3_GWP-biogenic]:[C1toC4_GWP-biogenic]])</f>
        <v>0</v>
      </c>
      <c r="Y111" s="78">
        <f>(-682)/Table2[[#This Row],[DENSITY]]*1000</f>
        <v>-1608.4905660377358</v>
      </c>
      <c r="Z111" s="198">
        <f>(682)/Table2[[#This Row],[DENSITY]]*1000</f>
        <v>1608.4905660377358</v>
      </c>
      <c r="AA111" s="84">
        <f ca="1">IF(OR($E111="Ecoinvent",$E111="Betonsortenrechner",$E111="KBOB",$U111&lt;=0,Table2[[#This Row],[VALID_TO]]&lt;=TODAY()),0,1)</f>
        <v>1</v>
      </c>
      <c r="AB111" s="154">
        <f ca="1">IF(Table2[[#This Row],[VALID_TO]]&gt;=TODAY(), 1, 0)</f>
        <v>1</v>
      </c>
      <c r="AC111" s="213" cm="1">
        <f t="array" aca="1" ref="AC111" ca="1">IF($AA111&lt;&gt;0,
IF(AND(
                         U111&gt;=_xlfn.PERCENTILE.INC(_xlfn._xlws.FILTER($U$2:$U$197, ($L$2:$L$197=L111)*($AA$2:$AA$197=1)),0.1),
                         U111&lt;=_xlfn.PERCENTILE.INC(_xlfn._xlws.FILTER($U$2:$U$197, ($L$3:$L$198=L111)*($AA$2:$AA$197=1)),0.9)
               ),1,0),
0)</f>
        <v>1</v>
      </c>
      <c r="AD111" s="131"/>
      <c r="AE111" s="2" t="s">
        <v>429</v>
      </c>
      <c r="AF111" s="2"/>
    </row>
    <row r="112" spans="1:32" x14ac:dyDescent="0.25">
      <c r="A112" s="8" t="s">
        <v>232</v>
      </c>
      <c r="B112" s="21" t="s">
        <v>538</v>
      </c>
      <c r="C112" s="225">
        <v>76</v>
      </c>
      <c r="D112" s="21" t="s">
        <v>104</v>
      </c>
      <c r="E112" s="3" t="s">
        <v>105</v>
      </c>
      <c r="F112" s="3"/>
      <c r="G112" s="32">
        <v>45387</v>
      </c>
      <c r="H112" s="32">
        <v>47212</v>
      </c>
      <c r="I112" s="26" t="s">
        <v>106</v>
      </c>
      <c r="J112" s="92" t="s">
        <v>103</v>
      </c>
      <c r="K112" s="6" t="s">
        <v>336</v>
      </c>
      <c r="L112" s="2" t="s">
        <v>323</v>
      </c>
      <c r="M112" s="100" t="s">
        <v>329</v>
      </c>
      <c r="N112" s="2" t="s">
        <v>427</v>
      </c>
      <c r="O112" s="26" t="s">
        <v>544</v>
      </c>
      <c r="P112" s="26">
        <v>466</v>
      </c>
      <c r="Q112" s="3" t="s">
        <v>427</v>
      </c>
      <c r="R112" s="3" t="s">
        <v>427</v>
      </c>
      <c r="S112" s="3" t="s">
        <v>427</v>
      </c>
      <c r="T112" s="112" t="s">
        <v>427</v>
      </c>
      <c r="U112" s="107">
        <f>SUM(Table2[[#This Row],[A1toA3_GWP]:[C1toC4_GWP]])</f>
        <v>190.53648068669531</v>
      </c>
      <c r="V112" s="24">
        <f>-677/Table2[[#This Row],[DENSITY]]*1000</f>
        <v>-1452.7896995708154</v>
      </c>
      <c r="W112" s="121">
        <f>(1.79+764)/Table2[[#This Row],[DENSITY]]*1000</f>
        <v>1643.3261802575107</v>
      </c>
      <c r="X112" s="154">
        <f>SUM(Table2[[#This Row],[A1toA3_GWP-biogenic]:[C1toC4_GWP-biogenic]])</f>
        <v>4.4407725321887028</v>
      </c>
      <c r="Y112" s="78">
        <f>(-759)/Table2[[#This Row],[DENSITY]]*1000</f>
        <v>-1628.755364806867</v>
      </c>
      <c r="Z112" s="121">
        <f>(6.94*10^-2+761)/Table2[[#This Row],[DENSITY]]*1000</f>
        <v>1633.1961373390557</v>
      </c>
      <c r="AA112" s="84">
        <f ca="1">IF(OR($E112="Ecoinvent",$E112="Betonsortenrechner",$E112="KBOB",$U112&lt;=0,Table2[[#This Row],[VALID_TO]]&lt;=TODAY()),0,1)</f>
        <v>1</v>
      </c>
      <c r="AB112" s="154">
        <f ca="1">IF(Table2[[#This Row],[VALID_TO]]&gt;=TODAY(), 1, 0)</f>
        <v>1</v>
      </c>
      <c r="AC112" s="213" cm="1">
        <f t="array" aca="1" ref="AC112" ca="1">IF($AA112&lt;&gt;0,
IF(AND(
                         U112&gt;=_xlfn.PERCENTILE.INC(_xlfn._xlws.FILTER($U$2:$U$197, ($L$2:$L$197=L112)*($AA$2:$AA$197=1)),0.1),
                         U112&lt;=_xlfn.PERCENTILE.INC(_xlfn._xlws.FILTER($U$2:$U$197, ($L$3:$L$198=L112)*($AA$2:$AA$197=1)),0.9)
               ),1,0),
0)</f>
        <v>1</v>
      </c>
      <c r="AD112" s="131"/>
      <c r="AE112" s="2" t="s">
        <v>431</v>
      </c>
      <c r="AF112" s="2"/>
    </row>
    <row r="113" spans="1:33" x14ac:dyDescent="0.25">
      <c r="A113" s="8" t="s">
        <v>269</v>
      </c>
      <c r="B113" s="21" t="s">
        <v>538</v>
      </c>
      <c r="C113" s="222">
        <v>79</v>
      </c>
      <c r="D113" s="21" t="s">
        <v>107</v>
      </c>
      <c r="E113" s="3" t="s">
        <v>108</v>
      </c>
      <c r="F113" s="3"/>
      <c r="G113" s="32">
        <v>44411</v>
      </c>
      <c r="H113" s="32">
        <v>46236</v>
      </c>
      <c r="I113" s="26" t="s">
        <v>106</v>
      </c>
      <c r="J113" s="92" t="s">
        <v>103</v>
      </c>
      <c r="K113" s="6" t="s">
        <v>336</v>
      </c>
      <c r="L113" s="2" t="s">
        <v>323</v>
      </c>
      <c r="M113" s="100" t="s">
        <v>329</v>
      </c>
      <c r="N113" s="2" t="s">
        <v>427</v>
      </c>
      <c r="O113" s="26" t="s">
        <v>544</v>
      </c>
      <c r="P113" s="26">
        <v>470</v>
      </c>
      <c r="Q113" s="3" t="s">
        <v>427</v>
      </c>
      <c r="R113" s="3" t="s">
        <v>427</v>
      </c>
      <c r="S113" s="3" t="s">
        <v>427</v>
      </c>
      <c r="T113" s="112" t="s">
        <v>427</v>
      </c>
      <c r="U113" s="107">
        <f>SUM(Table2[[#This Row],[A1toA3_GWP]:[C1toC4_GWP]])</f>
        <v>311.53191489361689</v>
      </c>
      <c r="V113" s="24">
        <f>-608/Table2[[#This Row],[DENSITY]]*1000</f>
        <v>-1293.6170212765958</v>
      </c>
      <c r="W113" s="121">
        <f>(1.42+753)/Table2[[#This Row],[DENSITY]]*1000</f>
        <v>1605.1489361702127</v>
      </c>
      <c r="X113" s="154">
        <f>SUM(Table2[[#This Row],[A1toA3_GWP-biogenic]:[C1toC4_GWP-biogenic]])</f>
        <v>-6.3865319148935669</v>
      </c>
      <c r="Y113" s="78">
        <f>(-753)/Table2[[#This Row],[DENSITY]]*1000</f>
        <v>-1602.127659574468</v>
      </c>
      <c r="Z113" s="121">
        <f>(-1.67*10^-3+750)/Table2[[#This Row],[DENSITY]]*1000</f>
        <v>1595.7411276595744</v>
      </c>
      <c r="AA113" s="84">
        <f ca="1">IF(OR($E113="Ecoinvent",$E113="Betonsortenrechner",$E113="KBOB",$U113&lt;=0,Table2[[#This Row],[VALID_TO]]&lt;=TODAY()),0,1)</f>
        <v>1</v>
      </c>
      <c r="AB113" s="154">
        <f ca="1">IF(Table2[[#This Row],[VALID_TO]]&gt;=TODAY(), 1, 0)</f>
        <v>1</v>
      </c>
      <c r="AC113" s="213" cm="1">
        <f t="array" aca="1" ref="AC113" ca="1">IF($AA113&lt;&gt;0,
IF(AND(
                         U113&gt;=_xlfn.PERCENTILE.INC(_xlfn._xlws.FILTER($U$2:$U$197, ($L$2:$L$197=L113)*($AA$2:$AA$197=1)),0.1),
                         U113&lt;=_xlfn.PERCENTILE.INC(_xlfn._xlws.FILTER($U$2:$U$197, ($L$3:$L$198=L113)*($AA$2:$AA$197=1)),0.9)
               ),1,0),
0)</f>
        <v>1</v>
      </c>
      <c r="AD113" s="131"/>
      <c r="AE113" s="2" t="s">
        <v>430</v>
      </c>
      <c r="AF113" s="2"/>
    </row>
    <row r="114" spans="1:33" x14ac:dyDescent="0.25">
      <c r="A114" s="8" t="s">
        <v>268</v>
      </c>
      <c r="B114" s="21" t="s">
        <v>539</v>
      </c>
      <c r="C114" s="225">
        <v>84</v>
      </c>
      <c r="D114" s="21" t="s">
        <v>112</v>
      </c>
      <c r="E114" s="3" t="s">
        <v>111</v>
      </c>
      <c r="F114" s="3"/>
      <c r="G114" s="32">
        <v>43798</v>
      </c>
      <c r="H114" s="32">
        <v>45624</v>
      </c>
      <c r="I114" s="26" t="s">
        <v>106</v>
      </c>
      <c r="J114" s="92" t="s">
        <v>103</v>
      </c>
      <c r="K114" s="6" t="s">
        <v>336</v>
      </c>
      <c r="L114" s="2" t="s">
        <v>323</v>
      </c>
      <c r="M114" s="100" t="s">
        <v>329</v>
      </c>
      <c r="N114" s="2" t="s">
        <v>427</v>
      </c>
      <c r="O114" s="26" t="s">
        <v>549</v>
      </c>
      <c r="P114" s="31">
        <v>459.2</v>
      </c>
      <c r="Q114" s="3" t="s">
        <v>427</v>
      </c>
      <c r="R114" s="3" t="s">
        <v>427</v>
      </c>
      <c r="S114" s="3" t="s">
        <v>427</v>
      </c>
      <c r="T114" s="112" t="s">
        <v>427</v>
      </c>
      <c r="U114" s="107">
        <f>SUM(Table2[[#This Row],[A1toA3_GWP]:[C1toC4_GWP]])</f>
        <v>239.97386759581855</v>
      </c>
      <c r="V114" s="24">
        <f>(-660+6.26+14.4)/Table2[[#This Row],[DENSITY]]*1000</f>
        <v>-1392.2909407665506</v>
      </c>
      <c r="W114" s="121">
        <f>(0.536+749)/Table2[[#This Row],[DENSITY]]*1000</f>
        <v>1632.2648083623692</v>
      </c>
      <c r="X114" s="154">
        <f>SUM(Table2[[#This Row],[A1toA3_GWP-biogenic]:[C1toC4_GWP-biogenic]])</f>
        <v>0</v>
      </c>
      <c r="Y114" s="78" t="s">
        <v>427</v>
      </c>
      <c r="Z114" s="121" t="s">
        <v>427</v>
      </c>
      <c r="AA114" s="84">
        <f ca="1">IF(OR($E114="Ecoinvent",$E114="Betonsortenrechner",$E114="KBOB",$U114&lt;=0,Table2[[#This Row],[VALID_TO]]&lt;=TODAY()),0,1)</f>
        <v>0</v>
      </c>
      <c r="AB114" s="154">
        <f ca="1">IF(Table2[[#This Row],[VALID_TO]]&gt;=TODAY(), 1, 0)</f>
        <v>0</v>
      </c>
      <c r="AC114" s="213" cm="1">
        <f t="array" aca="1" ref="AC114" ca="1">IF($AA114&lt;&gt;0,
IF(AND(
                         U114&gt;=_xlfn.PERCENTILE.INC(_xlfn._xlws.FILTER($U$2:$U$197, ($L$2:$L$197=L114)*($AA$2:$AA$197=1)),0.1),
                         U114&lt;=_xlfn.PERCENTILE.INC(_xlfn._xlws.FILTER($U$2:$U$197, ($L$3:$L$198=L114)*($AA$2:$AA$197=1)),0.9)
               ),1,0),
0)</f>
        <v>0</v>
      </c>
      <c r="AD114" s="131"/>
      <c r="AE114" s="2"/>
      <c r="AF114" s="2"/>
    </row>
    <row r="115" spans="1:33" x14ac:dyDescent="0.25">
      <c r="A115" s="8" t="s">
        <v>278</v>
      </c>
      <c r="B115" s="21" t="s">
        <v>539</v>
      </c>
      <c r="C115" s="225">
        <v>112</v>
      </c>
      <c r="D115" s="21" t="s">
        <v>279</v>
      </c>
      <c r="E115" s="3" t="s">
        <v>280</v>
      </c>
      <c r="F115" s="3"/>
      <c r="G115" s="32">
        <v>44830</v>
      </c>
      <c r="H115" s="32">
        <v>46655</v>
      </c>
      <c r="I115" s="26" t="s">
        <v>273</v>
      </c>
      <c r="J115" s="92" t="s">
        <v>103</v>
      </c>
      <c r="K115" s="6" t="s">
        <v>336</v>
      </c>
      <c r="L115" s="2" t="s">
        <v>323</v>
      </c>
      <c r="M115" s="100" t="s">
        <v>329</v>
      </c>
      <c r="N115" s="2" t="s">
        <v>427</v>
      </c>
      <c r="O115" s="26" t="s">
        <v>549</v>
      </c>
      <c r="P115" s="26">
        <v>480</v>
      </c>
      <c r="Q115" s="3" t="s">
        <v>427</v>
      </c>
      <c r="R115" s="3" t="s">
        <v>427</v>
      </c>
      <c r="S115" s="3" t="s">
        <v>427</v>
      </c>
      <c r="T115" s="112" t="s">
        <v>427</v>
      </c>
      <c r="U115" s="107">
        <f>SUM(Table2[[#This Row],[A1toA3_GWP]:[C1toC4_GWP]])</f>
        <v>291.03750000000014</v>
      </c>
      <c r="V115" s="24">
        <f>(-680+6.04+37.1)/Table2[[#This Row],[DENSITY]]*1000</f>
        <v>-1326.7916666666665</v>
      </c>
      <c r="W115" s="121">
        <f>(0.558+776)/Table2[[#This Row],[DENSITY]]*1000</f>
        <v>1617.8291666666667</v>
      </c>
      <c r="X115" s="154">
        <f>SUM(Table2[[#This Row],[A1toA3_GWP-biogenic]:[C1toC4_GWP-biogenic]])</f>
        <v>0</v>
      </c>
      <c r="Y115" s="78" t="s">
        <v>427</v>
      </c>
      <c r="Z115" s="121" t="s">
        <v>427</v>
      </c>
      <c r="AA115" s="84">
        <f ca="1">IF(OR($E115="Ecoinvent",$E115="Betonsortenrechner",$E115="KBOB",$U115&lt;=0,Table2[[#This Row],[VALID_TO]]&lt;=TODAY()),0,1)</f>
        <v>1</v>
      </c>
      <c r="AB115" s="154">
        <f ca="1">IF(Table2[[#This Row],[VALID_TO]]&gt;=TODAY(), 1, 0)</f>
        <v>1</v>
      </c>
      <c r="AC115" s="213" cm="1">
        <f t="array" aca="1" ref="AC115" ca="1">IF($AA115&lt;&gt;0,
IF(AND(
                         U115&gt;=_xlfn.PERCENTILE.INC(_xlfn._xlws.FILTER($U$2:$U$197, ($L$2:$L$197=L115)*($AA$2:$AA$197=1)),0.1),
                         U115&lt;=_xlfn.PERCENTILE.INC(_xlfn._xlws.FILTER($U$2:$U$197, ($L$3:$L$198=L115)*($AA$2:$AA$197=1)),0.9)
               ),1,0),
0)</f>
        <v>1</v>
      </c>
      <c r="AD115" s="131"/>
      <c r="AE115" s="2" t="s">
        <v>435</v>
      </c>
      <c r="AF115" s="2"/>
    </row>
    <row r="116" spans="1:33" x14ac:dyDescent="0.25">
      <c r="A116" s="8" t="s">
        <v>289</v>
      </c>
      <c r="B116" s="21" t="s">
        <v>539</v>
      </c>
      <c r="C116" s="222">
        <v>117</v>
      </c>
      <c r="D116" s="21" t="s">
        <v>290</v>
      </c>
      <c r="E116" s="3" t="s">
        <v>291</v>
      </c>
      <c r="F116" s="3"/>
      <c r="G116" s="32">
        <v>43325</v>
      </c>
      <c r="H116" s="32">
        <v>45334</v>
      </c>
      <c r="I116" s="26" t="s">
        <v>273</v>
      </c>
      <c r="J116" s="92" t="s">
        <v>103</v>
      </c>
      <c r="K116" s="6" t="s">
        <v>336</v>
      </c>
      <c r="L116" s="2" t="s">
        <v>323</v>
      </c>
      <c r="M116" s="100" t="s">
        <v>329</v>
      </c>
      <c r="N116" s="2" t="s">
        <v>427</v>
      </c>
      <c r="O116" s="26" t="s">
        <v>559</v>
      </c>
      <c r="P116" s="26">
        <v>483</v>
      </c>
      <c r="Q116" s="3" t="s">
        <v>427</v>
      </c>
      <c r="R116" s="3" t="s">
        <v>427</v>
      </c>
      <c r="S116" s="3" t="s">
        <v>427</v>
      </c>
      <c r="T116" s="112" t="s">
        <v>427</v>
      </c>
      <c r="U116" s="107">
        <f>SUM(Table2[[#This Row],[A1toA3_GWP]:[C1toC4_GWP]])</f>
        <v>264.56521739130449</v>
      </c>
      <c r="V116" s="24">
        <f>(-751+32.1+68.2)/Table2[[#This Row],[DENSITY]]*1000</f>
        <v>-1347.2049689440992</v>
      </c>
      <c r="W116" s="121">
        <f>(0.485+778)/Table2[[#This Row],[DENSITY]]*1000</f>
        <v>1611.7701863354037</v>
      </c>
      <c r="X116" s="154">
        <f>SUM(Table2[[#This Row],[A1toA3_GWP-biogenic]:[C1toC4_GWP-biogenic]])</f>
        <v>0</v>
      </c>
      <c r="Y116" s="78" t="s">
        <v>427</v>
      </c>
      <c r="Z116" s="121" t="s">
        <v>427</v>
      </c>
      <c r="AA116" s="84">
        <f ca="1">IF(OR($E116="Ecoinvent",$E116="Betonsortenrechner",$E116="KBOB",$U116&lt;=0,Table2[[#This Row],[VALID_TO]]&lt;=TODAY()),0,1)</f>
        <v>0</v>
      </c>
      <c r="AB116" s="154">
        <f ca="1">IF(Table2[[#This Row],[VALID_TO]]&gt;=TODAY(), 1, 0)</f>
        <v>0</v>
      </c>
      <c r="AC116" s="213" cm="1">
        <f t="array" aca="1" ref="AC116" ca="1">IF($AA116&lt;&gt;0,
IF(AND(
                         U116&gt;=_xlfn.PERCENTILE.INC(_xlfn._xlws.FILTER($U$2:$U$197, ($L$2:$L$197=L116)*($AA$2:$AA$197=1)),0.1),
                         U116&lt;=_xlfn.PERCENTILE.INC(_xlfn._xlws.FILTER($U$2:$U$197, ($L$3:$L$198=L116)*($AA$2:$AA$197=1)),0.9)
               ),1,0),
0)</f>
        <v>0</v>
      </c>
      <c r="AD116" s="131"/>
      <c r="AE116" s="2"/>
      <c r="AF116" s="2"/>
    </row>
    <row r="117" spans="1:33" x14ac:dyDescent="0.25">
      <c r="A117" s="8" t="s">
        <v>232</v>
      </c>
      <c r="B117" s="21" t="s">
        <v>539</v>
      </c>
      <c r="C117" s="222">
        <v>77</v>
      </c>
      <c r="D117" s="21" t="s">
        <v>104</v>
      </c>
      <c r="E117" s="3" t="s">
        <v>105</v>
      </c>
      <c r="F117" s="3"/>
      <c r="G117" s="32">
        <v>45387</v>
      </c>
      <c r="H117" s="32">
        <v>47212</v>
      </c>
      <c r="I117" s="26" t="s">
        <v>106</v>
      </c>
      <c r="J117" s="92" t="s">
        <v>103</v>
      </c>
      <c r="K117" s="6" t="s">
        <v>336</v>
      </c>
      <c r="L117" s="2" t="s">
        <v>323</v>
      </c>
      <c r="M117" s="100" t="s">
        <v>329</v>
      </c>
      <c r="N117" s="2" t="s">
        <v>427</v>
      </c>
      <c r="O117" s="26" t="s">
        <v>546</v>
      </c>
      <c r="P117" s="26">
        <v>466</v>
      </c>
      <c r="Q117" s="3" t="s">
        <v>427</v>
      </c>
      <c r="R117" s="3" t="s">
        <v>427</v>
      </c>
      <c r="S117" s="3" t="s">
        <v>427</v>
      </c>
      <c r="T117" s="112" t="s">
        <v>427</v>
      </c>
      <c r="U117" s="107">
        <f>SUM(Table2[[#This Row],[A1toA3_GWP]:[C1toC4_GWP]])</f>
        <v>190.53648068669531</v>
      </c>
      <c r="V117" s="24">
        <f>-677/Table2[[#This Row],[DENSITY]]*1000</f>
        <v>-1452.7896995708154</v>
      </c>
      <c r="W117" s="121">
        <f>(1.79+764)/Table2[[#This Row],[DENSITY]]*1000</f>
        <v>1643.3261802575107</v>
      </c>
      <c r="X117" s="154">
        <f>SUM(Table2[[#This Row],[A1toA3_GWP-biogenic]:[C1toC4_GWP-biogenic]])</f>
        <v>4.4407725321887028</v>
      </c>
      <c r="Y117" s="78">
        <f>(-759)/Table2[[#This Row],[DENSITY]]*1000</f>
        <v>-1628.755364806867</v>
      </c>
      <c r="Z117" s="121">
        <f>(6.94*10^-2+761)/Table2[[#This Row],[DENSITY]]*1000</f>
        <v>1633.1961373390557</v>
      </c>
      <c r="AA117" s="84">
        <f ca="1">IF(OR($E117="Ecoinvent",$E117="Betonsortenrechner",$E117="KBOB",$U117&lt;=0,Table2[[#This Row],[VALID_TO]]&lt;=TODAY()),0,1)</f>
        <v>1</v>
      </c>
      <c r="AB117" s="154">
        <f ca="1">IF(Table2[[#This Row],[VALID_TO]]&gt;=TODAY(), 1, 0)</f>
        <v>1</v>
      </c>
      <c r="AC117" s="213" cm="1">
        <f t="array" aca="1" ref="AC117" ca="1">IF($AA117&lt;&gt;0,
IF(AND(
                         U117&gt;=_xlfn.PERCENTILE.INC(_xlfn._xlws.FILTER($U$2:$U$197, ($L$2:$L$197=L117)*($AA$2:$AA$197=1)),0.1),
                         U117&lt;=_xlfn.PERCENTILE.INC(_xlfn._xlws.FILTER($U$2:$U$197, ($L$3:$L$198=L117)*($AA$2:$AA$197=1)),0.9)
               ),1,0),
0)</f>
        <v>1</v>
      </c>
      <c r="AD117" s="131"/>
      <c r="AE117" s="2" t="s">
        <v>431</v>
      </c>
      <c r="AF117" s="2"/>
    </row>
    <row r="118" spans="1:33" x14ac:dyDescent="0.25">
      <c r="A118" s="8" t="s">
        <v>268</v>
      </c>
      <c r="B118" s="21" t="s">
        <v>540</v>
      </c>
      <c r="C118" s="222">
        <v>85</v>
      </c>
      <c r="D118" s="21" t="s">
        <v>112</v>
      </c>
      <c r="E118" s="3" t="s">
        <v>111</v>
      </c>
      <c r="F118" s="3"/>
      <c r="G118" s="32">
        <v>43798</v>
      </c>
      <c r="H118" s="32">
        <v>45624</v>
      </c>
      <c r="I118" s="26" t="s">
        <v>106</v>
      </c>
      <c r="J118" s="92" t="s">
        <v>103</v>
      </c>
      <c r="K118" s="6" t="s">
        <v>336</v>
      </c>
      <c r="L118" s="2" t="s">
        <v>323</v>
      </c>
      <c r="M118" s="100" t="s">
        <v>329</v>
      </c>
      <c r="N118" s="2" t="s">
        <v>427</v>
      </c>
      <c r="O118" s="26" t="s">
        <v>550</v>
      </c>
      <c r="P118" s="31">
        <v>459.2</v>
      </c>
      <c r="Q118" s="3" t="s">
        <v>427</v>
      </c>
      <c r="R118" s="3" t="s">
        <v>427</v>
      </c>
      <c r="S118" s="3" t="s">
        <v>427</v>
      </c>
      <c r="T118" s="112" t="s">
        <v>427</v>
      </c>
      <c r="U118" s="107">
        <f>SUM(Table2[[#This Row],[A1toA3_GWP]:[C1toC4_GWP]])</f>
        <v>239.97386759581855</v>
      </c>
      <c r="V118" s="24">
        <f>(-660+6.26+14.4)/Table2[[#This Row],[DENSITY]]*1000</f>
        <v>-1392.2909407665506</v>
      </c>
      <c r="W118" s="121">
        <f>(0.536+749)/Table2[[#This Row],[DENSITY]]*1000</f>
        <v>1632.2648083623692</v>
      </c>
      <c r="X118" s="154">
        <f>SUM(Table2[[#This Row],[A1toA3_GWP-biogenic]:[C1toC4_GWP-biogenic]])</f>
        <v>0</v>
      </c>
      <c r="Y118" s="78" t="s">
        <v>427</v>
      </c>
      <c r="Z118" s="121" t="s">
        <v>427</v>
      </c>
      <c r="AA118" s="84">
        <f ca="1">IF(OR($E118="Ecoinvent",$E118="Betonsortenrechner",$E118="KBOB",$U118&lt;=0,Table2[[#This Row],[VALID_TO]]&lt;=TODAY()),0,1)</f>
        <v>0</v>
      </c>
      <c r="AB118" s="154">
        <f ca="1">IF(Table2[[#This Row],[VALID_TO]]&gt;=TODAY(), 1, 0)</f>
        <v>0</v>
      </c>
      <c r="AC118" s="213" cm="1">
        <f t="array" aca="1" ref="AC118" ca="1">IF($AA118&lt;&gt;0,
IF(AND(
                         U118&gt;=_xlfn.PERCENTILE.INC(_xlfn._xlws.FILTER($U$2:$U$197, ($L$2:$L$197=L118)*($AA$2:$AA$197=1)),0.1),
                         U118&lt;=_xlfn.PERCENTILE.INC(_xlfn._xlws.FILTER($U$2:$U$197, ($L$3:$L$198=L118)*($AA$2:$AA$197=1)),0.9)
               ),1,0),
0)</f>
        <v>0</v>
      </c>
      <c r="AD118" s="131"/>
      <c r="AE118" s="2"/>
      <c r="AF118" s="2"/>
    </row>
    <row r="119" spans="1:33" x14ac:dyDescent="0.25">
      <c r="A119" s="8" t="s">
        <v>238</v>
      </c>
      <c r="B119" s="21" t="s">
        <v>539</v>
      </c>
      <c r="C119" s="225">
        <v>70</v>
      </c>
      <c r="D119" s="21" t="s">
        <v>100</v>
      </c>
      <c r="E119" s="3" t="s">
        <v>101</v>
      </c>
      <c r="F119" s="3"/>
      <c r="G119" s="32">
        <v>43248</v>
      </c>
      <c r="H119" s="174">
        <v>45439</v>
      </c>
      <c r="I119" s="26" t="s">
        <v>53</v>
      </c>
      <c r="J119" s="92" t="s">
        <v>103</v>
      </c>
      <c r="K119" s="6" t="s">
        <v>336</v>
      </c>
      <c r="L119" s="2" t="s">
        <v>323</v>
      </c>
      <c r="M119" s="100" t="s">
        <v>329</v>
      </c>
      <c r="N119" s="2" t="s">
        <v>427</v>
      </c>
      <c r="O119" s="26" t="s">
        <v>545</v>
      </c>
      <c r="P119" s="26">
        <v>427</v>
      </c>
      <c r="Q119" s="3" t="s">
        <v>427</v>
      </c>
      <c r="R119" s="3" t="s">
        <v>427</v>
      </c>
      <c r="S119" s="3" t="s">
        <v>427</v>
      </c>
      <c r="T119" s="112" t="s">
        <v>427</v>
      </c>
      <c r="U119" s="107">
        <f>SUM(Table2[[#This Row],[A1toA3_GWP]:[C1toC4_GWP]])</f>
        <v>169.48477751756423</v>
      </c>
      <c r="V119" s="24">
        <f>-615/Table2[[#This Row],[DENSITY]]*1000</f>
        <v>-1440.2810304449649</v>
      </c>
      <c r="W119" s="121">
        <f>(1.37+686)/Table2[[#This Row],[DENSITY]]*1000</f>
        <v>1609.7658079625292</v>
      </c>
      <c r="X119" s="154">
        <f>SUM(Table2[[#This Row],[A1toA3_GWP-biogenic]:[C1toC4_GWP-biogenic]])</f>
        <v>0</v>
      </c>
      <c r="Y119" s="78" t="s">
        <v>427</v>
      </c>
      <c r="Z119" s="78" t="s">
        <v>427</v>
      </c>
      <c r="AA119" s="84">
        <f ca="1">IF(OR($E119="Ecoinvent",$E119="Betonsortenrechner",$E119="KBOB",$U119&lt;=0,Table2[[#This Row],[VALID_TO]]&lt;=TODAY()),0,1)</f>
        <v>0</v>
      </c>
      <c r="AB119" s="154">
        <f ca="1">IF(Table2[[#This Row],[VALID_TO]]&gt;=TODAY(), 1, 0)</f>
        <v>0</v>
      </c>
      <c r="AC119" s="247" cm="1">
        <f t="array" aca="1" ref="AC119" ca="1">IF($AA119&lt;&gt;0,
IF(AND(
                         U119&gt;=_xlfn.PERCENTILE.INC(_xlfn._xlws.FILTER($U$2:$U$197, ($L$2:$L$197=L119)*($AA$2:$AA$197=1)),0.1),
                         U119&lt;=_xlfn.PERCENTILE.INC(_xlfn._xlws.FILTER($U$2:$U$197, ($L$3:$L$198=L119)*($AA$2:$AA$197=1)),0.9)
               ),1,0),
0)</f>
        <v>0</v>
      </c>
      <c r="AD119" s="131"/>
      <c r="AE119" s="2" t="s">
        <v>428</v>
      </c>
      <c r="AF119" s="2"/>
    </row>
    <row r="120" spans="1:33" x14ac:dyDescent="0.25">
      <c r="A120" s="8" t="s">
        <v>237</v>
      </c>
      <c r="B120" s="21" t="s">
        <v>539</v>
      </c>
      <c r="C120" s="222">
        <v>73</v>
      </c>
      <c r="D120" s="21" t="s">
        <v>102</v>
      </c>
      <c r="E120" s="3" t="s">
        <v>101</v>
      </c>
      <c r="F120" s="3"/>
      <c r="G120" s="32">
        <v>45358</v>
      </c>
      <c r="H120" s="32">
        <v>47183</v>
      </c>
      <c r="I120" s="26" t="s">
        <v>53</v>
      </c>
      <c r="J120" s="92" t="s">
        <v>103</v>
      </c>
      <c r="K120" s="6" t="s">
        <v>336</v>
      </c>
      <c r="L120" s="2" t="s">
        <v>323</v>
      </c>
      <c r="M120" s="100" t="s">
        <v>329</v>
      </c>
      <c r="N120" s="2" t="s">
        <v>427</v>
      </c>
      <c r="O120" s="26" t="s">
        <v>545</v>
      </c>
      <c r="P120" s="26">
        <v>424</v>
      </c>
      <c r="Q120" s="3" t="s">
        <v>427</v>
      </c>
      <c r="R120" s="3" t="s">
        <v>427</v>
      </c>
      <c r="S120" s="3" t="s">
        <v>427</v>
      </c>
      <c r="T120" s="112" t="s">
        <v>427</v>
      </c>
      <c r="U120" s="107">
        <f>SUM(Table2[[#This Row],[A1toA3_GWP]:[C1toC4_GWP]])</f>
        <v>305.09433962264143</v>
      </c>
      <c r="V120" s="24">
        <f>-559/Table2[[#This Row],[DENSITY]]*1000</f>
        <v>-1318.3962264150944</v>
      </c>
      <c r="W120" s="121">
        <f>(2.36+686)/Table2[[#This Row],[DENSITY]]*1000</f>
        <v>1623.4905660377358</v>
      </c>
      <c r="X120" s="154">
        <f>SUM(Table2[[#This Row],[A1toA3_GWP-biogenic]:[C1toC4_GWP-biogenic]])</f>
        <v>0</v>
      </c>
      <c r="Y120" s="78">
        <f>(-682)/Table2[[#This Row],[DENSITY]]*1000</f>
        <v>-1608.4905660377358</v>
      </c>
      <c r="Z120" s="78">
        <f>(682)/Table2[[#This Row],[DENSITY]]*1000</f>
        <v>1608.4905660377358</v>
      </c>
      <c r="AA120" s="84">
        <f ca="1">IF(OR($E120="Ecoinvent",$E120="Betonsortenrechner",$E120="KBOB",$U120&lt;=0,Table2[[#This Row],[VALID_TO]]&lt;=TODAY()),0,1)</f>
        <v>1</v>
      </c>
      <c r="AB120" s="154">
        <f ca="1">IF(Table2[[#This Row],[VALID_TO]]&gt;=TODAY(), 1, 0)</f>
        <v>1</v>
      </c>
      <c r="AC120" s="213" cm="1">
        <f t="array" aca="1" ref="AC120" ca="1">IF($AA120&lt;&gt;0,
IF(AND(
                         U120&gt;=_xlfn.PERCENTILE.INC(_xlfn._xlws.FILTER($U$2:$U$197, ($L$2:$L$197=L120)*($AA$2:$AA$197=1)),0.1),
                         U120&lt;=_xlfn.PERCENTILE.INC(_xlfn._xlws.FILTER($U$2:$U$197, ($L$3:$L$198=L120)*($AA$2:$AA$197=1)),0.9)
               ),1,0),
0)</f>
        <v>1</v>
      </c>
      <c r="AD120" s="131"/>
      <c r="AE120" s="2" t="s">
        <v>429</v>
      </c>
      <c r="AF120" s="2"/>
    </row>
    <row r="121" spans="1:33" x14ac:dyDescent="0.25">
      <c r="A121" s="8" t="s">
        <v>269</v>
      </c>
      <c r="B121" s="21" t="s">
        <v>539</v>
      </c>
      <c r="C121" s="225">
        <v>80</v>
      </c>
      <c r="D121" s="21" t="s">
        <v>107</v>
      </c>
      <c r="E121" s="3" t="s">
        <v>108</v>
      </c>
      <c r="F121" s="3"/>
      <c r="G121" s="32">
        <v>44411</v>
      </c>
      <c r="H121" s="32">
        <v>46236</v>
      </c>
      <c r="I121" s="26" t="s">
        <v>106</v>
      </c>
      <c r="J121" s="92" t="s">
        <v>103</v>
      </c>
      <c r="K121" s="6" t="s">
        <v>336</v>
      </c>
      <c r="L121" s="2" t="s">
        <v>323</v>
      </c>
      <c r="M121" s="100" t="s">
        <v>329</v>
      </c>
      <c r="N121" s="2" t="s">
        <v>427</v>
      </c>
      <c r="O121" s="26" t="s">
        <v>545</v>
      </c>
      <c r="P121" s="26">
        <v>470</v>
      </c>
      <c r="Q121" s="3" t="s">
        <v>427</v>
      </c>
      <c r="R121" s="3" t="s">
        <v>427</v>
      </c>
      <c r="S121" s="3" t="s">
        <v>427</v>
      </c>
      <c r="T121" s="112" t="s">
        <v>427</v>
      </c>
      <c r="U121" s="107">
        <f>SUM(Table2[[#This Row],[A1toA3_GWP]:[C1toC4_GWP]])</f>
        <v>311.53191489361689</v>
      </c>
      <c r="V121" s="24">
        <f>-608/Table2[[#This Row],[DENSITY]]*1000</f>
        <v>-1293.6170212765958</v>
      </c>
      <c r="W121" s="121">
        <f>(1.42+753)/Table2[[#This Row],[DENSITY]]*1000</f>
        <v>1605.1489361702127</v>
      </c>
      <c r="X121" s="154">
        <f>SUM(Table2[[#This Row],[A1toA3_GWP-biogenic]:[C1toC4_GWP-biogenic]])</f>
        <v>-6.3865319148935669</v>
      </c>
      <c r="Y121" s="78">
        <f>(-753)/Table2[[#This Row],[DENSITY]]*1000</f>
        <v>-1602.127659574468</v>
      </c>
      <c r="Z121" s="78">
        <f>(-1.67*10^-3+750)/Table2[[#This Row],[DENSITY]]*1000</f>
        <v>1595.7411276595744</v>
      </c>
      <c r="AA121" s="84">
        <f ca="1">IF(OR($E121="Ecoinvent",$E121="Betonsortenrechner",$E121="KBOB",$U121&lt;=0,Table2[[#This Row],[VALID_TO]]&lt;=TODAY()),0,1)</f>
        <v>1</v>
      </c>
      <c r="AB121" s="154">
        <f ca="1">IF(Table2[[#This Row],[VALID_TO]]&gt;=TODAY(), 1, 0)</f>
        <v>1</v>
      </c>
      <c r="AC121" s="213" cm="1">
        <f t="array" aca="1" ref="AC121" ca="1">IF($AA121&lt;&gt;0,
IF(AND(
                         U121&gt;=_xlfn.PERCENTILE.INC(_xlfn._xlws.FILTER($U$2:$U$197, ($L$2:$L$197=L121)*($AA$2:$AA$197=1)),0.1),
                         U121&lt;=_xlfn.PERCENTILE.INC(_xlfn._xlws.FILTER($U$2:$U$197, ($L$3:$L$198=L121)*($AA$2:$AA$197=1)),0.9)
               ),1,0),
0)</f>
        <v>1</v>
      </c>
      <c r="AD121" s="131"/>
      <c r="AE121" s="2" t="s">
        <v>430</v>
      </c>
      <c r="AF121" s="2"/>
    </row>
    <row r="122" spans="1:33" x14ac:dyDescent="0.25">
      <c r="A122" s="8" t="s">
        <v>256</v>
      </c>
      <c r="B122" s="21" t="s">
        <v>538</v>
      </c>
      <c r="C122" s="225">
        <v>96</v>
      </c>
      <c r="D122" s="21" t="s">
        <v>255</v>
      </c>
      <c r="E122" s="3" t="s">
        <v>108</v>
      </c>
      <c r="F122" s="3"/>
      <c r="G122" s="32">
        <v>44449</v>
      </c>
      <c r="H122" s="32">
        <v>46236</v>
      </c>
      <c r="I122" s="26" t="s">
        <v>249</v>
      </c>
      <c r="J122" s="92" t="s">
        <v>118</v>
      </c>
      <c r="K122" s="6" t="s">
        <v>505</v>
      </c>
      <c r="L122" s="2" t="s">
        <v>323</v>
      </c>
      <c r="M122" s="100" t="s">
        <v>509</v>
      </c>
      <c r="N122" s="2" t="s">
        <v>427</v>
      </c>
      <c r="O122" s="26" t="s">
        <v>551</v>
      </c>
      <c r="P122" s="26">
        <v>470</v>
      </c>
      <c r="Q122" s="3" t="s">
        <v>427</v>
      </c>
      <c r="R122" s="3" t="s">
        <v>427</v>
      </c>
      <c r="S122" s="3" t="s">
        <v>427</v>
      </c>
      <c r="T122" s="112" t="s">
        <v>427</v>
      </c>
      <c r="U122" s="107">
        <f>SUM(Table2[[#This Row],[A1toA3_GWP]:[C1toC4_GWP]])</f>
        <v>200.89361702127644</v>
      </c>
      <c r="V122" s="24">
        <f>-660/Table2[[#This Row],[DENSITY]]*1000</f>
        <v>-1404.2553191489362</v>
      </c>
      <c r="W122" s="121">
        <f>(1.42+753)/Table2[[#This Row],[DENSITY]]*1000</f>
        <v>1605.1489361702127</v>
      </c>
      <c r="X122" s="154">
        <f>SUM(Table2[[#This Row],[A1toA3_GWP-biogenic]:[C1toC4_GWP-biogenic]])</f>
        <v>-8.5141914893617923</v>
      </c>
      <c r="Y122" s="154">
        <f>(-754)/Table2[[#This Row],[DENSITY]]*1000</f>
        <v>-1604.2553191489362</v>
      </c>
      <c r="Z122" s="186">
        <f>(-1.67*10^-3+7.5*10^2)/Table2[[#This Row],[DENSITY]]*1000</f>
        <v>1595.7411276595744</v>
      </c>
      <c r="AA122" s="84">
        <f ca="1">IF(OR($E122="Ecoinvent",$E122="Betonsortenrechner",$E122="KBOB",$U122&lt;=0,Table2[[#This Row],[VALID_TO]]&lt;=TODAY()),0,1)</f>
        <v>1</v>
      </c>
      <c r="AB122" s="154">
        <f ca="1">IF(Table2[[#This Row],[VALID_TO]]&gt;=TODAY(), 1, 0)</f>
        <v>1</v>
      </c>
      <c r="AC122" s="213" cm="1">
        <f t="array" aca="1" ref="AC122" ca="1">IF($AA122&lt;&gt;0,
IF(AND(
                         U122&gt;=_xlfn.PERCENTILE.INC(_xlfn._xlws.FILTER($U$2:$U$197, ($L$2:$L$197=L122)*($AA$2:$AA$197=1)),0.1),
                         U122&lt;=_xlfn.PERCENTILE.INC(_xlfn._xlws.FILTER($U$2:$U$197, ($L$3:$L$198=L122)*($AA$2:$AA$197=1)),0.9)
               ),1,0),
0)</f>
        <v>1</v>
      </c>
      <c r="AD122" s="131"/>
      <c r="AE122" s="2"/>
      <c r="AF122" s="2"/>
    </row>
    <row r="123" spans="1:33" x14ac:dyDescent="0.25">
      <c r="A123" s="8" t="s">
        <v>256</v>
      </c>
      <c r="B123" s="21" t="s">
        <v>541</v>
      </c>
      <c r="C123" s="222">
        <v>99</v>
      </c>
      <c r="D123" s="21" t="s">
        <v>255</v>
      </c>
      <c r="E123" s="3" t="s">
        <v>108</v>
      </c>
      <c r="F123" s="3"/>
      <c r="G123" s="32">
        <v>44449</v>
      </c>
      <c r="H123" s="32">
        <v>46236</v>
      </c>
      <c r="I123" s="26" t="s">
        <v>249</v>
      </c>
      <c r="J123" s="92" t="s">
        <v>118</v>
      </c>
      <c r="K123" s="6" t="s">
        <v>505</v>
      </c>
      <c r="L123" s="2" t="s">
        <v>323</v>
      </c>
      <c r="M123" s="100" t="s">
        <v>509</v>
      </c>
      <c r="N123" s="2" t="s">
        <v>427</v>
      </c>
      <c r="O123" s="26" t="s">
        <v>554</v>
      </c>
      <c r="P123" s="26">
        <v>470</v>
      </c>
      <c r="Q123" s="3" t="s">
        <v>427</v>
      </c>
      <c r="R123" s="3" t="s">
        <v>427</v>
      </c>
      <c r="S123" s="3" t="s">
        <v>427</v>
      </c>
      <c r="T123" s="112" t="s">
        <v>427</v>
      </c>
      <c r="U123" s="107">
        <f>SUM(Table2[[#This Row],[A1toA3_GWP]:[C1toC4_GWP]])</f>
        <v>200.89361702127644</v>
      </c>
      <c r="V123" s="24">
        <f>-660/Table2[[#This Row],[DENSITY]]*1000</f>
        <v>-1404.2553191489362</v>
      </c>
      <c r="W123" s="121">
        <f>(1.42+753)/Table2[[#This Row],[DENSITY]]*1000</f>
        <v>1605.1489361702127</v>
      </c>
      <c r="X123" s="154">
        <f>SUM(Table2[[#This Row],[A1toA3_GWP-biogenic]:[C1toC4_GWP-biogenic]])</f>
        <v>-8.5141914893617923</v>
      </c>
      <c r="Y123" s="154">
        <f>(-754)/Table2[[#This Row],[DENSITY]]*1000</f>
        <v>-1604.2553191489362</v>
      </c>
      <c r="Z123" s="194">
        <f>(-1.67*10^-3+7.5*10^2)/Table2[[#This Row],[DENSITY]]*1000</f>
        <v>1595.7411276595744</v>
      </c>
      <c r="AA123" s="84">
        <f ca="1">IF(OR($E123="Ecoinvent",$E123="Betonsortenrechner",$E123="KBOB",$U123&lt;=0,Table2[[#This Row],[VALID_TO]]&lt;=TODAY()),0,1)</f>
        <v>1</v>
      </c>
      <c r="AB123" s="154">
        <f ca="1">IF(Table2[[#This Row],[VALID_TO]]&gt;=TODAY(), 1, 0)</f>
        <v>1</v>
      </c>
      <c r="AC123" s="213" cm="1">
        <f t="array" aca="1" ref="AC123" ca="1">IF($AA123&lt;&gt;0,
IF(AND(
                         U123&gt;=_xlfn.PERCENTILE.INC(_xlfn._xlws.FILTER($U$2:$U$197, ($L$2:$L$197=L123)*($AA$2:$AA$197=1)),0.1),
                         U123&lt;=_xlfn.PERCENTILE.INC(_xlfn._xlws.FILTER($U$2:$U$197, ($L$3:$L$198=L123)*($AA$2:$AA$197=1)),0.9)
               ),1,0),
0)</f>
        <v>1</v>
      </c>
      <c r="AD123" s="131"/>
      <c r="AE123" s="2"/>
      <c r="AF123" s="2"/>
    </row>
    <row r="124" spans="1:33" x14ac:dyDescent="0.25">
      <c r="A124" s="136" t="s">
        <v>200</v>
      </c>
      <c r="B124" s="137"/>
      <c r="C124" s="223">
        <v>36</v>
      </c>
      <c r="D124" s="137" t="s">
        <v>427</v>
      </c>
      <c r="E124" s="17" t="s">
        <v>479</v>
      </c>
      <c r="F124" s="148" t="s">
        <v>504</v>
      </c>
      <c r="G124" s="173"/>
      <c r="H124" s="30"/>
      <c r="I124" s="30" t="s">
        <v>53</v>
      </c>
      <c r="J124" s="94" t="s">
        <v>40</v>
      </c>
      <c r="K124" s="138" t="s">
        <v>332</v>
      </c>
      <c r="L124" s="16" t="s">
        <v>324</v>
      </c>
      <c r="M124" s="102" t="s">
        <v>325</v>
      </c>
      <c r="N124" s="16" t="s">
        <v>427</v>
      </c>
      <c r="O124" s="30" t="s">
        <v>427</v>
      </c>
      <c r="P124" s="30">
        <v>2300</v>
      </c>
      <c r="Q124" s="17" t="s">
        <v>427</v>
      </c>
      <c r="R124" s="17" t="s">
        <v>427</v>
      </c>
      <c r="S124" s="17" t="s">
        <v>427</v>
      </c>
      <c r="T124" s="116" t="s">
        <v>427</v>
      </c>
      <c r="U124" s="109">
        <f>0.101*1000</f>
        <v>101</v>
      </c>
      <c r="V124" s="77">
        <v>89</v>
      </c>
      <c r="W124" s="124">
        <v>13</v>
      </c>
      <c r="X124" s="152"/>
      <c r="Y124" s="152"/>
      <c r="Z124" s="204"/>
      <c r="AA124" s="109">
        <f ca="1">IF(OR($E124="Ecoinvent",$E124="Betonsortenrechner",$E124="KBOB",$U124&lt;=0,Table2[[#This Row],[VALID_TO]]&lt;=TODAY()),0,1)</f>
        <v>0</v>
      </c>
      <c r="AB124" s="152">
        <v>1</v>
      </c>
      <c r="AC124" s="247" cm="1">
        <f t="array" aca="1" ref="AC124" ca="1">IF($AA124&lt;&gt;0,
IF(AND(
                         U124&gt;=_xlfn.PERCENTILE.INC(_xlfn._xlws.FILTER($U$2:$U$197, ($M$2:$M$197=M124)*($AA$2:$AA$197=1)),0.1),
                         U124&lt;=_xlfn.PERCENTILE.INC(_xlfn._xlws.FILTER($U$2:$U$197, ($M$2:$M$197=M124)*($AA$2:$AA$197=1)),0.9)
               ),1,0),
0)</f>
        <v>0</v>
      </c>
      <c r="AD124" s="135"/>
      <c r="AE124" s="16"/>
      <c r="AF124" s="16"/>
    </row>
    <row r="125" spans="1:33" x14ac:dyDescent="0.25">
      <c r="A125" s="136" t="s">
        <v>198</v>
      </c>
      <c r="B125" s="137"/>
      <c r="C125" s="223">
        <v>37</v>
      </c>
      <c r="D125" s="137" t="s">
        <v>427</v>
      </c>
      <c r="E125" s="17" t="s">
        <v>479</v>
      </c>
      <c r="F125" s="233">
        <v>6.0030000000000001</v>
      </c>
      <c r="G125" s="173"/>
      <c r="H125" s="30"/>
      <c r="I125" s="30" t="s">
        <v>53</v>
      </c>
      <c r="J125" s="94" t="s">
        <v>4</v>
      </c>
      <c r="K125" s="20" t="s">
        <v>333</v>
      </c>
      <c r="L125" s="16" t="s">
        <v>326</v>
      </c>
      <c r="M125" s="102" t="s">
        <v>327</v>
      </c>
      <c r="N125" s="16" t="s">
        <v>427</v>
      </c>
      <c r="O125" s="30" t="s">
        <v>427</v>
      </c>
      <c r="P125" s="30">
        <v>7850</v>
      </c>
      <c r="Q125" s="17" t="s">
        <v>427</v>
      </c>
      <c r="R125" s="17" t="s">
        <v>427</v>
      </c>
      <c r="S125" s="17" t="s">
        <v>427</v>
      </c>
      <c r="T125" s="116" t="s">
        <v>427</v>
      </c>
      <c r="U125" s="109">
        <v>785</v>
      </c>
      <c r="V125" s="76">
        <v>773</v>
      </c>
      <c r="W125" s="124">
        <v>12</v>
      </c>
      <c r="X125" s="152"/>
      <c r="Y125" s="152"/>
      <c r="Z125" s="204"/>
      <c r="AA125" s="84">
        <f ca="1">IF(OR($E125="Ecoinvent",$E125="Betonsortenrechner",$E125="KBOB",$U125&lt;=0,Table2[[#This Row],[VALID_TO]]&lt;=TODAY()),0,1)</f>
        <v>0</v>
      </c>
      <c r="AB125" s="152">
        <v>1</v>
      </c>
      <c r="AC125" s="213" cm="1">
        <f t="array" aca="1" ref="AC125" ca="1">IF($AA125&lt;&gt;0,
IF(AND(
                         U125&gt;=_xlfn.PERCENTILE.INC(_xlfn._xlws.FILTER($U$2:$U$197, ($M$2:$M$197=M125)*($AA$2:$AA$197=1)),0.1),
                         U125&lt;=_xlfn.PERCENTILE.INC(_xlfn._xlws.FILTER($U$2:$U$197, ($M$2:$M$197=M125)*($AA$2:$AA$197=1)),0.9)
               ),1,0),
0)</f>
        <v>0</v>
      </c>
      <c r="AD125" s="135"/>
      <c r="AE125" s="16"/>
      <c r="AF125" s="16"/>
    </row>
    <row r="126" spans="1:33" x14ac:dyDescent="0.25">
      <c r="A126" s="136" t="s">
        <v>377</v>
      </c>
      <c r="B126" s="137"/>
      <c r="C126" s="223">
        <v>63</v>
      </c>
      <c r="D126" s="230" t="s">
        <v>427</v>
      </c>
      <c r="E126" s="17" t="s">
        <v>479</v>
      </c>
      <c r="F126" s="147" t="s">
        <v>496</v>
      </c>
      <c r="G126" s="173"/>
      <c r="H126" s="35"/>
      <c r="I126" s="30" t="s">
        <v>53</v>
      </c>
      <c r="J126" s="94" t="s">
        <v>5</v>
      </c>
      <c r="K126" s="20" t="s">
        <v>336</v>
      </c>
      <c r="L126" s="16" t="s">
        <v>323</v>
      </c>
      <c r="M126" s="102" t="s">
        <v>329</v>
      </c>
      <c r="N126" s="16" t="s">
        <v>427</v>
      </c>
      <c r="O126" s="30" t="s">
        <v>427</v>
      </c>
      <c r="P126" s="30">
        <v>439</v>
      </c>
      <c r="Q126" s="17" t="s">
        <v>427</v>
      </c>
      <c r="R126" s="17" t="s">
        <v>427</v>
      </c>
      <c r="S126" s="17" t="s">
        <v>427</v>
      </c>
      <c r="T126" s="116" t="s">
        <v>427</v>
      </c>
      <c r="U126" s="108">
        <v>253</v>
      </c>
      <c r="V126" s="76">
        <v>204</v>
      </c>
      <c r="W126" s="124">
        <f>0.049*1000</f>
        <v>49</v>
      </c>
      <c r="X126" s="152"/>
      <c r="Y126" s="152"/>
      <c r="Z126" s="204"/>
      <c r="AA126" s="109">
        <f ca="1">IF(OR($E126="Ecoinvent",$E126="Betonsortenrechner",$E126="KBOB",$U126&lt;=0,Table2[[#This Row],[VALID_TO]]&lt;=TODAY()),0,1)</f>
        <v>0</v>
      </c>
      <c r="AB126" s="152">
        <f ca="1">IF(Table2[[#This Row],[VALID_TO]]&gt;=TODAY(), 1, 0)</f>
        <v>0</v>
      </c>
      <c r="AC126" s="247" cm="1">
        <f t="array" aca="1" ref="AC126" ca="1">IF($AA126&lt;&gt;0,
IF(AND(
                         U126&gt;=_xlfn.PERCENTILE.INC(_xlfn._xlws.FILTER($U$2:$U$197, ($L$2:$L$197=L126)*($AA$2:$AA$197=1)),0.1),
                         U126&lt;=_xlfn.PERCENTILE.INC(_xlfn._xlws.FILTER($U$2:$U$197, ($L$3:$L$198=L126)*($AA$2:$AA$197=1)),0.9)
               ),1,0),
0)</f>
        <v>0</v>
      </c>
      <c r="AD126" s="135"/>
      <c r="AE126" s="16"/>
      <c r="AF126" s="16"/>
    </row>
    <row r="127" spans="1:33" ht="15.75" thickBot="1" x14ac:dyDescent="0.3">
      <c r="A127" s="139" t="s">
        <v>230</v>
      </c>
      <c r="B127" s="159"/>
      <c r="C127" s="224">
        <v>64</v>
      </c>
      <c r="D127" s="229" t="s">
        <v>427</v>
      </c>
      <c r="E127" s="14" t="s">
        <v>479</v>
      </c>
      <c r="F127" s="231">
        <v>7.0030000000000001</v>
      </c>
      <c r="G127" s="172"/>
      <c r="H127" s="236"/>
      <c r="I127" s="27"/>
      <c r="J127" s="93" t="s">
        <v>493</v>
      </c>
      <c r="K127" s="238" t="s">
        <v>336</v>
      </c>
      <c r="L127" s="13" t="s">
        <v>323</v>
      </c>
      <c r="M127" s="140" t="s">
        <v>329</v>
      </c>
      <c r="N127" s="13" t="s">
        <v>427</v>
      </c>
      <c r="O127" s="27" t="s">
        <v>427</v>
      </c>
      <c r="P127" s="27">
        <v>439</v>
      </c>
      <c r="Q127" s="14" t="s">
        <v>427</v>
      </c>
      <c r="R127" s="14" t="s">
        <v>427</v>
      </c>
      <c r="S127" s="14" t="s">
        <v>427</v>
      </c>
      <c r="T127" s="113" t="s">
        <v>427</v>
      </c>
      <c r="U127" s="241">
        <v>335</v>
      </c>
      <c r="V127" s="244">
        <v>286</v>
      </c>
      <c r="W127" s="122">
        <v>49</v>
      </c>
      <c r="X127" s="153"/>
      <c r="Y127" s="153"/>
      <c r="Z127" s="205"/>
      <c r="AA127" s="105">
        <f ca="1">IF(OR($E127="Ecoinvent",$E127="Betonsortenrechner",$E127="KBOB",$U127&lt;=0,Table2[[#This Row],[VALID_TO]]&lt;=TODAY()),0,1)</f>
        <v>0</v>
      </c>
      <c r="AB127" s="153">
        <f ca="1">IF(Table2[[#This Row],[VALID_TO]]&gt;=TODAY(), 1, 0)</f>
        <v>0</v>
      </c>
      <c r="AC127" s="248" cm="1">
        <f t="array" aca="1" ref="AC127" ca="1">IF($AA127&lt;&gt;0,
IF(AND(
                         U127&gt;=_xlfn.PERCENTILE.INC(_xlfn._xlws.FILTER($U$2:$U$197, ($L$2:$L$197=L127)*($AA$2:$AA$197=1)),0.1),
                         U127&lt;=_xlfn.PERCENTILE.INC(_xlfn._xlws.FILTER($U$2:$U$197, ($L$3:$L$198=L127)*($AA$2:$AA$197=1)),0.9)
               ),1,0),
0)</f>
        <v>0</v>
      </c>
      <c r="AD127" s="132"/>
      <c r="AE127" s="13"/>
      <c r="AF127" s="13"/>
    </row>
    <row r="128" spans="1:33" s="15" customFormat="1" x14ac:dyDescent="0.25">
      <c r="A128" s="136" t="s">
        <v>229</v>
      </c>
      <c r="B128" s="137"/>
      <c r="C128" s="223">
        <v>65</v>
      </c>
      <c r="D128" s="20" t="s">
        <v>427</v>
      </c>
      <c r="E128" s="17" t="s">
        <v>479</v>
      </c>
      <c r="F128" s="235" t="s">
        <v>496</v>
      </c>
      <c r="G128" s="173"/>
      <c r="H128" s="35"/>
      <c r="I128" s="30" t="s">
        <v>53</v>
      </c>
      <c r="J128" s="94" t="s">
        <v>156</v>
      </c>
      <c r="K128" s="20" t="s">
        <v>505</v>
      </c>
      <c r="L128" s="16" t="s">
        <v>323</v>
      </c>
      <c r="M128" s="102" t="s">
        <v>509</v>
      </c>
      <c r="N128" s="16" t="s">
        <v>427</v>
      </c>
      <c r="O128" s="30" t="s">
        <v>427</v>
      </c>
      <c r="P128" s="30">
        <v>436</v>
      </c>
      <c r="Q128" s="17" t="s">
        <v>427</v>
      </c>
      <c r="R128" s="17" t="s">
        <v>427</v>
      </c>
      <c r="S128" s="17" t="s">
        <v>427</v>
      </c>
      <c r="T128" s="116" t="s">
        <v>427</v>
      </c>
      <c r="U128" s="108">
        <v>250</v>
      </c>
      <c r="V128" s="76">
        <v>201</v>
      </c>
      <c r="W128" s="124">
        <v>49</v>
      </c>
      <c r="X128" s="152"/>
      <c r="Y128" s="152"/>
      <c r="Z128" s="204"/>
      <c r="AA128" s="109">
        <f ca="1">IF(OR($E128="Ecoinvent",$E128="Betonsortenrechner",$E128="KBOB",$U128&lt;=0,Table2[[#This Row],[VALID_TO]]&lt;=TODAY()),0,1)</f>
        <v>0</v>
      </c>
      <c r="AB128" s="152">
        <f ca="1">IF(Table2[[#This Row],[VALID_TO]]&gt;=TODAY(), 1, 0)</f>
        <v>0</v>
      </c>
      <c r="AC128" s="247" cm="1">
        <f t="array" aca="1" ref="AC128" ca="1">IF($AA128&lt;&gt;0,
IF(AND(
                         U128&gt;=_xlfn.PERCENTILE.INC(_xlfn._xlws.FILTER($U$2:$U$197, ($L$2:$L$197=L128)*($AA$2:$AA$197=1)),0.1),
                         U128&lt;=_xlfn.PERCENTILE.INC(_xlfn._xlws.FILTER($U$2:$U$197, ($L$3:$L$198=L128)*($AA$2:$AA$197=1)),0.9)
               ),1,0),
0)</f>
        <v>0</v>
      </c>
      <c r="AD128" s="135"/>
      <c r="AE128" s="16"/>
      <c r="AF128" s="16"/>
      <c r="AG128"/>
    </row>
    <row r="129" spans="1:32" x14ac:dyDescent="0.25">
      <c r="A129" s="136" t="s">
        <v>228</v>
      </c>
      <c r="B129" s="137"/>
      <c r="C129" s="223">
        <v>66</v>
      </c>
      <c r="D129" s="20" t="s">
        <v>427</v>
      </c>
      <c r="E129" s="17" t="s">
        <v>479</v>
      </c>
      <c r="F129" s="233">
        <v>7.02</v>
      </c>
      <c r="G129" s="173"/>
      <c r="H129" s="35"/>
      <c r="I129" s="30"/>
      <c r="J129" s="94" t="s">
        <v>157</v>
      </c>
      <c r="K129" s="20" t="s">
        <v>505</v>
      </c>
      <c r="L129" s="16" t="s">
        <v>323</v>
      </c>
      <c r="M129" s="102" t="s">
        <v>509</v>
      </c>
      <c r="N129" s="16" t="s">
        <v>427</v>
      </c>
      <c r="O129" s="30" t="s">
        <v>427</v>
      </c>
      <c r="P129" s="30">
        <v>424</v>
      </c>
      <c r="Q129" s="17" t="s">
        <v>427</v>
      </c>
      <c r="R129" s="17" t="s">
        <v>427</v>
      </c>
      <c r="S129" s="17" t="s">
        <v>427</v>
      </c>
      <c r="T129" s="116" t="s">
        <v>427</v>
      </c>
      <c r="U129" s="243">
        <v>365</v>
      </c>
      <c r="V129" s="108">
        <v>316</v>
      </c>
      <c r="W129" s="124">
        <v>49</v>
      </c>
      <c r="X129" s="152"/>
      <c r="Y129" s="152"/>
      <c r="Z129" s="204"/>
      <c r="AA129" s="109">
        <f ca="1">IF(OR($E129="Ecoinvent",$E129="Betonsortenrechner",$E129="KBOB",$U129&lt;=0,Table2[[#This Row],[VALID_TO]]&lt;=TODAY()),0,1)</f>
        <v>0</v>
      </c>
      <c r="AB129" s="152">
        <f ca="1">IF(Table2[[#This Row],[VALID_TO]]&gt;=TODAY(), 1, 0)</f>
        <v>0</v>
      </c>
      <c r="AC129" s="247" cm="1">
        <f t="array" aca="1" ref="AC129" ca="1">IF($AA129&lt;&gt;0,
IF(AND(
                         U129&gt;=_xlfn.PERCENTILE.INC(_xlfn._xlws.FILTER($U$2:$U$197, ($L$2:$L$197=L129)*($AA$2:$AA$197=1)),0.1),
                         U129&lt;=_xlfn.PERCENTILE.INC(_xlfn._xlws.FILTER($U$2:$U$197, ($L$3:$L$198=L129)*($AA$2:$AA$197=1)),0.9)
               ),1,0),
0)</f>
        <v>0</v>
      </c>
      <c r="AD129" s="135"/>
      <c r="AE129" s="16"/>
      <c r="AF129" s="16"/>
    </row>
    <row r="130" spans="1:32" x14ac:dyDescent="0.25">
      <c r="A130" s="136" t="s">
        <v>227</v>
      </c>
      <c r="B130" s="137"/>
      <c r="C130" s="223">
        <v>67</v>
      </c>
      <c r="D130" s="20" t="s">
        <v>427</v>
      </c>
      <c r="E130" s="145" t="s">
        <v>479</v>
      </c>
      <c r="F130" s="147" t="s">
        <v>497</v>
      </c>
      <c r="G130" s="173"/>
      <c r="H130" s="35"/>
      <c r="I130" s="30"/>
      <c r="J130" s="94" t="s">
        <v>378</v>
      </c>
      <c r="K130" s="20" t="s">
        <v>337</v>
      </c>
      <c r="L130" s="16" t="s">
        <v>323</v>
      </c>
      <c r="M130" s="102" t="s">
        <v>330</v>
      </c>
      <c r="N130" s="16" t="s">
        <v>427</v>
      </c>
      <c r="O130" s="30" t="s">
        <v>427</v>
      </c>
      <c r="P130" s="30">
        <v>436</v>
      </c>
      <c r="Q130" s="17" t="s">
        <v>427</v>
      </c>
      <c r="R130" s="17" t="s">
        <v>427</v>
      </c>
      <c r="S130" s="17" t="s">
        <v>427</v>
      </c>
      <c r="T130" s="116" t="s">
        <v>427</v>
      </c>
      <c r="U130" s="243">
        <v>288</v>
      </c>
      <c r="V130" s="108">
        <v>244</v>
      </c>
      <c r="W130" s="124">
        <v>44</v>
      </c>
      <c r="X130" s="152"/>
      <c r="Y130" s="152"/>
      <c r="Z130" s="204"/>
      <c r="AA130" s="109">
        <f ca="1">IF(OR($E130="Ecoinvent",$E130="Betonsortenrechner",$E130="KBOB",$U130&lt;=0,Table2[[#This Row],[VALID_TO]]&lt;=TODAY()),0,1)</f>
        <v>0</v>
      </c>
      <c r="AB130" s="152">
        <f ca="1">IF(Table2[[#This Row],[VALID_TO]]&gt;=TODAY(), 1, 0)</f>
        <v>0</v>
      </c>
      <c r="AC130" s="247" cm="1">
        <f t="array" aca="1" ref="AC130" ca="1">IF($AA130&lt;&gt;0,
IF(AND(
                         U130&gt;=_xlfn.PERCENTILE.INC(_xlfn._xlws.FILTER($U$2:$U$197, ($L$2:$L$197=L130)*($AA$2:$AA$197=1)),0.1),
                         U130&lt;=_xlfn.PERCENTILE.INC(_xlfn._xlws.FILTER($U$2:$U$197, ($L$3:$L$198=L130)*($AA$2:$AA$197=1)),0.9)
               ),1,0),
0)</f>
        <v>0</v>
      </c>
      <c r="AD130" s="135"/>
      <c r="AE130" s="16"/>
      <c r="AF130" s="16"/>
    </row>
    <row r="131" spans="1:32" x14ac:dyDescent="0.25">
      <c r="A131" s="136" t="s">
        <v>370</v>
      </c>
      <c r="B131" s="137"/>
      <c r="C131" s="223">
        <v>127</v>
      </c>
      <c r="D131" s="16" t="s">
        <v>427</v>
      </c>
      <c r="E131" s="145" t="s">
        <v>479</v>
      </c>
      <c r="F131" s="233">
        <v>6.0119999999999996</v>
      </c>
      <c r="G131" s="35"/>
      <c r="H131" s="35"/>
      <c r="I131" s="30" t="s">
        <v>53</v>
      </c>
      <c r="J131" s="94" t="s">
        <v>135</v>
      </c>
      <c r="K131" s="20" t="s">
        <v>334</v>
      </c>
      <c r="L131" s="16" t="s">
        <v>326</v>
      </c>
      <c r="M131" s="102" t="s">
        <v>328</v>
      </c>
      <c r="N131" s="16" t="s">
        <v>427</v>
      </c>
      <c r="O131" s="30" t="s">
        <v>427</v>
      </c>
      <c r="P131" s="30">
        <v>7850</v>
      </c>
      <c r="Q131" s="17" t="s">
        <v>427</v>
      </c>
      <c r="R131" s="17" t="s">
        <v>427</v>
      </c>
      <c r="S131" s="17" t="s">
        <v>427</v>
      </c>
      <c r="T131" s="116" t="s">
        <v>427</v>
      </c>
      <c r="U131" s="152">
        <f>SUM(Table2[[#This Row],[A1toA3_GWP]:[C1toC4_GWP]])</f>
        <v>737</v>
      </c>
      <c r="V131" s="109">
        <f>0.73*1000</f>
        <v>730</v>
      </c>
      <c r="W131" s="124">
        <f>0.007*1000</f>
        <v>7</v>
      </c>
      <c r="X131" s="152"/>
      <c r="Y131" s="152"/>
      <c r="Z131" s="204"/>
      <c r="AA131" s="84">
        <f ca="1">IF(OR($E131="Ecoinvent",$E131="Betonsortenrechner",$E131="KBOB",$U131&lt;=0,Table2[[#This Row],[VALID_TO]]&lt;=TODAY()),0,1)</f>
        <v>0</v>
      </c>
      <c r="AB131" s="154">
        <f ca="1">IF(Table2[[#This Row],[VALID_TO]]&gt;=TODAY(), 1, 0)</f>
        <v>0</v>
      </c>
      <c r="AC131" s="213" cm="1">
        <f t="array" aca="1" ref="AC131" ca="1">IF($AA131&lt;&gt;0,
IF(AND(
                         U131&gt;=_xlfn.PERCENTILE.INC(_xlfn._xlws.FILTER($U$2:$U$197, ($M$2:$M$197=M131)*($AA$2:$AA$197=1)),0.1),
                         U131&lt;=_xlfn.PERCENTILE.INC(_xlfn._xlws.FILTER($U$2:$U$197, ($M$2:$M$197=M131)*($AA$2:$AA$197=1)),0.9)
               ),1,0),
0)</f>
        <v>0</v>
      </c>
      <c r="AD131" s="135"/>
      <c r="AE131" s="141"/>
      <c r="AF131" s="141"/>
    </row>
    <row r="132" spans="1:32" x14ac:dyDescent="0.25">
      <c r="A132" s="8" t="s">
        <v>372</v>
      </c>
      <c r="B132" s="21"/>
      <c r="C132" s="225">
        <v>132</v>
      </c>
      <c r="D132" s="2" t="s">
        <v>133</v>
      </c>
      <c r="E132" s="3" t="s">
        <v>134</v>
      </c>
      <c r="F132" s="3"/>
      <c r="G132" s="32">
        <v>41803</v>
      </c>
      <c r="H132" s="32">
        <v>43628</v>
      </c>
      <c r="I132" s="26" t="s">
        <v>53</v>
      </c>
      <c r="J132" s="92" t="s">
        <v>135</v>
      </c>
      <c r="K132" s="6" t="s">
        <v>334</v>
      </c>
      <c r="L132" s="2" t="s">
        <v>326</v>
      </c>
      <c r="M132" s="100" t="s">
        <v>328</v>
      </c>
      <c r="N132" s="2" t="s">
        <v>427</v>
      </c>
      <c r="O132" s="191" t="s">
        <v>427</v>
      </c>
      <c r="P132" s="26">
        <v>7850</v>
      </c>
      <c r="Q132" s="3" t="s">
        <v>427</v>
      </c>
      <c r="R132" s="3" t="s">
        <v>427</v>
      </c>
      <c r="S132" s="3" t="s">
        <v>427</v>
      </c>
      <c r="T132" s="112" t="s">
        <v>427</v>
      </c>
      <c r="U132" s="78">
        <f>SUM(Table2[[#This Row],[A1toA3_GWP]:[C1toC4_GWP]])</f>
        <v>728</v>
      </c>
      <c r="V132" s="79">
        <f>0.728*1000</f>
        <v>728</v>
      </c>
      <c r="W132" s="121">
        <v>0</v>
      </c>
      <c r="X132" s="78"/>
      <c r="Y132" s="78"/>
      <c r="Z132" s="198"/>
      <c r="AA132" s="84">
        <f ca="1">IF(OR($E132="Ecoinvent",$E132="Betonsortenrechner",$E132="KBOB",$U132&lt;=0,Table2[[#This Row],[VALID_TO]]&lt;=TODAY()),0,1)</f>
        <v>0</v>
      </c>
      <c r="AB132" s="154">
        <f ca="1">IF(Table2[[#This Row],[VALID_TO]]&gt;=TODAY(), 1, 0)</f>
        <v>0</v>
      </c>
      <c r="AC132" s="213" cm="1">
        <f t="array" aca="1" ref="AC132" ca="1">IF($AA132&lt;&gt;0,
IF(AND(
                         U132&gt;=_xlfn.PERCENTILE.INC(_xlfn._xlws.FILTER($U$2:$U$197, ($M$2:$M$197=M132)*($AA$2:$AA$197=1)),0.1),
                         U132&lt;=_xlfn.PERCENTILE.INC(_xlfn._xlws.FILTER($U$2:$U$197, ($M$2:$M$197=M132)*($AA$2:$AA$197=1)),0.9)
               ),1,0),
0)</f>
        <v>0</v>
      </c>
      <c r="AD132" s="131"/>
      <c r="AE132" s="142"/>
      <c r="AF132" s="142"/>
    </row>
    <row r="133" spans="1:32" x14ac:dyDescent="0.25">
      <c r="A133" s="8" t="s">
        <v>374</v>
      </c>
      <c r="B133" s="21"/>
      <c r="C133" s="225">
        <v>136</v>
      </c>
      <c r="D133" s="2" t="s">
        <v>138</v>
      </c>
      <c r="E133" s="3" t="s">
        <v>139</v>
      </c>
      <c r="F133" s="3"/>
      <c r="G133" s="32">
        <v>44396</v>
      </c>
      <c r="H133" s="32">
        <v>46221</v>
      </c>
      <c r="I133" s="26" t="s">
        <v>140</v>
      </c>
      <c r="J133" s="92" t="s">
        <v>141</v>
      </c>
      <c r="K133" s="6" t="s">
        <v>334</v>
      </c>
      <c r="L133" s="2" t="s">
        <v>326</v>
      </c>
      <c r="M133" s="100" t="s">
        <v>328</v>
      </c>
      <c r="N133" s="2" t="s">
        <v>427</v>
      </c>
      <c r="O133" s="191" t="s">
        <v>427</v>
      </c>
      <c r="P133" s="26">
        <v>7850</v>
      </c>
      <c r="Q133" s="3" t="s">
        <v>427</v>
      </c>
      <c r="R133" s="3" t="s">
        <v>427</v>
      </c>
      <c r="S133" s="3" t="s">
        <v>427</v>
      </c>
      <c r="T133" s="112" t="s">
        <v>427</v>
      </c>
      <c r="U133" s="78">
        <f>SUM(Table2[[#This Row],[A1toA3_GWP]:[C1toC4_GWP]])</f>
        <v>348.9</v>
      </c>
      <c r="V133" s="79">
        <v>333</v>
      </c>
      <c r="W133" s="121">
        <f>1.6+14.3</f>
        <v>15.9</v>
      </c>
      <c r="X133" s="78"/>
      <c r="Y133" s="78"/>
      <c r="Z133" s="198"/>
      <c r="AA133" s="84">
        <f ca="1">IF(OR($E133="Ecoinvent",$E133="Betonsortenrechner",$E133="KBOB",$U133&lt;=0,Table2[[#This Row],[VALID_TO]]&lt;=TODAY()),0,1)</f>
        <v>1</v>
      </c>
      <c r="AB133" s="154">
        <f ca="1">IF(Table2[[#This Row],[VALID_TO]]&gt;=TODAY(), 1, 0)</f>
        <v>1</v>
      </c>
      <c r="AC133" s="213" cm="1">
        <f t="array" aca="1" ref="AC133" ca="1">IF($AA133&lt;&gt;0,
IF(AND(
                         U133&gt;=_xlfn.PERCENTILE.INC(_xlfn._xlws.FILTER($U$2:$U$197, ($M$2:$M$197=M133)*($AA$2:$AA$197=1)),0.1),
                         U133&lt;=_xlfn.PERCENTILE.INC(_xlfn._xlws.FILTER($U$2:$U$197, ($M$2:$M$197=M133)*($AA$2:$AA$197=1)),0.9)
               ),1,0),
0)</f>
        <v>0</v>
      </c>
      <c r="AD133" s="131"/>
      <c r="AE133" s="142"/>
      <c r="AF133" s="142"/>
    </row>
    <row r="134" spans="1:32" x14ac:dyDescent="0.25">
      <c r="A134" s="177" t="s">
        <v>450</v>
      </c>
      <c r="B134" s="160"/>
      <c r="C134" s="222">
        <v>157</v>
      </c>
      <c r="D134" s="2" t="s">
        <v>453</v>
      </c>
      <c r="E134" s="3" t="s">
        <v>452</v>
      </c>
      <c r="F134" s="3"/>
      <c r="G134" s="32">
        <v>45134</v>
      </c>
      <c r="H134" s="32">
        <v>46960</v>
      </c>
      <c r="I134" s="26" t="s">
        <v>54</v>
      </c>
      <c r="J134" s="92" t="s">
        <v>135</v>
      </c>
      <c r="K134" s="6" t="s">
        <v>334</v>
      </c>
      <c r="L134" s="2" t="s">
        <v>443</v>
      </c>
      <c r="M134" s="100" t="s">
        <v>328</v>
      </c>
      <c r="N134" s="2" t="s">
        <v>427</v>
      </c>
      <c r="O134" s="191" t="s">
        <v>427</v>
      </c>
      <c r="P134" s="26">
        <v>7850</v>
      </c>
      <c r="Q134" s="3" t="s">
        <v>427</v>
      </c>
      <c r="R134" s="3" t="s">
        <v>427</v>
      </c>
      <c r="S134" s="3" t="s">
        <v>427</v>
      </c>
      <c r="T134" s="112" t="s">
        <v>427</v>
      </c>
      <c r="U134" s="78">
        <f>SUM(Table2[[#This Row],[A1toA3_GWP]:[C1toC4_GWP]])</f>
        <v>838.41</v>
      </c>
      <c r="V134" s="79">
        <v>688</v>
      </c>
      <c r="W134" s="121">
        <f>5.41+145</f>
        <v>150.41</v>
      </c>
      <c r="X134" s="78"/>
      <c r="Y134" s="78"/>
      <c r="Z134" s="198"/>
      <c r="AA134" s="84">
        <f ca="1">IF(OR($E134="Ecoinvent",$E134="Betonsortenrechner",$E134="KBOB",$U134&lt;=0,Table2[[#This Row],[VALID_TO]]&lt;=TODAY()),0,1)</f>
        <v>1</v>
      </c>
      <c r="AB134" s="154">
        <f ca="1">IF(Table2[[#This Row],[VALID_TO]]&gt;=TODAY(), 1, 0)</f>
        <v>1</v>
      </c>
      <c r="AC134" s="213" cm="1">
        <f t="array" aca="1" ref="AC134" ca="1">IF($AA134&lt;&gt;0,
IF(AND(
                         U134&gt;=_xlfn.PERCENTILE.INC(_xlfn._xlws.FILTER($U$2:$U$197, ($M$2:$M$197=M134)*($AA$2:$AA$197=1)),0.1),
                         U134&lt;=_xlfn.PERCENTILE.INC(_xlfn._xlws.FILTER($U$2:$U$197, ($M$2:$M$197=M134)*($AA$2:$AA$197=1)),0.9)
               ),1,0),
0)</f>
        <v>1</v>
      </c>
      <c r="AD134" s="131"/>
      <c r="AE134" s="2"/>
      <c r="AF134" s="2"/>
    </row>
    <row r="135" spans="1:32" x14ac:dyDescent="0.25">
      <c r="A135" s="177" t="s">
        <v>477</v>
      </c>
      <c r="B135" s="160"/>
      <c r="C135" s="222">
        <v>167</v>
      </c>
      <c r="D135" s="2" t="s">
        <v>476</v>
      </c>
      <c r="E135" s="3" t="s">
        <v>475</v>
      </c>
      <c r="F135" s="3"/>
      <c r="G135" s="32">
        <v>44158</v>
      </c>
      <c r="H135" s="32">
        <v>45981</v>
      </c>
      <c r="I135" s="26" t="s">
        <v>247</v>
      </c>
      <c r="J135" s="92" t="s">
        <v>135</v>
      </c>
      <c r="K135" s="6" t="s">
        <v>334</v>
      </c>
      <c r="L135" s="2" t="s">
        <v>443</v>
      </c>
      <c r="M135" s="100" t="s">
        <v>328</v>
      </c>
      <c r="N135" s="2" t="s">
        <v>427</v>
      </c>
      <c r="O135" s="26" t="s">
        <v>427</v>
      </c>
      <c r="P135" s="26">
        <v>7850</v>
      </c>
      <c r="Q135" s="3" t="s">
        <v>427</v>
      </c>
      <c r="R135" s="3" t="s">
        <v>427</v>
      </c>
      <c r="S135" s="3" t="s">
        <v>427</v>
      </c>
      <c r="T135" s="112" t="s">
        <v>427</v>
      </c>
      <c r="U135" s="78">
        <f>SUM(Table2[[#This Row],[A1toA3_GWP]:[C1toC4_GWP]])</f>
        <v>1070.46</v>
      </c>
      <c r="V135" s="79">
        <f>1.04*1000</f>
        <v>1040</v>
      </c>
      <c r="W135" s="121">
        <f>21.4+6.84+2.22</f>
        <v>30.459999999999997</v>
      </c>
      <c r="X135" s="78"/>
      <c r="Y135" s="78"/>
      <c r="Z135" s="198"/>
      <c r="AA135" s="84">
        <f ca="1">IF(OR($E135="Ecoinvent",$E135="Betonsortenrechner",$E135="KBOB",$U135&lt;=0,Table2[[#This Row],[VALID_TO]]&lt;=TODAY()),0,1)</f>
        <v>0</v>
      </c>
      <c r="AB135" s="154">
        <f ca="1">IF(Table2[[#This Row],[VALID_TO]]&gt;=TODAY(), 1, 0)</f>
        <v>0</v>
      </c>
      <c r="AC135" s="213" cm="1">
        <f t="array" aca="1" ref="AC135" ca="1">IF($AA135&lt;&gt;0,
IF(AND(
                         U135&gt;=_xlfn.PERCENTILE.INC(_xlfn._xlws.FILTER($U$2:$U$197, ($M$2:$M$197=M135)*($AA$2:$AA$197=1)),0.1),
                         U135&lt;=_xlfn.PERCENTILE.INC(_xlfn._xlws.FILTER($U$2:$U$197, ($M$2:$M$197=M135)*($AA$2:$AA$197=1)),0.9)
               ),1,0),
0)</f>
        <v>0</v>
      </c>
      <c r="AD135" s="131"/>
      <c r="AE135" s="2"/>
      <c r="AF135" s="2"/>
    </row>
    <row r="136" spans="1:32" x14ac:dyDescent="0.25">
      <c r="A136" s="177" t="s">
        <v>181</v>
      </c>
      <c r="B136" s="21"/>
      <c r="C136" s="225">
        <v>168</v>
      </c>
      <c r="D136" s="2" t="s">
        <v>162</v>
      </c>
      <c r="E136" s="3" t="s">
        <v>161</v>
      </c>
      <c r="F136" s="3"/>
      <c r="G136" s="32">
        <v>45483</v>
      </c>
      <c r="H136" s="32">
        <v>47309</v>
      </c>
      <c r="I136" s="26" t="s">
        <v>163</v>
      </c>
      <c r="J136" s="92" t="s">
        <v>164</v>
      </c>
      <c r="K136" s="2" t="s">
        <v>303</v>
      </c>
      <c r="L136" s="2" t="s">
        <v>326</v>
      </c>
      <c r="M136" s="100" t="s">
        <v>165</v>
      </c>
      <c r="N136" s="2" t="s">
        <v>427</v>
      </c>
      <c r="O136" s="26" t="s">
        <v>427</v>
      </c>
      <c r="P136" s="26" t="s">
        <v>427</v>
      </c>
      <c r="Q136" s="3" t="s">
        <v>427</v>
      </c>
      <c r="R136" s="3" t="s">
        <v>427</v>
      </c>
      <c r="S136" s="3" t="s">
        <v>427</v>
      </c>
      <c r="T136" s="112" t="s">
        <v>427</v>
      </c>
      <c r="U136" s="78">
        <f>SUM(Table2[[#This Row],[A1toA3_GWP]:[C1toC4_GWP]])</f>
        <v>1308.9564</v>
      </c>
      <c r="V136" s="79">
        <v>1280</v>
      </c>
      <c r="W136" s="121">
        <f>6.59+22.1+0.2664</f>
        <v>28.956400000000002</v>
      </c>
      <c r="X136" s="78"/>
      <c r="Y136" s="78"/>
      <c r="Z136" s="198"/>
      <c r="AA136" s="84">
        <f ca="1">IF(OR($E136="Ecoinvent",$E136="Betonsortenrechner",$E136="KBOB",$U136&lt;=0,Table2[[#This Row],[VALID_TO]]&lt;=TODAY()),0,1)</f>
        <v>1</v>
      </c>
      <c r="AB136" s="154">
        <f ca="1">IF(Table2[[#This Row],[VALID_TO]]&gt;=TODAY(), 1, 0)</f>
        <v>1</v>
      </c>
      <c r="AC136" s="213" cm="1">
        <f t="array" aca="1" ref="AC136" ca="1">IF($AA136&lt;&gt;0,
IF(AND(
                         U136&gt;=_xlfn.PERCENTILE.INC(_xlfn._xlws.FILTER($U$2:$U$197, ($M$2:$M$197=M136)*($AA$2:$AA$197=1)),0.1),
                         U136&lt;=_xlfn.PERCENTILE.INC(_xlfn._xlws.FILTER($U$2:$U$197, ($M$2:$M$197=M136)*($AA$2:$AA$197=1)),0.9)
               ),1,0),
0)</f>
        <v>1</v>
      </c>
      <c r="AD136" s="131"/>
      <c r="AE136" s="2" t="s">
        <v>171</v>
      </c>
      <c r="AF136" s="2"/>
    </row>
    <row r="137" spans="1:32" x14ac:dyDescent="0.25">
      <c r="A137" s="8" t="s">
        <v>182</v>
      </c>
      <c r="B137" s="21"/>
      <c r="C137" s="225">
        <v>169</v>
      </c>
      <c r="D137" s="2" t="s">
        <v>174</v>
      </c>
      <c r="E137" s="3" t="s">
        <v>161</v>
      </c>
      <c r="F137" s="3"/>
      <c r="G137" s="32">
        <v>44578</v>
      </c>
      <c r="H137" s="32">
        <v>46404</v>
      </c>
      <c r="I137" s="26" t="s">
        <v>163</v>
      </c>
      <c r="J137" s="92" t="s">
        <v>164</v>
      </c>
      <c r="K137" s="2" t="s">
        <v>303</v>
      </c>
      <c r="L137" s="2" t="s">
        <v>326</v>
      </c>
      <c r="M137" s="100" t="s">
        <v>165</v>
      </c>
      <c r="N137" s="2" t="s">
        <v>427</v>
      </c>
      <c r="O137" s="26" t="s">
        <v>427</v>
      </c>
      <c r="P137" s="26" t="s">
        <v>427</v>
      </c>
      <c r="Q137" s="3" t="s">
        <v>427</v>
      </c>
      <c r="R137" s="3" t="s">
        <v>427</v>
      </c>
      <c r="S137" s="3" t="s">
        <v>427</v>
      </c>
      <c r="T137" s="112" t="s">
        <v>427</v>
      </c>
      <c r="U137" s="78">
        <f>SUM(Table2[[#This Row],[A1toA3_GWP]:[C1toC4_GWP]])</f>
        <v>1852.364</v>
      </c>
      <c r="V137" s="79">
        <v>1830</v>
      </c>
      <c r="W137" s="121">
        <f>22.1+0.264</f>
        <v>22.364000000000001</v>
      </c>
      <c r="X137" s="78"/>
      <c r="Y137" s="78"/>
      <c r="Z137" s="198"/>
      <c r="AA137" s="84">
        <f ca="1">IF(OR($E137="Ecoinvent",$E137="Betonsortenrechner",$E137="KBOB",$U137&lt;=0,Table2[[#This Row],[VALID_TO]]&lt;=TODAY()),0,1)</f>
        <v>1</v>
      </c>
      <c r="AB137" s="154">
        <f ca="1">IF(Table2[[#This Row],[VALID_TO]]&gt;=TODAY(), 1, 0)</f>
        <v>1</v>
      </c>
      <c r="AC137" s="213" cm="1">
        <f t="array" aca="1" ref="AC137" ca="1">IF($AA137&lt;&gt;0,
IF(AND(
                         U137&gt;=_xlfn.PERCENTILE.INC(_xlfn._xlws.FILTER($U$2:$U$197, ($M$2:$M$197=M137)*($AA$2:$AA$197=1)),0.1),
                         U137&lt;=_xlfn.PERCENTILE.INC(_xlfn._xlws.FILTER($U$2:$U$197, ($M$2:$M$197=M137)*($AA$2:$AA$197=1)),0.9)
               ),1,0),
0)</f>
        <v>0</v>
      </c>
      <c r="AD137" s="131"/>
      <c r="AE137" s="2"/>
      <c r="AF137" s="2"/>
    </row>
    <row r="138" spans="1:32" x14ac:dyDescent="0.25">
      <c r="A138" s="8" t="s">
        <v>190</v>
      </c>
      <c r="B138" s="21"/>
      <c r="C138" s="222">
        <v>179</v>
      </c>
      <c r="D138" s="2" t="s">
        <v>195</v>
      </c>
      <c r="E138" s="3" t="s">
        <v>192</v>
      </c>
      <c r="F138" s="3"/>
      <c r="G138" s="32"/>
      <c r="H138" s="26"/>
      <c r="I138" s="26" t="s">
        <v>54</v>
      </c>
      <c r="J138" s="92" t="s">
        <v>492</v>
      </c>
      <c r="K138" s="2" t="s">
        <v>303</v>
      </c>
      <c r="L138" s="2" t="s">
        <v>506</v>
      </c>
      <c r="M138" s="100" t="s">
        <v>197</v>
      </c>
      <c r="N138" s="2" t="s">
        <v>427</v>
      </c>
      <c r="O138" s="3" t="s">
        <v>427</v>
      </c>
      <c r="P138" s="26">
        <f>95.6/0.04</f>
        <v>2390</v>
      </c>
      <c r="Q138" s="3" t="s">
        <v>427</v>
      </c>
      <c r="R138" s="3" t="s">
        <v>427</v>
      </c>
      <c r="S138" s="3" t="s">
        <v>427</v>
      </c>
      <c r="T138" s="112" t="s">
        <v>427</v>
      </c>
      <c r="U138" s="78">
        <f>SUM(Table2[[#This Row],[A1toA3_GWP]:[C1toC4_GWP]])</f>
        <v>303.49372384937237</v>
      </c>
      <c r="V138" s="107">
        <f>27.4/0.04/Table2[[#This Row],[DENSITY]]*1000</f>
        <v>286.61087866108784</v>
      </c>
      <c r="W138" s="121">
        <f>(0.488+0.312+0.814)/0.04/Table2[[#This Row],[DENSITY]]*1000</f>
        <v>16.882845188284517</v>
      </c>
      <c r="X138" s="78"/>
      <c r="Y138" s="78"/>
      <c r="Z138" s="198"/>
      <c r="AA138" s="84">
        <f ca="1">IF(OR($E138="Ecoinvent",$E138="Betonsortenrechner",$E138="KBOB",$U138&lt;=0,Table2[[#This Row],[VALID_TO]]&lt;=TODAY()),0,1)</f>
        <v>0</v>
      </c>
      <c r="AB138" s="154">
        <f ca="1">IF(Table2[[#This Row],[VALID_TO]]&gt;=TODAY(), 1, 0)</f>
        <v>0</v>
      </c>
      <c r="AC138" s="213" cm="1">
        <f t="array" aca="1" ref="AC138" ca="1">IF($AA138&lt;&gt;0,
IF(AND(
                         U138&gt;=_xlfn.PERCENTILE.INC(_xlfn._xlws.FILTER($U$2:$U$197, ($M$2:$M$197=M138)*($AA$2:$AA$197=1)),0.1),
                         U138&lt;=_xlfn.PERCENTILE.INC(_xlfn._xlws.FILTER($U$2:$U$197, ($M$2:$M$197=M138)*($AA$2:$AA$197=1)),0.9)
               ),1,0),
0)</f>
        <v>0</v>
      </c>
      <c r="AD138" s="131"/>
      <c r="AE138" s="2" t="s">
        <v>193</v>
      </c>
      <c r="AF138" s="2"/>
    </row>
    <row r="139" spans="1:32" x14ac:dyDescent="0.25">
      <c r="A139" s="8" t="s">
        <v>191</v>
      </c>
      <c r="B139" s="21"/>
      <c r="C139" s="225">
        <v>180</v>
      </c>
      <c r="D139" s="2" t="s">
        <v>196</v>
      </c>
      <c r="E139" s="3" t="s">
        <v>192</v>
      </c>
      <c r="F139" s="3"/>
      <c r="G139" s="32"/>
      <c r="H139" s="26"/>
      <c r="I139" s="26" t="s">
        <v>54</v>
      </c>
      <c r="J139" s="92" t="s">
        <v>492</v>
      </c>
      <c r="K139" s="2" t="s">
        <v>303</v>
      </c>
      <c r="L139" s="2" t="s">
        <v>506</v>
      </c>
      <c r="M139" s="100" t="s">
        <v>197</v>
      </c>
      <c r="N139" s="2" t="s">
        <v>427</v>
      </c>
      <c r="O139" s="3" t="s">
        <v>427</v>
      </c>
      <c r="P139" s="31">
        <f>167/0.07</f>
        <v>2385.7142857142853</v>
      </c>
      <c r="Q139" s="3" t="s">
        <v>427</v>
      </c>
      <c r="R139" s="3" t="s">
        <v>427</v>
      </c>
      <c r="S139" s="3" t="s">
        <v>427</v>
      </c>
      <c r="T139" s="112" t="s">
        <v>427</v>
      </c>
      <c r="U139" s="78">
        <f>SUM(Table2[[#This Row],[A1toA3_GWP]:[C1toC4_GWP]])</f>
        <v>325.34730538922162</v>
      </c>
      <c r="V139" s="107">
        <f>51.5/0.07/Table2[[#This Row],[DENSITY]]*1000</f>
        <v>308.38323353293418</v>
      </c>
      <c r="W139" s="121">
        <f>(0.856+0.547+1.43)/0.07/Table2[[#This Row],[DENSITY]]*1000</f>
        <v>16.964071856287426</v>
      </c>
      <c r="X139" s="78"/>
      <c r="Y139" s="78"/>
      <c r="Z139" s="198"/>
      <c r="AA139" s="84">
        <f ca="1">IF(OR($E139="Ecoinvent",$E139="Betonsortenrechner",$E139="KBOB",$U139&lt;=0,Table2[[#This Row],[VALID_TO]]&lt;=TODAY()),0,1)</f>
        <v>0</v>
      </c>
      <c r="AB139" s="154">
        <f ca="1">IF(Table2[[#This Row],[VALID_TO]]&gt;=TODAY(), 1, 0)</f>
        <v>0</v>
      </c>
      <c r="AC139" s="213" cm="1">
        <f t="array" aca="1" ref="AC139" ca="1">IF($AA139&lt;&gt;0,
IF(AND(
                         U139&gt;=_xlfn.PERCENTILE.INC(_xlfn._xlws.FILTER($U$2:$U$197, ($M$2:$M$197=M139)*($AA$2:$AA$197=1)),0.1),
                         U139&lt;=_xlfn.PERCENTILE.INC(_xlfn._xlws.FILTER($U$2:$U$197, ($M$2:$M$197=M139)*($AA$2:$AA$197=1)),0.9)
               ),1,0),
0)</f>
        <v>0</v>
      </c>
      <c r="AD139" s="131"/>
      <c r="AE139" s="2" t="s">
        <v>194</v>
      </c>
      <c r="AF139" s="2"/>
    </row>
    <row r="140" spans="1:32" x14ac:dyDescent="0.25">
      <c r="A140" s="8" t="s">
        <v>188</v>
      </c>
      <c r="B140" s="21"/>
      <c r="C140" s="222">
        <v>177</v>
      </c>
      <c r="D140" s="2" t="s">
        <v>179</v>
      </c>
      <c r="E140" s="3" t="s">
        <v>176</v>
      </c>
      <c r="F140" s="3"/>
      <c r="G140" s="32">
        <v>44826</v>
      </c>
      <c r="H140" s="32">
        <v>46651</v>
      </c>
      <c r="I140" s="26" t="s">
        <v>178</v>
      </c>
      <c r="J140" s="92" t="s">
        <v>164</v>
      </c>
      <c r="K140" s="2" t="s">
        <v>303</v>
      </c>
      <c r="L140" s="2" t="s">
        <v>326</v>
      </c>
      <c r="M140" s="100" t="s">
        <v>165</v>
      </c>
      <c r="N140" s="2" t="s">
        <v>427</v>
      </c>
      <c r="O140" s="26" t="s">
        <v>570</v>
      </c>
      <c r="P140" s="26" t="s">
        <v>427</v>
      </c>
      <c r="Q140" s="3" t="s">
        <v>427</v>
      </c>
      <c r="R140" s="3" t="s">
        <v>427</v>
      </c>
      <c r="S140" s="3" t="s">
        <v>427</v>
      </c>
      <c r="T140" s="112" t="s">
        <v>427</v>
      </c>
      <c r="U140" s="78">
        <f>SUM(Table2[[#This Row],[A1toA3_GWP]:[C1toC4_GWP]])</f>
        <v>587.99519999999995</v>
      </c>
      <c r="V140" s="79">
        <v>584</v>
      </c>
      <c r="W140" s="121">
        <f>3.59+0.0792+0.326</f>
        <v>3.9952000000000001</v>
      </c>
      <c r="X140" s="78"/>
      <c r="Y140" s="78"/>
      <c r="Z140" s="198"/>
      <c r="AA140" s="84">
        <f ca="1">IF(OR($E140="Ecoinvent",$E140="Betonsortenrechner",$E140="KBOB",$U140&lt;=0,Table2[[#This Row],[VALID_TO]]&lt;=TODAY()),0,1)</f>
        <v>1</v>
      </c>
      <c r="AB140" s="154">
        <f ca="1">IF(Table2[[#This Row],[VALID_TO]]&gt;=TODAY(), 1, 0)</f>
        <v>1</v>
      </c>
      <c r="AC140" s="213" cm="1">
        <f t="array" aca="1" ref="AC140" ca="1">IF($AA140&lt;&gt;0,
IF(AND(
                         U140&gt;=_xlfn.PERCENTILE.INC(_xlfn._xlws.FILTER($U$2:$U$197, ($M$2:$M$197=M140)*($AA$2:$AA$197=1)),0.1),
                         U140&lt;=_xlfn.PERCENTILE.INC(_xlfn._xlws.FILTER($U$2:$U$197, ($M$2:$M$197=M140)*($AA$2:$AA$197=1)),0.9)
               ),1,0),
0)</f>
        <v>1</v>
      </c>
      <c r="AD140" s="131"/>
      <c r="AE140" s="2"/>
      <c r="AF140" s="2"/>
    </row>
    <row r="141" spans="1:32" x14ac:dyDescent="0.25">
      <c r="A141" s="8" t="s">
        <v>189</v>
      </c>
      <c r="B141" s="21"/>
      <c r="C141" s="225">
        <v>178</v>
      </c>
      <c r="D141" s="2" t="s">
        <v>177</v>
      </c>
      <c r="E141" s="3" t="s">
        <v>176</v>
      </c>
      <c r="F141" s="3"/>
      <c r="G141" s="32">
        <v>44826</v>
      </c>
      <c r="H141" s="32">
        <v>46651</v>
      </c>
      <c r="I141" s="26" t="s">
        <v>178</v>
      </c>
      <c r="J141" s="92" t="s">
        <v>164</v>
      </c>
      <c r="K141" s="2" t="s">
        <v>303</v>
      </c>
      <c r="L141" s="2" t="s">
        <v>326</v>
      </c>
      <c r="M141" s="100" t="s">
        <v>165</v>
      </c>
      <c r="N141" s="2" t="s">
        <v>427</v>
      </c>
      <c r="O141" s="26" t="s">
        <v>570</v>
      </c>
      <c r="P141" s="26" t="s">
        <v>427</v>
      </c>
      <c r="Q141" s="3" t="s">
        <v>427</v>
      </c>
      <c r="R141" s="3" t="s">
        <v>427</v>
      </c>
      <c r="S141" s="3" t="s">
        <v>427</v>
      </c>
      <c r="T141" s="112" t="s">
        <v>427</v>
      </c>
      <c r="U141" s="78">
        <f>SUM(Table2[[#This Row],[A1toA3_GWP]:[C1toC4_GWP]])</f>
        <v>388.99520000000001</v>
      </c>
      <c r="V141" s="79">
        <v>385</v>
      </c>
      <c r="W141" s="121">
        <f>3.59+0.0792+0.326</f>
        <v>3.9952000000000001</v>
      </c>
      <c r="X141" s="78"/>
      <c r="Y141" s="78"/>
      <c r="Z141" s="198"/>
      <c r="AA141" s="84">
        <f ca="1">IF(OR($E141="Ecoinvent",$E141="Betonsortenrechner",$E141="KBOB",$U141&lt;=0,Table2[[#This Row],[VALID_TO]]&lt;=TODAY()),0,1)</f>
        <v>1</v>
      </c>
      <c r="AB141" s="154">
        <f ca="1">IF(Table2[[#This Row],[VALID_TO]]&gt;=TODAY(), 1, 0)</f>
        <v>1</v>
      </c>
      <c r="AC141" s="213" cm="1">
        <f t="array" aca="1" ref="AC141" ca="1">IF($AA141&lt;&gt;0,
IF(AND(
                         U141&gt;=_xlfn.PERCENTILE.INC(_xlfn._xlws.FILTER($U$2:$U$197, ($M$2:$M$197=M141)*($AA$2:$AA$197=1)),0.1),
                         U141&lt;=_xlfn.PERCENTILE.INC(_xlfn._xlws.FILTER($U$2:$U$197, ($M$2:$M$197=M141)*($AA$2:$AA$197=1)),0.9)
               ),1,0),
0)</f>
        <v>0</v>
      </c>
      <c r="AD141" s="131"/>
      <c r="AE141" s="2"/>
      <c r="AF141" s="2"/>
    </row>
    <row r="142" spans="1:32" x14ac:dyDescent="0.25">
      <c r="A142" s="8" t="s">
        <v>371</v>
      </c>
      <c r="B142" s="21" t="s">
        <v>517</v>
      </c>
      <c r="C142" s="225">
        <v>128</v>
      </c>
      <c r="D142" s="2" t="s">
        <v>131</v>
      </c>
      <c r="E142" s="3" t="s">
        <v>132</v>
      </c>
      <c r="F142" s="3"/>
      <c r="G142" s="32">
        <v>43398</v>
      </c>
      <c r="H142" s="32">
        <v>45223</v>
      </c>
      <c r="I142" s="26" t="s">
        <v>54</v>
      </c>
      <c r="J142" s="92" t="s">
        <v>135</v>
      </c>
      <c r="K142" s="6" t="s">
        <v>334</v>
      </c>
      <c r="L142" s="2" t="s">
        <v>326</v>
      </c>
      <c r="M142" s="100" t="s">
        <v>328</v>
      </c>
      <c r="N142" s="2" t="s">
        <v>427</v>
      </c>
      <c r="O142" s="26" t="s">
        <v>560</v>
      </c>
      <c r="P142" s="26">
        <v>7850</v>
      </c>
      <c r="Q142" s="3" t="s">
        <v>427</v>
      </c>
      <c r="R142" s="3" t="s">
        <v>427</v>
      </c>
      <c r="S142" s="3" t="s">
        <v>427</v>
      </c>
      <c r="T142" s="112" t="s">
        <v>427</v>
      </c>
      <c r="U142" s="78">
        <f>SUM(Table2[[#This Row],[A1toA3_GWP]:[C1toC4_GWP]])</f>
        <v>1131.8399999999999</v>
      </c>
      <c r="V142" s="79">
        <v>1130</v>
      </c>
      <c r="W142" s="121">
        <v>1.84</v>
      </c>
      <c r="X142" s="78"/>
      <c r="Y142" s="78"/>
      <c r="Z142" s="198"/>
      <c r="AA142" s="84">
        <f ca="1">IF(OR($E142="Ecoinvent",$E142="Betonsortenrechner",$E142="KBOB",$U142&lt;=0,Table2[[#This Row],[VALID_TO]]&lt;=TODAY()),0,1)</f>
        <v>0</v>
      </c>
      <c r="AB142" s="154">
        <f ca="1">IF(Table2[[#This Row],[VALID_TO]]&gt;=TODAY(), 1, 0)</f>
        <v>0</v>
      </c>
      <c r="AC142" s="213" cm="1">
        <f t="array" aca="1" ref="AC142" ca="1">IF($AA142&lt;&gt;0,
IF(AND(
                         U142&gt;=_xlfn.PERCENTILE.INC(_xlfn._xlws.FILTER($U$2:$U$197, ($M$2:$M$197=M142)*($AA$2:$AA$197=1)),0.1),
                         U142&lt;=_xlfn.PERCENTILE.INC(_xlfn._xlws.FILTER($U$2:$U$197, ($M$2:$M$197=M142)*($AA$2:$AA$197=1)),0.9)
               ),1,0),
0)</f>
        <v>0</v>
      </c>
      <c r="AD142" s="131"/>
      <c r="AE142" s="142"/>
      <c r="AF142" s="142"/>
    </row>
    <row r="143" spans="1:32" x14ac:dyDescent="0.25">
      <c r="A143" s="8" t="s">
        <v>373</v>
      </c>
      <c r="B143" s="21" t="s">
        <v>517</v>
      </c>
      <c r="C143" s="222">
        <v>133</v>
      </c>
      <c r="D143" s="2" t="s">
        <v>136</v>
      </c>
      <c r="E143" s="3" t="s">
        <v>137</v>
      </c>
      <c r="F143" s="3"/>
      <c r="G143" s="32">
        <v>45362</v>
      </c>
      <c r="H143" s="32">
        <v>47190</v>
      </c>
      <c r="I143" s="26" t="s">
        <v>54</v>
      </c>
      <c r="J143" s="92" t="s">
        <v>142</v>
      </c>
      <c r="K143" s="6" t="s">
        <v>334</v>
      </c>
      <c r="L143" s="2" t="s">
        <v>326</v>
      </c>
      <c r="M143" s="100" t="s">
        <v>328</v>
      </c>
      <c r="N143" s="2" t="s">
        <v>427</v>
      </c>
      <c r="O143" s="26" t="s">
        <v>560</v>
      </c>
      <c r="P143" s="26">
        <v>7850</v>
      </c>
      <c r="Q143" s="3" t="s">
        <v>427</v>
      </c>
      <c r="R143" s="3" t="s">
        <v>427</v>
      </c>
      <c r="S143" s="3" t="s">
        <v>427</v>
      </c>
      <c r="T143" s="112" t="s">
        <v>427</v>
      </c>
      <c r="U143" s="78">
        <f>SUM(Table2[[#This Row],[A1toA3_GWP]:[C1toC4_GWP]])</f>
        <v>352.01</v>
      </c>
      <c r="V143" s="79">
        <v>335</v>
      </c>
      <c r="W143" s="121">
        <f>2.51+14.5</f>
        <v>17.009999999999998</v>
      </c>
      <c r="X143" s="78"/>
      <c r="Y143" s="78"/>
      <c r="Z143" s="198"/>
      <c r="AA143" s="84">
        <f ca="1">IF(OR($E143="Ecoinvent",$E143="Betonsortenrechner",$E143="KBOB",$U143&lt;=0,Table2[[#This Row],[VALID_TO]]&lt;=TODAY()),0,1)</f>
        <v>1</v>
      </c>
      <c r="AB143" s="154">
        <f ca="1">IF(Table2[[#This Row],[VALID_TO]]&gt;=TODAY(), 1, 0)</f>
        <v>1</v>
      </c>
      <c r="AC143" s="213" cm="1">
        <f t="array" aca="1" ref="AC143" ca="1">IF($AA143&lt;&gt;0,
IF(AND(
                         U143&gt;=_xlfn.PERCENTILE.INC(_xlfn._xlws.FILTER($U$2:$U$197, ($M$2:$M$197=M143)*($AA$2:$AA$197=1)),0.1),
                         U143&lt;=_xlfn.PERCENTILE.INC(_xlfn._xlws.FILTER($U$2:$U$197, ($M$2:$M$197=M143)*($AA$2:$AA$197=1)),0.9)
               ),1,0),
0)</f>
        <v>1</v>
      </c>
      <c r="AD143" s="131"/>
      <c r="AE143" s="142"/>
      <c r="AF143" s="142"/>
    </row>
    <row r="144" spans="1:32" x14ac:dyDescent="0.25">
      <c r="A144" s="8" t="s">
        <v>375</v>
      </c>
      <c r="B144" s="21" t="s">
        <v>517</v>
      </c>
      <c r="C144" s="222">
        <v>137</v>
      </c>
      <c r="D144" s="2" t="s">
        <v>143</v>
      </c>
      <c r="E144" s="3" t="s">
        <v>144</v>
      </c>
      <c r="F144" s="3"/>
      <c r="G144" s="32">
        <v>45205</v>
      </c>
      <c r="H144" s="32">
        <v>47031</v>
      </c>
      <c r="I144" s="26" t="s">
        <v>54</v>
      </c>
      <c r="J144" s="92" t="s">
        <v>135</v>
      </c>
      <c r="K144" s="6" t="s">
        <v>334</v>
      </c>
      <c r="L144" s="2" t="s">
        <v>326</v>
      </c>
      <c r="M144" s="100" t="s">
        <v>328</v>
      </c>
      <c r="N144" s="2" t="s">
        <v>427</v>
      </c>
      <c r="O144" s="26" t="s">
        <v>560</v>
      </c>
      <c r="P144" s="26">
        <v>7850</v>
      </c>
      <c r="Q144" s="3" t="s">
        <v>427</v>
      </c>
      <c r="R144" s="3" t="s">
        <v>427</v>
      </c>
      <c r="S144" s="3" t="s">
        <v>427</v>
      </c>
      <c r="T144" s="112" t="s">
        <v>427</v>
      </c>
      <c r="U144" s="78">
        <f>SUM(Table2[[#This Row],[A1toA3_GWP]:[C1toC4_GWP]])</f>
        <v>564.70000000000005</v>
      </c>
      <c r="V144" s="79">
        <v>560</v>
      </c>
      <c r="W144" s="121">
        <f>2.19+2.51</f>
        <v>4.6999999999999993</v>
      </c>
      <c r="X144" s="78"/>
      <c r="Y144" s="78"/>
      <c r="Z144" s="198"/>
      <c r="AA144" s="84">
        <f ca="1">IF(OR($E144="Ecoinvent",$E144="Betonsortenrechner",$E144="KBOB",$U144&lt;=0,Table2[[#This Row],[VALID_TO]]&lt;=TODAY()),0,1)</f>
        <v>1</v>
      </c>
      <c r="AB144" s="154">
        <f ca="1">IF(Table2[[#This Row],[VALID_TO]]&gt;=TODAY(), 1, 0)</f>
        <v>1</v>
      </c>
      <c r="AC144" s="213" cm="1">
        <f t="array" aca="1" ref="AC144" ca="1">IF($AA144&lt;&gt;0,
IF(AND(
                         U144&gt;=_xlfn.PERCENTILE.INC(_xlfn._xlws.FILTER($U$2:$U$197, ($M$2:$M$197=M144)*($AA$2:$AA$197=1)),0.1),
                         U144&lt;=_xlfn.PERCENTILE.INC(_xlfn._xlws.FILTER($U$2:$U$197, ($M$2:$M$197=M144)*($AA$2:$AA$197=1)),0.9)
               ),1,0),
0)</f>
        <v>1</v>
      </c>
      <c r="AD144" s="131"/>
      <c r="AE144" s="142"/>
      <c r="AF144" s="142"/>
    </row>
    <row r="145" spans="1:32" x14ac:dyDescent="0.25">
      <c r="A145" s="8" t="s">
        <v>376</v>
      </c>
      <c r="B145" s="21" t="s">
        <v>517</v>
      </c>
      <c r="C145" s="222">
        <v>141</v>
      </c>
      <c r="D145" s="2" t="s">
        <v>146</v>
      </c>
      <c r="E145" s="3" t="s">
        <v>145</v>
      </c>
      <c r="F145" s="3"/>
      <c r="G145" s="32">
        <v>43455</v>
      </c>
      <c r="H145" s="32">
        <v>45280</v>
      </c>
      <c r="I145" s="26" t="s">
        <v>54</v>
      </c>
      <c r="J145" s="92" t="s">
        <v>147</v>
      </c>
      <c r="K145" s="6" t="s">
        <v>334</v>
      </c>
      <c r="L145" s="2" t="s">
        <v>326</v>
      </c>
      <c r="M145" s="100" t="s">
        <v>328</v>
      </c>
      <c r="N145" s="2" t="s">
        <v>427</v>
      </c>
      <c r="O145" s="26" t="s">
        <v>560</v>
      </c>
      <c r="P145" s="26">
        <v>7850</v>
      </c>
      <c r="Q145" s="3" t="s">
        <v>427</v>
      </c>
      <c r="R145" s="3" t="s">
        <v>427</v>
      </c>
      <c r="S145" s="3" t="s">
        <v>427</v>
      </c>
      <c r="T145" s="112" t="s">
        <v>427</v>
      </c>
      <c r="U145" s="78">
        <f>SUM(Table2[[#This Row],[A1toA3_GWP]:[C1toC4_GWP]])</f>
        <v>1322.21</v>
      </c>
      <c r="V145" s="79">
        <v>1320</v>
      </c>
      <c r="W145" s="121">
        <v>2.21</v>
      </c>
      <c r="X145" s="78"/>
      <c r="Y145" s="78"/>
      <c r="Z145" s="198"/>
      <c r="AA145" s="84">
        <f ca="1">IF(OR($E145="Ecoinvent",$E145="Betonsortenrechner",$E145="KBOB",$U145&lt;=0,Table2[[#This Row],[VALID_TO]]&lt;=TODAY()),0,1)</f>
        <v>0</v>
      </c>
      <c r="AB145" s="154">
        <f ca="1">IF(Table2[[#This Row],[VALID_TO]]&gt;=TODAY(), 1, 0)</f>
        <v>0</v>
      </c>
      <c r="AC145" s="213" cm="1">
        <f t="array" aca="1" ref="AC145" ca="1">IF($AA145&lt;&gt;0,
IF(AND(
                         U145&gt;=_xlfn.PERCENTILE.INC(_xlfn._xlws.FILTER($U$2:$U$197, ($M$2:$M$197=M145)*($AA$2:$AA$197=1)),0.1),
                         U145&lt;=_xlfn.PERCENTILE.INC(_xlfn._xlws.FILTER($U$2:$U$197, ($M$2:$M$197=M145)*($AA$2:$AA$197=1)),0.9)
               ),1,0),
0)</f>
        <v>0</v>
      </c>
      <c r="AD145" s="131"/>
      <c r="AE145" s="142"/>
      <c r="AF145" s="142"/>
    </row>
    <row r="146" spans="1:32" x14ac:dyDescent="0.25">
      <c r="A146" s="177" t="s">
        <v>441</v>
      </c>
      <c r="B146" s="160" t="s">
        <v>517</v>
      </c>
      <c r="C146" s="222">
        <v>145</v>
      </c>
      <c r="D146" s="2" t="s">
        <v>444</v>
      </c>
      <c r="E146" s="3" t="s">
        <v>442</v>
      </c>
      <c r="F146" s="3"/>
      <c r="G146" s="32">
        <v>44498</v>
      </c>
      <c r="H146" s="32">
        <v>46323</v>
      </c>
      <c r="I146" s="26" t="s">
        <v>247</v>
      </c>
      <c r="J146" s="92" t="s">
        <v>135</v>
      </c>
      <c r="K146" s="6" t="s">
        <v>334</v>
      </c>
      <c r="L146" s="2" t="s">
        <v>443</v>
      </c>
      <c r="M146" s="100" t="s">
        <v>328</v>
      </c>
      <c r="N146" s="2" t="s">
        <v>427</v>
      </c>
      <c r="O146" s="26" t="s">
        <v>560</v>
      </c>
      <c r="P146" s="26">
        <v>7850</v>
      </c>
      <c r="Q146" s="3" t="s">
        <v>427</v>
      </c>
      <c r="R146" s="3" t="s">
        <v>427</v>
      </c>
      <c r="S146" s="3" t="s">
        <v>427</v>
      </c>
      <c r="T146" s="112" t="s">
        <v>427</v>
      </c>
      <c r="U146" s="78">
        <f>SUM(Table2[[#This Row],[A1toA3_GWP]:[C1toC4_GWP]])</f>
        <v>996.27</v>
      </c>
      <c r="V146" s="79">
        <f>0.964*1000</f>
        <v>964</v>
      </c>
      <c r="W146" s="121">
        <f>(0.003+0.00827+0.021)*1000</f>
        <v>32.270000000000003</v>
      </c>
      <c r="X146" s="78"/>
      <c r="Y146" s="78"/>
      <c r="Z146" s="198"/>
      <c r="AA146" s="84">
        <f ca="1">IF(OR($E146="Ecoinvent",$E146="Betonsortenrechner",$E146="KBOB",$U146&lt;=0,Table2[[#This Row],[VALID_TO]]&lt;=TODAY()),0,1)</f>
        <v>1</v>
      </c>
      <c r="AB146" s="154">
        <f ca="1">IF(Table2[[#This Row],[VALID_TO]]&gt;=TODAY(), 1, 0)</f>
        <v>1</v>
      </c>
      <c r="AC146" s="213" cm="1">
        <f t="array" aca="1" ref="AC146" ca="1">IF($AA146&lt;&gt;0,
IF(AND(
                         U146&gt;=_xlfn.PERCENTILE.INC(_xlfn._xlws.FILTER($U$2:$U$197, ($M$2:$M$197=M146)*($AA$2:$AA$197=1)),0.1),
                         U146&lt;=_xlfn.PERCENTILE.INC(_xlfn._xlws.FILTER($U$2:$U$197, ($M$2:$M$197=M146)*($AA$2:$AA$197=1)),0.9)
               ),1,0),
0)</f>
        <v>1</v>
      </c>
      <c r="AD146" s="131"/>
      <c r="AE146" s="2" t="s">
        <v>567</v>
      </c>
      <c r="AF146" s="2"/>
    </row>
    <row r="147" spans="1:32" x14ac:dyDescent="0.25">
      <c r="A147" s="177" t="s">
        <v>445</v>
      </c>
      <c r="B147" s="21" t="s">
        <v>517</v>
      </c>
      <c r="C147" s="222">
        <v>147</v>
      </c>
      <c r="D147" s="2" t="s">
        <v>143</v>
      </c>
      <c r="E147" s="3" t="s">
        <v>132</v>
      </c>
      <c r="F147" s="3"/>
      <c r="G147" s="32">
        <v>45205</v>
      </c>
      <c r="H147" s="32">
        <v>47031</v>
      </c>
      <c r="I147" s="26" t="s">
        <v>54</v>
      </c>
      <c r="J147" s="92" t="s">
        <v>135</v>
      </c>
      <c r="K147" s="6" t="s">
        <v>334</v>
      </c>
      <c r="L147" s="2" t="s">
        <v>443</v>
      </c>
      <c r="M147" s="100" t="s">
        <v>328</v>
      </c>
      <c r="N147" s="2" t="s">
        <v>427</v>
      </c>
      <c r="O147" s="26" t="s">
        <v>560</v>
      </c>
      <c r="P147" s="26">
        <v>7850</v>
      </c>
      <c r="Q147" s="3" t="s">
        <v>427</v>
      </c>
      <c r="R147" s="3" t="s">
        <v>427</v>
      </c>
      <c r="S147" s="3" t="s">
        <v>427</v>
      </c>
      <c r="T147" s="112" t="s">
        <v>427</v>
      </c>
      <c r="U147" s="78">
        <f>SUM(Table2[[#This Row],[A1toA3_GWP]:[C1toC4_GWP]])</f>
        <v>560</v>
      </c>
      <c r="V147" s="79">
        <v>560</v>
      </c>
      <c r="W147" s="121">
        <v>0</v>
      </c>
      <c r="X147" s="78"/>
      <c r="Y147" s="78"/>
      <c r="Z147" s="198"/>
      <c r="AA147" s="84">
        <f ca="1">IF(OR($E147="Ecoinvent",$E147="Betonsortenrechner",$E147="KBOB",$U147&lt;=0,Table2[[#This Row],[VALID_TO]]&lt;=TODAY()),0,1)</f>
        <v>1</v>
      </c>
      <c r="AB147" s="154">
        <f ca="1">IF(Table2[[#This Row],[VALID_TO]]&gt;=TODAY(), 1, 0)</f>
        <v>1</v>
      </c>
      <c r="AC147" s="213" cm="1">
        <f t="array" aca="1" ref="AC147" ca="1">IF($AA147&lt;&gt;0,
IF(AND(
                         U147&gt;=_xlfn.PERCENTILE.INC(_xlfn._xlws.FILTER($U$2:$U$197, ($M$2:$M$197=M147)*($AA$2:$AA$197=1)),0.1),
                         U147&lt;=_xlfn.PERCENTILE.INC(_xlfn._xlws.FILTER($U$2:$U$197, ($M$2:$M$197=M147)*($AA$2:$AA$197=1)),0.9)
               ),1,0),
0)</f>
        <v>1</v>
      </c>
      <c r="AD147" s="131"/>
      <c r="AE147" s="142"/>
      <c r="AF147" s="142"/>
    </row>
    <row r="148" spans="1:32" x14ac:dyDescent="0.25">
      <c r="A148" s="177" t="s">
        <v>448</v>
      </c>
      <c r="B148" s="21" t="s">
        <v>517</v>
      </c>
      <c r="C148" s="222">
        <v>151</v>
      </c>
      <c r="D148" s="2" t="s">
        <v>446</v>
      </c>
      <c r="E148" s="3" t="s">
        <v>447</v>
      </c>
      <c r="F148" s="3"/>
      <c r="G148" s="32">
        <v>43758</v>
      </c>
      <c r="H148" s="32">
        <v>45584</v>
      </c>
      <c r="I148" s="26" t="s">
        <v>56</v>
      </c>
      <c r="J148" s="92" t="s">
        <v>135</v>
      </c>
      <c r="K148" s="6" t="s">
        <v>334</v>
      </c>
      <c r="L148" s="2" t="s">
        <v>443</v>
      </c>
      <c r="M148" s="100" t="s">
        <v>328</v>
      </c>
      <c r="N148" s="2" t="s">
        <v>427</v>
      </c>
      <c r="O148" s="26" t="s">
        <v>560</v>
      </c>
      <c r="P148" s="26">
        <v>7850</v>
      </c>
      <c r="Q148" s="3" t="s">
        <v>427</v>
      </c>
      <c r="R148" s="3" t="s">
        <v>427</v>
      </c>
      <c r="S148" s="3" t="s">
        <v>427</v>
      </c>
      <c r="T148" s="112" t="s">
        <v>427</v>
      </c>
      <c r="U148" s="78">
        <f>SUM(Table2[[#This Row],[A1toA3_GWP]:[C1toC4_GWP]])</f>
        <v>780</v>
      </c>
      <c r="V148" s="79">
        <v>780</v>
      </c>
      <c r="W148" s="121" t="s">
        <v>303</v>
      </c>
      <c r="X148" s="78"/>
      <c r="Y148" s="78"/>
      <c r="Z148" s="198"/>
      <c r="AA148" s="84">
        <f ca="1">IF(OR($E148="Ecoinvent",$E148="Betonsortenrechner",$E148="KBOB",$U148&lt;=0,Table2[[#This Row],[VALID_TO]]&lt;=TODAY()),0,1)</f>
        <v>0</v>
      </c>
      <c r="AB148" s="154">
        <f ca="1">IF(Table2[[#This Row],[VALID_TO]]&gt;=TODAY(), 1, 0)</f>
        <v>0</v>
      </c>
      <c r="AC148" s="213" cm="1">
        <f t="array" aca="1" ref="AC148" ca="1">IF($AA148&lt;&gt;0,
IF(AND(
                         U148&gt;=_xlfn.PERCENTILE.INC(_xlfn._xlws.FILTER($U$2:$U$197, ($M$2:$M$197=M148)*($AA$2:$AA$197=1)),0.1),
                         U148&lt;=_xlfn.PERCENTILE.INC(_xlfn._xlws.FILTER($U$2:$U$197, ($M$2:$M$197=M148)*($AA$2:$AA$197=1)),0.9)
               ),1,0),
0)</f>
        <v>0</v>
      </c>
      <c r="AD148" s="131"/>
      <c r="AE148" s="2" t="s">
        <v>569</v>
      </c>
      <c r="AF148" s="2"/>
    </row>
    <row r="149" spans="1:32" x14ac:dyDescent="0.25">
      <c r="A149" s="177" t="s">
        <v>449</v>
      </c>
      <c r="B149" s="21" t="s">
        <v>517</v>
      </c>
      <c r="C149" s="225">
        <v>154</v>
      </c>
      <c r="D149" s="2" t="s">
        <v>451</v>
      </c>
      <c r="E149" s="3" t="s">
        <v>48</v>
      </c>
      <c r="F149" s="3"/>
      <c r="G149" s="32">
        <v>44627</v>
      </c>
      <c r="H149" s="32">
        <v>46404</v>
      </c>
      <c r="I149" s="26" t="s">
        <v>53</v>
      </c>
      <c r="J149" s="92" t="s">
        <v>135</v>
      </c>
      <c r="K149" s="6" t="s">
        <v>334</v>
      </c>
      <c r="L149" s="2" t="s">
        <v>443</v>
      </c>
      <c r="M149" s="100" t="s">
        <v>328</v>
      </c>
      <c r="N149" s="2" t="s">
        <v>427</v>
      </c>
      <c r="O149" s="26" t="s">
        <v>560</v>
      </c>
      <c r="P149" s="26">
        <v>7850</v>
      </c>
      <c r="Q149" s="3" t="s">
        <v>427</v>
      </c>
      <c r="R149" s="3" t="s">
        <v>427</v>
      </c>
      <c r="S149" s="3" t="s">
        <v>427</v>
      </c>
      <c r="T149" s="112" t="s">
        <v>427</v>
      </c>
      <c r="U149" s="78">
        <f>SUM(Table2[[#This Row],[A1toA3_GWP]:[C1toC4_GWP]])</f>
        <v>614.54</v>
      </c>
      <c r="V149" s="79">
        <f>215+18.9+301</f>
        <v>534.9</v>
      </c>
      <c r="W149" s="121">
        <f>51+26+2.64</f>
        <v>79.64</v>
      </c>
      <c r="X149" s="78"/>
      <c r="Y149" s="78"/>
      <c r="Z149" s="198"/>
      <c r="AA149" s="84">
        <f ca="1">IF(OR($E149="Ecoinvent",$E149="Betonsortenrechner",$E149="KBOB",$U149&lt;=0,Table2[[#This Row],[VALID_TO]]&lt;=TODAY()),0,1)</f>
        <v>1</v>
      </c>
      <c r="AB149" s="154">
        <f ca="1">IF(Table2[[#This Row],[VALID_TO]]&gt;=TODAY(), 1, 0)</f>
        <v>1</v>
      </c>
      <c r="AC149" s="213" cm="1">
        <f t="array" aca="1" ref="AC149" ca="1">IF($AA149&lt;&gt;0,
IF(AND(
                         U149&gt;=_xlfn.PERCENTILE.INC(_xlfn._xlws.FILTER($U$2:$U$197, ($M$2:$M$197=M149)*($AA$2:$AA$197=1)),0.1),
                         U149&lt;=_xlfn.PERCENTILE.INC(_xlfn._xlws.FILTER($U$2:$U$197, ($M$2:$M$197=M149)*($AA$2:$AA$197=1)),0.9)
               ),1,0),
0)</f>
        <v>1</v>
      </c>
      <c r="AD149" s="131"/>
      <c r="AE149" s="2" t="s">
        <v>569</v>
      </c>
      <c r="AF149" s="2"/>
    </row>
    <row r="150" spans="1:32" x14ac:dyDescent="0.25">
      <c r="A150" s="177" t="s">
        <v>454</v>
      </c>
      <c r="B150" s="21" t="s">
        <v>517</v>
      </c>
      <c r="C150" s="225">
        <v>158</v>
      </c>
      <c r="D150" s="2" t="s">
        <v>460</v>
      </c>
      <c r="E150" s="3" t="s">
        <v>459</v>
      </c>
      <c r="F150" s="3"/>
      <c r="G150" s="32">
        <v>45133</v>
      </c>
      <c r="H150" s="32">
        <v>46228</v>
      </c>
      <c r="I150" s="26" t="s">
        <v>458</v>
      </c>
      <c r="J150" s="92" t="s">
        <v>135</v>
      </c>
      <c r="K150" s="6" t="s">
        <v>334</v>
      </c>
      <c r="L150" s="2" t="s">
        <v>443</v>
      </c>
      <c r="M150" s="100" t="s">
        <v>328</v>
      </c>
      <c r="N150" s="2" t="s">
        <v>427</v>
      </c>
      <c r="O150" s="26" t="s">
        <v>560</v>
      </c>
      <c r="P150" s="26">
        <v>7850</v>
      </c>
      <c r="Q150" s="3" t="s">
        <v>427</v>
      </c>
      <c r="R150" s="3" t="s">
        <v>427</v>
      </c>
      <c r="S150" s="3" t="s">
        <v>427</v>
      </c>
      <c r="T150" s="112" t="s">
        <v>427</v>
      </c>
      <c r="U150" s="78">
        <f>SUM(Table2[[#This Row],[A1toA3_GWP]:[C1toC4_GWP]])</f>
        <v>1201.78</v>
      </c>
      <c r="V150" s="79">
        <v>1160</v>
      </c>
      <c r="W150" s="121">
        <f>40.6+1.18</f>
        <v>41.78</v>
      </c>
      <c r="X150" s="78"/>
      <c r="Y150" s="78"/>
      <c r="Z150" s="198"/>
      <c r="AA150" s="84">
        <f ca="1">IF(OR($E150="Ecoinvent",$E150="Betonsortenrechner",$E150="KBOB",$U150&lt;=0,Table2[[#This Row],[VALID_TO]]&lt;=TODAY()),0,1)</f>
        <v>1</v>
      </c>
      <c r="AB150" s="154">
        <f ca="1">IF(Table2[[#This Row],[VALID_TO]]&gt;=TODAY(), 1, 0)</f>
        <v>1</v>
      </c>
      <c r="AC150" s="213" cm="1">
        <f t="array" aca="1" ref="AC150" ca="1">IF($AA150&lt;&gt;0,
IF(AND(
                         U150&gt;=_xlfn.PERCENTILE.INC(_xlfn._xlws.FILTER($U$2:$U$197, ($M$2:$M$197=M150)*($AA$2:$AA$197=1)),0.1),
                         U150&lt;=_xlfn.PERCENTILE.INC(_xlfn._xlws.FILTER($U$2:$U$197, ($M$2:$M$197=M150)*($AA$2:$AA$197=1)),0.9)
               ),1,0),
0)</f>
        <v>0</v>
      </c>
      <c r="AD150" s="131"/>
      <c r="AE150" s="2"/>
      <c r="AF150" s="2"/>
    </row>
    <row r="151" spans="1:32" x14ac:dyDescent="0.25">
      <c r="A151" s="177" t="s">
        <v>455</v>
      </c>
      <c r="B151" s="160"/>
      <c r="C151" s="222">
        <v>161</v>
      </c>
      <c r="D151" s="2" t="s">
        <v>463</v>
      </c>
      <c r="E151" s="3" t="s">
        <v>461</v>
      </c>
      <c r="F151" s="3"/>
      <c r="G151" s="32">
        <v>45041</v>
      </c>
      <c r="H151" s="32">
        <v>46863</v>
      </c>
      <c r="I151" s="26" t="s">
        <v>462</v>
      </c>
      <c r="J151" s="92" t="s">
        <v>135</v>
      </c>
      <c r="K151" s="6" t="s">
        <v>334</v>
      </c>
      <c r="L151" s="2" t="s">
        <v>443</v>
      </c>
      <c r="M151" s="100" t="s">
        <v>328</v>
      </c>
      <c r="N151" s="2" t="s">
        <v>427</v>
      </c>
      <c r="O151" s="26" t="s">
        <v>560</v>
      </c>
      <c r="P151" s="26">
        <v>7850</v>
      </c>
      <c r="Q151" s="3" t="s">
        <v>427</v>
      </c>
      <c r="R151" s="3" t="s">
        <v>427</v>
      </c>
      <c r="S151" s="3" t="s">
        <v>427</v>
      </c>
      <c r="T151" s="112" t="s">
        <v>427</v>
      </c>
      <c r="U151" s="78">
        <f>SUM(Table2[[#This Row],[A1toA3_GWP]:[C1toC4_GWP]])</f>
        <v>293.67</v>
      </c>
      <c r="V151" s="79">
        <v>223</v>
      </c>
      <c r="W151" s="121">
        <f>61.9+8.32+0.45</f>
        <v>70.67</v>
      </c>
      <c r="X151" s="78"/>
      <c r="Y151" s="78"/>
      <c r="Z151" s="198"/>
      <c r="AA151" s="84">
        <f ca="1">IF(OR($E151="Ecoinvent",$E151="Betonsortenrechner",$E151="KBOB",$U151&lt;=0,Table2[[#This Row],[VALID_TO]]&lt;=TODAY()),0,1)</f>
        <v>1</v>
      </c>
      <c r="AB151" s="154">
        <f ca="1">IF(Table2[[#This Row],[VALID_TO]]&gt;=TODAY(), 1, 0)</f>
        <v>1</v>
      </c>
      <c r="AC151" s="213" cm="1">
        <f t="array" aca="1" ref="AC151" ca="1">IF($AA151&lt;&gt;0,
IF(AND(
                         U151&gt;=_xlfn.PERCENTILE.INC(_xlfn._xlws.FILTER($U$2:$U$197, ($M$2:$M$197=M151)*($AA$2:$AA$197=1)),0.1),
                         U151&lt;=_xlfn.PERCENTILE.INC(_xlfn._xlws.FILTER($U$2:$U$197, ($M$2:$M$197=M151)*($AA$2:$AA$197=1)),0.9)
               ),1,0),
0)</f>
        <v>0</v>
      </c>
      <c r="AD151" s="131"/>
      <c r="AE151" s="2" t="s">
        <v>566</v>
      </c>
      <c r="AF151" s="2"/>
    </row>
    <row r="152" spans="1:32" x14ac:dyDescent="0.25">
      <c r="A152" s="177" t="s">
        <v>457</v>
      </c>
      <c r="B152" s="21" t="s">
        <v>517</v>
      </c>
      <c r="C152" s="222">
        <v>163</v>
      </c>
      <c r="D152" s="2" t="s">
        <v>470</v>
      </c>
      <c r="E152" s="3" t="s">
        <v>471</v>
      </c>
      <c r="F152" s="3"/>
      <c r="G152" s="32">
        <v>44249</v>
      </c>
      <c r="H152" s="32">
        <v>46075</v>
      </c>
      <c r="I152" s="32" t="s">
        <v>302</v>
      </c>
      <c r="J152" s="92" t="s">
        <v>135</v>
      </c>
      <c r="K152" s="6" t="s">
        <v>334</v>
      </c>
      <c r="L152" s="2" t="s">
        <v>443</v>
      </c>
      <c r="M152" s="100" t="s">
        <v>328</v>
      </c>
      <c r="N152" s="2" t="s">
        <v>427</v>
      </c>
      <c r="O152" s="26" t="s">
        <v>560</v>
      </c>
      <c r="P152" s="26">
        <v>7850</v>
      </c>
      <c r="Q152" s="3" t="s">
        <v>427</v>
      </c>
      <c r="R152" s="3" t="s">
        <v>427</v>
      </c>
      <c r="S152" s="3" t="s">
        <v>427</v>
      </c>
      <c r="T152" s="112" t="s">
        <v>427</v>
      </c>
      <c r="U152" s="78">
        <f>SUM(Table2[[#This Row],[A1toA3_GWP]:[C1toC4_GWP]])</f>
        <v>1380.1</v>
      </c>
      <c r="V152" s="79">
        <v>1290</v>
      </c>
      <c r="W152" s="121">
        <f>21.5+68.6</f>
        <v>90.1</v>
      </c>
      <c r="X152" s="78"/>
      <c r="Y152" s="78"/>
      <c r="Z152" s="198"/>
      <c r="AA152" s="84">
        <f ca="1">IF(OR($E152="Ecoinvent",$E152="Betonsortenrechner",$E152="KBOB",$U152&lt;=0,Table2[[#This Row],[VALID_TO]]&lt;=TODAY()),0,1)</f>
        <v>0</v>
      </c>
      <c r="AB152" s="154">
        <f ca="1">IF(Table2[[#This Row],[VALID_TO]]&gt;=TODAY(), 1, 0)</f>
        <v>0</v>
      </c>
      <c r="AC152" s="213" cm="1">
        <f t="array" aca="1" ref="AC152" ca="1">IF($AA152&lt;&gt;0,
IF(AND(
                         U152&gt;=_xlfn.PERCENTILE.INC(_xlfn._xlws.FILTER($U$2:$U$197, ($M$2:$M$197=M152)*($AA$2:$AA$197=1)),0.1),
                         U152&lt;=_xlfn.PERCENTILE.INC(_xlfn._xlws.FILTER($U$2:$U$197, ($M$2:$M$197=M152)*($AA$2:$AA$197=1)),0.9)
               ),1,0),
0)</f>
        <v>0</v>
      </c>
      <c r="AD152" s="187"/>
      <c r="AE152" s="179"/>
      <c r="AF152" s="2"/>
    </row>
    <row r="153" spans="1:32" x14ac:dyDescent="0.25">
      <c r="A153" s="177" t="s">
        <v>474</v>
      </c>
      <c r="B153" s="21" t="s">
        <v>517</v>
      </c>
      <c r="C153" s="222">
        <v>165</v>
      </c>
      <c r="D153" s="2" t="s">
        <v>472</v>
      </c>
      <c r="E153" s="3" t="s">
        <v>473</v>
      </c>
      <c r="F153" s="3"/>
      <c r="G153" s="32">
        <v>45239</v>
      </c>
      <c r="H153" s="32">
        <v>47066</v>
      </c>
      <c r="I153" s="26" t="s">
        <v>56</v>
      </c>
      <c r="J153" s="92" t="s">
        <v>135</v>
      </c>
      <c r="K153" s="6" t="s">
        <v>334</v>
      </c>
      <c r="L153" s="2" t="s">
        <v>443</v>
      </c>
      <c r="M153" s="100" t="s">
        <v>328</v>
      </c>
      <c r="N153" s="2" t="s">
        <v>427</v>
      </c>
      <c r="O153" s="26" t="s">
        <v>560</v>
      </c>
      <c r="P153" s="26">
        <v>7850</v>
      </c>
      <c r="Q153" s="3" t="s">
        <v>427</v>
      </c>
      <c r="R153" s="3" t="s">
        <v>427</v>
      </c>
      <c r="S153" s="3" t="s">
        <v>427</v>
      </c>
      <c r="T153" s="112" t="s">
        <v>427</v>
      </c>
      <c r="U153" s="78">
        <f>SUM(Table2[[#This Row],[A1toA3_GWP]:[C1toC4_GWP]])</f>
        <v>867.42</v>
      </c>
      <c r="V153" s="79">
        <v>854</v>
      </c>
      <c r="W153" s="121">
        <f>5.85+7.57</f>
        <v>13.42</v>
      </c>
      <c r="X153" s="78"/>
      <c r="Y153" s="78"/>
      <c r="Z153" s="198"/>
      <c r="AA153" s="84">
        <f ca="1">IF(OR($E153="Ecoinvent",$E153="Betonsortenrechner",$E153="KBOB",$U153&lt;=0,Table2[[#This Row],[VALID_TO]]&lt;=TODAY()),0,1)</f>
        <v>1</v>
      </c>
      <c r="AB153" s="154">
        <f ca="1">IF(Table2[[#This Row],[VALID_TO]]&gt;=TODAY(), 1, 0)</f>
        <v>1</v>
      </c>
      <c r="AC153" s="213" cm="1">
        <f t="array" aca="1" ref="AC153" ca="1">IF($AA153&lt;&gt;0,
IF(AND(
                         U153&gt;=_xlfn.PERCENTILE.INC(_xlfn._xlws.FILTER($U$2:$U$197, ($M$2:$M$197=M153)*($AA$2:$AA$197=1)),0.1),
                         U153&lt;=_xlfn.PERCENTILE.INC(_xlfn._xlws.FILTER($U$2:$U$197, ($M$2:$M$197=M153)*($AA$2:$AA$197=1)),0.9)
               ),1,0),
0)</f>
        <v>1</v>
      </c>
      <c r="AD153" s="131"/>
      <c r="AE153" s="2"/>
      <c r="AF153" s="2"/>
    </row>
    <row r="154" spans="1:32" x14ac:dyDescent="0.25">
      <c r="A154" s="177" t="s">
        <v>448</v>
      </c>
      <c r="B154" s="21" t="s">
        <v>538</v>
      </c>
      <c r="C154" s="225">
        <v>152</v>
      </c>
      <c r="D154" s="2" t="s">
        <v>446</v>
      </c>
      <c r="E154" s="3" t="s">
        <v>447</v>
      </c>
      <c r="F154" s="3"/>
      <c r="G154" s="32">
        <v>43758</v>
      </c>
      <c r="H154" s="32">
        <v>45584</v>
      </c>
      <c r="I154" s="26" t="s">
        <v>56</v>
      </c>
      <c r="J154" s="92" t="s">
        <v>135</v>
      </c>
      <c r="K154" s="6" t="s">
        <v>334</v>
      </c>
      <c r="L154" s="2" t="s">
        <v>443</v>
      </c>
      <c r="M154" s="100" t="s">
        <v>328</v>
      </c>
      <c r="N154" s="2" t="s">
        <v>427</v>
      </c>
      <c r="O154" s="26" t="s">
        <v>568</v>
      </c>
      <c r="P154" s="26">
        <v>7850</v>
      </c>
      <c r="Q154" s="3" t="s">
        <v>427</v>
      </c>
      <c r="R154" s="3" t="s">
        <v>427</v>
      </c>
      <c r="S154" s="3" t="s">
        <v>427</v>
      </c>
      <c r="T154" s="112" t="s">
        <v>427</v>
      </c>
      <c r="U154" s="78">
        <f>SUM(Table2[[#This Row],[A1toA3_GWP]:[C1toC4_GWP]])</f>
        <v>780</v>
      </c>
      <c r="V154" s="79">
        <v>780</v>
      </c>
      <c r="W154" s="121" t="s">
        <v>303</v>
      </c>
      <c r="X154" s="78"/>
      <c r="Y154" s="78"/>
      <c r="Z154" s="198"/>
      <c r="AA154" s="84">
        <f ca="1">IF(OR($E154="Ecoinvent",$E154="Betonsortenrechner",$E154="KBOB",$U154&lt;=0,Table2[[#This Row],[VALID_TO]]&lt;=TODAY()),0,1)</f>
        <v>0</v>
      </c>
      <c r="AB154" s="154">
        <f ca="1">IF(Table2[[#This Row],[VALID_TO]]&gt;=TODAY(), 1, 0)</f>
        <v>0</v>
      </c>
      <c r="AC154" s="213" cm="1">
        <f t="array" aca="1" ref="AC154" ca="1">IF($AA154&lt;&gt;0,
IF(AND(
                         U154&gt;=_xlfn.PERCENTILE.INC(_xlfn._xlws.FILTER($U$2:$U$197, ($M$2:$M$197=M154)*($AA$2:$AA$197=1)),0.1),
                         U154&lt;=_xlfn.PERCENTILE.INC(_xlfn._xlws.FILTER($U$2:$U$197, ($M$2:$M$197=M154)*($AA$2:$AA$197=1)),0.9)
               ),1,0),
0)</f>
        <v>0</v>
      </c>
      <c r="AD154" s="131"/>
      <c r="AE154" s="2" t="s">
        <v>569</v>
      </c>
      <c r="AF154" s="2"/>
    </row>
    <row r="155" spans="1:32" x14ac:dyDescent="0.25">
      <c r="A155" s="177" t="s">
        <v>449</v>
      </c>
      <c r="B155" s="21" t="s">
        <v>538</v>
      </c>
      <c r="C155" s="222">
        <v>155</v>
      </c>
      <c r="D155" s="2" t="s">
        <v>451</v>
      </c>
      <c r="E155" s="3" t="s">
        <v>48</v>
      </c>
      <c r="F155" s="3"/>
      <c r="G155" s="32">
        <v>44627</v>
      </c>
      <c r="H155" s="32">
        <v>46404</v>
      </c>
      <c r="I155" s="26" t="s">
        <v>53</v>
      </c>
      <c r="J155" s="92" t="s">
        <v>135</v>
      </c>
      <c r="K155" s="6" t="s">
        <v>334</v>
      </c>
      <c r="L155" s="2" t="s">
        <v>443</v>
      </c>
      <c r="M155" s="100" t="s">
        <v>328</v>
      </c>
      <c r="N155" s="2" t="s">
        <v>427</v>
      </c>
      <c r="O155" s="26" t="s">
        <v>568</v>
      </c>
      <c r="P155" s="26">
        <v>7850</v>
      </c>
      <c r="Q155" s="3" t="s">
        <v>427</v>
      </c>
      <c r="R155" s="3" t="s">
        <v>427</v>
      </c>
      <c r="S155" s="3" t="s">
        <v>427</v>
      </c>
      <c r="T155" s="112" t="s">
        <v>427</v>
      </c>
      <c r="U155" s="78">
        <f>SUM(Table2[[#This Row],[A1toA3_GWP]:[C1toC4_GWP]])</f>
        <v>614.54</v>
      </c>
      <c r="V155" s="79">
        <f>215+18.9+301</f>
        <v>534.9</v>
      </c>
      <c r="W155" s="121">
        <f>51+26+2.64</f>
        <v>79.64</v>
      </c>
      <c r="X155" s="78"/>
      <c r="Y155" s="78"/>
      <c r="Z155" s="198"/>
      <c r="AA155" s="84">
        <f ca="1">IF(OR($E155="Ecoinvent",$E155="Betonsortenrechner",$E155="KBOB",$U155&lt;=0,Table2[[#This Row],[VALID_TO]]&lt;=TODAY()),0,1)</f>
        <v>1</v>
      </c>
      <c r="AB155" s="154">
        <f ca="1">IF(Table2[[#This Row],[VALID_TO]]&gt;=TODAY(), 1, 0)</f>
        <v>1</v>
      </c>
      <c r="AC155" s="213" cm="1">
        <f t="array" aca="1" ref="AC155" ca="1">IF($AA155&lt;&gt;0,
IF(AND(
                         U155&gt;=_xlfn.PERCENTILE.INC(_xlfn._xlws.FILTER($U$2:$U$197, ($M$2:$M$197=M155)*($AA$2:$AA$197=1)),0.1),
                         U155&lt;=_xlfn.PERCENTILE.INC(_xlfn._xlws.FILTER($U$2:$U$197, ($M$2:$M$197=M155)*($AA$2:$AA$197=1)),0.9)
               ),1,0),
0)</f>
        <v>1</v>
      </c>
      <c r="AD155" s="131"/>
      <c r="AE155" s="2" t="s">
        <v>569</v>
      </c>
      <c r="AF155" s="2"/>
    </row>
    <row r="156" spans="1:32" x14ac:dyDescent="0.25">
      <c r="A156" s="8" t="s">
        <v>371</v>
      </c>
      <c r="B156" s="21" t="s">
        <v>538</v>
      </c>
      <c r="C156" s="222">
        <v>129</v>
      </c>
      <c r="D156" s="2" t="s">
        <v>131</v>
      </c>
      <c r="E156" s="3" t="s">
        <v>132</v>
      </c>
      <c r="F156" s="3"/>
      <c r="G156" s="32">
        <v>43398</v>
      </c>
      <c r="H156" s="32">
        <v>45223</v>
      </c>
      <c r="I156" s="26" t="s">
        <v>54</v>
      </c>
      <c r="J156" s="92" t="s">
        <v>135</v>
      </c>
      <c r="K156" s="6" t="s">
        <v>334</v>
      </c>
      <c r="L156" s="2" t="s">
        <v>326</v>
      </c>
      <c r="M156" s="100" t="s">
        <v>328</v>
      </c>
      <c r="N156" s="2" t="s">
        <v>427</v>
      </c>
      <c r="O156" s="26" t="s">
        <v>561</v>
      </c>
      <c r="P156" s="26">
        <v>7850</v>
      </c>
      <c r="Q156" s="3" t="s">
        <v>427</v>
      </c>
      <c r="R156" s="3" t="s">
        <v>427</v>
      </c>
      <c r="S156" s="3" t="s">
        <v>427</v>
      </c>
      <c r="T156" s="112" t="s">
        <v>427</v>
      </c>
      <c r="U156" s="78">
        <f>SUM(Table2[[#This Row],[A1toA3_GWP]:[C1toC4_GWP]])</f>
        <v>1131.8399999999999</v>
      </c>
      <c r="V156" s="79">
        <v>1130</v>
      </c>
      <c r="W156" s="121">
        <v>1.84</v>
      </c>
      <c r="X156" s="78"/>
      <c r="Y156" s="78"/>
      <c r="Z156" s="198"/>
      <c r="AA156" s="84">
        <f ca="1">IF(OR($E156="Ecoinvent",$E156="Betonsortenrechner",$E156="KBOB",$U156&lt;=0,Table2[[#This Row],[VALID_TO]]&lt;=TODAY()),0,1)</f>
        <v>0</v>
      </c>
      <c r="AB156" s="154">
        <f ca="1">IF(Table2[[#This Row],[VALID_TO]]&gt;=TODAY(), 1, 0)</f>
        <v>0</v>
      </c>
      <c r="AC156" s="213" cm="1">
        <f t="array" aca="1" ref="AC156" ca="1">IF($AA156&lt;&gt;0,
IF(AND(
                         U156&gt;=_xlfn.PERCENTILE.INC(_xlfn._xlws.FILTER($U$2:$U$197, ($M$2:$M$197=M156)*($AA$2:$AA$197=1)),0.1),
                         U156&lt;=_xlfn.PERCENTILE.INC(_xlfn._xlws.FILTER($U$2:$U$197, ($M$2:$M$197=M156)*($AA$2:$AA$197=1)),0.9)
               ),1,0),
0)</f>
        <v>0</v>
      </c>
      <c r="AD156" s="131"/>
      <c r="AE156" s="142"/>
      <c r="AF156" s="142"/>
    </row>
    <row r="157" spans="1:32" x14ac:dyDescent="0.25">
      <c r="A157" s="8" t="s">
        <v>373</v>
      </c>
      <c r="B157" s="21" t="s">
        <v>538</v>
      </c>
      <c r="C157" s="225">
        <v>134</v>
      </c>
      <c r="D157" s="2" t="s">
        <v>136</v>
      </c>
      <c r="E157" s="3" t="s">
        <v>137</v>
      </c>
      <c r="F157" s="3"/>
      <c r="G157" s="32">
        <v>45362</v>
      </c>
      <c r="H157" s="32">
        <v>47190</v>
      </c>
      <c r="I157" s="26" t="s">
        <v>54</v>
      </c>
      <c r="J157" s="92" t="s">
        <v>142</v>
      </c>
      <c r="K157" s="6" t="s">
        <v>334</v>
      </c>
      <c r="L157" s="2" t="s">
        <v>326</v>
      </c>
      <c r="M157" s="100" t="s">
        <v>328</v>
      </c>
      <c r="N157" s="2" t="s">
        <v>427</v>
      </c>
      <c r="O157" s="26" t="s">
        <v>561</v>
      </c>
      <c r="P157" s="26">
        <v>7850</v>
      </c>
      <c r="Q157" s="3" t="s">
        <v>427</v>
      </c>
      <c r="R157" s="3" t="s">
        <v>427</v>
      </c>
      <c r="S157" s="3" t="s">
        <v>427</v>
      </c>
      <c r="T157" s="112" t="s">
        <v>427</v>
      </c>
      <c r="U157" s="78">
        <f>SUM(Table2[[#This Row],[A1toA3_GWP]:[C1toC4_GWP]])</f>
        <v>352.01</v>
      </c>
      <c r="V157" s="79">
        <v>335</v>
      </c>
      <c r="W157" s="121">
        <f>2.51+14.5</f>
        <v>17.009999999999998</v>
      </c>
      <c r="X157" s="78"/>
      <c r="Y157" s="78"/>
      <c r="Z157" s="198"/>
      <c r="AA157" s="84">
        <f ca="1">IF(OR($E157="Ecoinvent",$E157="Betonsortenrechner",$E157="KBOB",$U157&lt;=0,Table2[[#This Row],[VALID_TO]]&lt;=TODAY()),0,1)</f>
        <v>1</v>
      </c>
      <c r="AB157" s="154">
        <f ca="1">IF(Table2[[#This Row],[VALID_TO]]&gt;=TODAY(), 1, 0)</f>
        <v>1</v>
      </c>
      <c r="AC157" s="213" cm="1">
        <f t="array" aca="1" ref="AC157" ca="1">IF($AA157&lt;&gt;0,
IF(AND(
                         U157&gt;=_xlfn.PERCENTILE.INC(_xlfn._xlws.FILTER($U$2:$U$197, ($M$2:$M$197=M157)*($AA$2:$AA$197=1)),0.1),
                         U157&lt;=_xlfn.PERCENTILE.INC(_xlfn._xlws.FILTER($U$2:$U$197, ($M$2:$M$197=M157)*($AA$2:$AA$197=1)),0.9)
               ),1,0),
0)</f>
        <v>1</v>
      </c>
      <c r="AD157" s="131"/>
      <c r="AE157" s="142"/>
      <c r="AF157" s="142"/>
    </row>
    <row r="158" spans="1:32" x14ac:dyDescent="0.25">
      <c r="A158" s="8" t="s">
        <v>375</v>
      </c>
      <c r="B158" s="21" t="s">
        <v>538</v>
      </c>
      <c r="C158" s="225">
        <v>138</v>
      </c>
      <c r="D158" s="2" t="s">
        <v>143</v>
      </c>
      <c r="E158" s="3" t="s">
        <v>144</v>
      </c>
      <c r="F158" s="3"/>
      <c r="G158" s="32">
        <v>45205</v>
      </c>
      <c r="H158" s="32">
        <v>47031</v>
      </c>
      <c r="I158" s="26" t="s">
        <v>54</v>
      </c>
      <c r="J158" s="92" t="s">
        <v>135</v>
      </c>
      <c r="K158" s="6" t="s">
        <v>334</v>
      </c>
      <c r="L158" s="2" t="s">
        <v>326</v>
      </c>
      <c r="M158" s="100" t="s">
        <v>328</v>
      </c>
      <c r="N158" s="2" t="s">
        <v>427</v>
      </c>
      <c r="O158" s="26" t="s">
        <v>561</v>
      </c>
      <c r="P158" s="26">
        <v>7850</v>
      </c>
      <c r="Q158" s="3" t="s">
        <v>427</v>
      </c>
      <c r="R158" s="3" t="s">
        <v>427</v>
      </c>
      <c r="S158" s="3" t="s">
        <v>427</v>
      </c>
      <c r="T158" s="112" t="s">
        <v>427</v>
      </c>
      <c r="U158" s="78">
        <f>SUM(Table2[[#This Row],[A1toA3_GWP]:[C1toC4_GWP]])</f>
        <v>564.70000000000005</v>
      </c>
      <c r="V158" s="79">
        <v>560</v>
      </c>
      <c r="W158" s="121">
        <f>2.19+2.51</f>
        <v>4.6999999999999993</v>
      </c>
      <c r="X158" s="78"/>
      <c r="Y158" s="78"/>
      <c r="Z158" s="198"/>
      <c r="AA158" s="84">
        <f ca="1">IF(OR($E158="Ecoinvent",$E158="Betonsortenrechner",$E158="KBOB",$U158&lt;=0,Table2[[#This Row],[VALID_TO]]&lt;=TODAY()),0,1)</f>
        <v>1</v>
      </c>
      <c r="AB158" s="154">
        <f ca="1">IF(Table2[[#This Row],[VALID_TO]]&gt;=TODAY(), 1, 0)</f>
        <v>1</v>
      </c>
      <c r="AC158" s="213" cm="1">
        <f t="array" aca="1" ref="AC158" ca="1">IF($AA158&lt;&gt;0,
IF(AND(
                         U158&gt;=_xlfn.PERCENTILE.INC(_xlfn._xlws.FILTER($U$2:$U$197, ($M$2:$M$197=M158)*($AA$2:$AA$197=1)),0.1),
                         U158&lt;=_xlfn.PERCENTILE.INC(_xlfn._xlws.FILTER($U$2:$U$197, ($M$2:$M$197=M158)*($AA$2:$AA$197=1)),0.9)
               ),1,0),
0)</f>
        <v>1</v>
      </c>
      <c r="AD158" s="131"/>
      <c r="AE158" s="142"/>
      <c r="AF158" s="142"/>
    </row>
    <row r="159" spans="1:32" x14ac:dyDescent="0.25">
      <c r="A159" s="8" t="s">
        <v>376</v>
      </c>
      <c r="B159" s="21" t="s">
        <v>538</v>
      </c>
      <c r="C159" s="225">
        <v>142</v>
      </c>
      <c r="D159" s="2" t="s">
        <v>146</v>
      </c>
      <c r="E159" s="3" t="s">
        <v>145</v>
      </c>
      <c r="F159" s="3"/>
      <c r="G159" s="32">
        <v>43455</v>
      </c>
      <c r="H159" s="32">
        <v>45280</v>
      </c>
      <c r="I159" s="26" t="s">
        <v>54</v>
      </c>
      <c r="J159" s="92" t="s">
        <v>147</v>
      </c>
      <c r="K159" s="6" t="s">
        <v>334</v>
      </c>
      <c r="L159" s="2" t="s">
        <v>326</v>
      </c>
      <c r="M159" s="100" t="s">
        <v>328</v>
      </c>
      <c r="N159" s="2" t="s">
        <v>427</v>
      </c>
      <c r="O159" s="26" t="s">
        <v>561</v>
      </c>
      <c r="P159" s="26">
        <v>7850</v>
      </c>
      <c r="Q159" s="3" t="s">
        <v>427</v>
      </c>
      <c r="R159" s="3" t="s">
        <v>427</v>
      </c>
      <c r="S159" s="3" t="s">
        <v>427</v>
      </c>
      <c r="T159" s="112" t="s">
        <v>427</v>
      </c>
      <c r="U159" s="78">
        <f>SUM(Table2[[#This Row],[A1toA3_GWP]:[C1toC4_GWP]])</f>
        <v>1322.21</v>
      </c>
      <c r="V159" s="79">
        <v>1320</v>
      </c>
      <c r="W159" s="121">
        <v>2.21</v>
      </c>
      <c r="X159" s="78"/>
      <c r="Y159" s="78"/>
      <c r="Z159" s="198"/>
      <c r="AA159" s="84">
        <f ca="1">IF(OR($E159="Ecoinvent",$E159="Betonsortenrechner",$E159="KBOB",$U159&lt;=0,Table2[[#This Row],[VALID_TO]]&lt;=TODAY()),0,1)</f>
        <v>0</v>
      </c>
      <c r="AB159" s="154">
        <f ca="1">IF(Table2[[#This Row],[VALID_TO]]&gt;=TODAY(), 1, 0)</f>
        <v>0</v>
      </c>
      <c r="AC159" s="213" cm="1">
        <f t="array" aca="1" ref="AC159" ca="1">IF($AA159&lt;&gt;0,
IF(AND(
                         U159&gt;=_xlfn.PERCENTILE.INC(_xlfn._xlws.FILTER($U$2:$U$197, ($M$2:$M$197=M159)*($AA$2:$AA$197=1)),0.1),
                         U159&lt;=_xlfn.PERCENTILE.INC(_xlfn._xlws.FILTER($U$2:$U$197, ($M$2:$M$197=M159)*($AA$2:$AA$197=1)),0.9)
               ),1,0),
0)</f>
        <v>0</v>
      </c>
      <c r="AD159" s="131"/>
      <c r="AE159" s="142"/>
      <c r="AF159" s="142"/>
    </row>
    <row r="160" spans="1:32" x14ac:dyDescent="0.25">
      <c r="A160" s="177" t="s">
        <v>441</v>
      </c>
      <c r="B160" s="160" t="s">
        <v>538</v>
      </c>
      <c r="C160" s="225">
        <v>146</v>
      </c>
      <c r="D160" s="2" t="s">
        <v>444</v>
      </c>
      <c r="E160" s="3" t="s">
        <v>442</v>
      </c>
      <c r="F160" s="3"/>
      <c r="G160" s="32">
        <v>44498</v>
      </c>
      <c r="H160" s="32">
        <v>46323</v>
      </c>
      <c r="I160" s="26" t="s">
        <v>247</v>
      </c>
      <c r="J160" s="92" t="s">
        <v>135</v>
      </c>
      <c r="K160" s="6" t="s">
        <v>334</v>
      </c>
      <c r="L160" s="2" t="s">
        <v>443</v>
      </c>
      <c r="M160" s="100" t="s">
        <v>328</v>
      </c>
      <c r="N160" s="2" t="s">
        <v>427</v>
      </c>
      <c r="O160" s="26" t="s">
        <v>561</v>
      </c>
      <c r="P160" s="26">
        <v>7850</v>
      </c>
      <c r="Q160" s="3" t="s">
        <v>427</v>
      </c>
      <c r="R160" s="3" t="s">
        <v>427</v>
      </c>
      <c r="S160" s="3" t="s">
        <v>427</v>
      </c>
      <c r="T160" s="112" t="s">
        <v>427</v>
      </c>
      <c r="U160" s="78">
        <f>SUM(Table2[[#This Row],[A1toA3_GWP]:[C1toC4_GWP]])</f>
        <v>996.27</v>
      </c>
      <c r="V160" s="79">
        <f>0.964*1000</f>
        <v>964</v>
      </c>
      <c r="W160" s="121">
        <f>(0.003+0.00827+0.021)*1000</f>
        <v>32.270000000000003</v>
      </c>
      <c r="X160" s="78"/>
      <c r="Y160" s="78"/>
      <c r="Z160" s="198"/>
      <c r="AA160" s="84">
        <f ca="1">IF(OR($E160="Ecoinvent",$E160="Betonsortenrechner",$E160="KBOB",$U160&lt;=0,Table2[[#This Row],[VALID_TO]]&lt;=TODAY()),0,1)</f>
        <v>1</v>
      </c>
      <c r="AB160" s="154">
        <f ca="1">IF(Table2[[#This Row],[VALID_TO]]&gt;=TODAY(), 1, 0)</f>
        <v>1</v>
      </c>
      <c r="AC160" s="213" cm="1">
        <f t="array" aca="1" ref="AC160" ca="1">IF($AA160&lt;&gt;0,
IF(AND(
                         U160&gt;=_xlfn.PERCENTILE.INC(_xlfn._xlws.FILTER($U$2:$U$197, ($M$2:$M$197=M160)*($AA$2:$AA$197=1)),0.1),
                         U160&lt;=_xlfn.PERCENTILE.INC(_xlfn._xlws.FILTER($U$2:$U$197, ($M$2:$M$197=M160)*($AA$2:$AA$197=1)),0.9)
               ),1,0),
0)</f>
        <v>1</v>
      </c>
      <c r="AD160" s="131"/>
      <c r="AE160" s="2" t="s">
        <v>567</v>
      </c>
      <c r="AF160" s="2"/>
    </row>
    <row r="161" spans="1:32" x14ac:dyDescent="0.25">
      <c r="A161" s="177" t="s">
        <v>445</v>
      </c>
      <c r="B161" s="21" t="s">
        <v>538</v>
      </c>
      <c r="C161" s="225">
        <v>148</v>
      </c>
      <c r="D161" s="2" t="s">
        <v>143</v>
      </c>
      <c r="E161" s="3" t="s">
        <v>132</v>
      </c>
      <c r="F161" s="3"/>
      <c r="G161" s="32">
        <v>45205</v>
      </c>
      <c r="H161" s="32">
        <v>47031</v>
      </c>
      <c r="I161" s="26" t="s">
        <v>54</v>
      </c>
      <c r="J161" s="92" t="s">
        <v>135</v>
      </c>
      <c r="K161" s="6" t="s">
        <v>334</v>
      </c>
      <c r="L161" s="2" t="s">
        <v>443</v>
      </c>
      <c r="M161" s="100" t="s">
        <v>328</v>
      </c>
      <c r="N161" s="2" t="s">
        <v>427</v>
      </c>
      <c r="O161" s="26" t="s">
        <v>561</v>
      </c>
      <c r="P161" s="26">
        <v>7850</v>
      </c>
      <c r="Q161" s="3" t="s">
        <v>427</v>
      </c>
      <c r="R161" s="3" t="s">
        <v>427</v>
      </c>
      <c r="S161" s="3" t="s">
        <v>427</v>
      </c>
      <c r="T161" s="112" t="s">
        <v>427</v>
      </c>
      <c r="U161" s="78">
        <f>SUM(Table2[[#This Row],[A1toA3_GWP]:[C1toC4_GWP]])</f>
        <v>560</v>
      </c>
      <c r="V161" s="79">
        <v>560</v>
      </c>
      <c r="W161" s="121">
        <v>0</v>
      </c>
      <c r="X161" s="78"/>
      <c r="Y161" s="78"/>
      <c r="Z161" s="198"/>
      <c r="AA161" s="84">
        <f ca="1">IF(OR($E161="Ecoinvent",$E161="Betonsortenrechner",$E161="KBOB",$U161&lt;=0,Table2[[#This Row],[VALID_TO]]&lt;=TODAY()),0,1)</f>
        <v>1</v>
      </c>
      <c r="AB161" s="154">
        <f ca="1">IF(Table2[[#This Row],[VALID_TO]]&gt;=TODAY(), 1, 0)</f>
        <v>1</v>
      </c>
      <c r="AC161" s="213" cm="1">
        <f t="array" aca="1" ref="AC161" ca="1">IF($AA161&lt;&gt;0,
IF(AND(
                         U161&gt;=_xlfn.PERCENTILE.INC(_xlfn._xlws.FILTER($U$2:$U$197, ($M$2:$M$197=M161)*($AA$2:$AA$197=1)),0.1),
                         U161&lt;=_xlfn.PERCENTILE.INC(_xlfn._xlws.FILTER($U$2:$U$197, ($M$2:$M$197=M161)*($AA$2:$AA$197=1)),0.9)
               ),1,0),
0)</f>
        <v>1</v>
      </c>
      <c r="AD161" s="131"/>
      <c r="AE161" s="142"/>
      <c r="AF161" s="142"/>
    </row>
    <row r="162" spans="1:32" x14ac:dyDescent="0.25">
      <c r="A162" s="177" t="s">
        <v>448</v>
      </c>
      <c r="B162" s="21" t="s">
        <v>539</v>
      </c>
      <c r="C162" s="222">
        <v>153</v>
      </c>
      <c r="D162" s="2" t="s">
        <v>446</v>
      </c>
      <c r="E162" s="3" t="s">
        <v>447</v>
      </c>
      <c r="F162" s="3"/>
      <c r="G162" s="32">
        <v>43758</v>
      </c>
      <c r="H162" s="32">
        <v>45584</v>
      </c>
      <c r="I162" s="26" t="s">
        <v>56</v>
      </c>
      <c r="J162" s="92" t="s">
        <v>135</v>
      </c>
      <c r="K162" s="6" t="s">
        <v>334</v>
      </c>
      <c r="L162" s="2" t="s">
        <v>443</v>
      </c>
      <c r="M162" s="100" t="s">
        <v>328</v>
      </c>
      <c r="N162" s="2" t="s">
        <v>427</v>
      </c>
      <c r="O162" s="26" t="s">
        <v>561</v>
      </c>
      <c r="P162" s="26">
        <v>7850</v>
      </c>
      <c r="Q162" s="3" t="s">
        <v>427</v>
      </c>
      <c r="R162" s="3" t="s">
        <v>427</v>
      </c>
      <c r="S162" s="3" t="s">
        <v>427</v>
      </c>
      <c r="T162" s="112" t="s">
        <v>427</v>
      </c>
      <c r="U162" s="78">
        <f>SUM(Table2[[#This Row],[A1toA3_GWP]:[C1toC4_GWP]])</f>
        <v>780</v>
      </c>
      <c r="V162" s="79">
        <v>780</v>
      </c>
      <c r="W162" s="121" t="s">
        <v>303</v>
      </c>
      <c r="X162" s="78"/>
      <c r="Y162" s="78"/>
      <c r="Z162" s="198"/>
      <c r="AA162" s="84">
        <f ca="1">IF(OR($E162="Ecoinvent",$E162="Betonsortenrechner",$E162="KBOB",$U162&lt;=0,Table2[[#This Row],[VALID_TO]]&lt;=TODAY()),0,1)</f>
        <v>0</v>
      </c>
      <c r="AB162" s="154">
        <f ca="1">IF(Table2[[#This Row],[VALID_TO]]&gt;=TODAY(), 1, 0)</f>
        <v>0</v>
      </c>
      <c r="AC162" s="213" cm="1">
        <f t="array" aca="1" ref="AC162" ca="1">IF($AA162&lt;&gt;0,
IF(AND(
                         U162&gt;=_xlfn.PERCENTILE.INC(_xlfn._xlws.FILTER($U$2:$U$197, ($M$2:$M$197=M162)*($AA$2:$AA$197=1)),0.1),
                         U162&lt;=_xlfn.PERCENTILE.INC(_xlfn._xlws.FILTER($U$2:$U$197, ($M$2:$M$197=M162)*($AA$2:$AA$197=1)),0.9)
               ),1,0),
0)</f>
        <v>0</v>
      </c>
      <c r="AD162" s="131"/>
      <c r="AE162" s="2" t="s">
        <v>569</v>
      </c>
      <c r="AF162" s="2"/>
    </row>
    <row r="163" spans="1:32" x14ac:dyDescent="0.25">
      <c r="A163" s="177" t="s">
        <v>449</v>
      </c>
      <c r="B163" s="21" t="s">
        <v>539</v>
      </c>
      <c r="C163" s="225">
        <v>156</v>
      </c>
      <c r="D163" s="2" t="s">
        <v>451</v>
      </c>
      <c r="E163" s="3" t="s">
        <v>48</v>
      </c>
      <c r="F163" s="3"/>
      <c r="G163" s="32">
        <v>44627</v>
      </c>
      <c r="H163" s="32">
        <v>46404</v>
      </c>
      <c r="I163" s="26" t="s">
        <v>53</v>
      </c>
      <c r="J163" s="92" t="s">
        <v>135</v>
      </c>
      <c r="K163" s="6" t="s">
        <v>334</v>
      </c>
      <c r="L163" s="2" t="s">
        <v>443</v>
      </c>
      <c r="M163" s="100" t="s">
        <v>328</v>
      </c>
      <c r="N163" s="2" t="s">
        <v>427</v>
      </c>
      <c r="O163" s="26" t="s">
        <v>561</v>
      </c>
      <c r="P163" s="26">
        <v>7850</v>
      </c>
      <c r="Q163" s="3" t="s">
        <v>427</v>
      </c>
      <c r="R163" s="3" t="s">
        <v>427</v>
      </c>
      <c r="S163" s="3" t="s">
        <v>427</v>
      </c>
      <c r="T163" s="112" t="s">
        <v>427</v>
      </c>
      <c r="U163" s="78">
        <f>SUM(Table2[[#This Row],[A1toA3_GWP]:[C1toC4_GWP]])</f>
        <v>614.54</v>
      </c>
      <c r="V163" s="79">
        <f>215+18.9+301</f>
        <v>534.9</v>
      </c>
      <c r="W163" s="121">
        <f>51+26+2.64</f>
        <v>79.64</v>
      </c>
      <c r="X163" s="78"/>
      <c r="Y163" s="78"/>
      <c r="Z163" s="198"/>
      <c r="AA163" s="84">
        <f ca="1">IF(OR($E163="Ecoinvent",$E163="Betonsortenrechner",$E163="KBOB",$U163&lt;=0,Table2[[#This Row],[VALID_TO]]&lt;=TODAY()),0,1)</f>
        <v>1</v>
      </c>
      <c r="AB163" s="154">
        <f ca="1">IF(Table2[[#This Row],[VALID_TO]]&gt;=TODAY(), 1, 0)</f>
        <v>1</v>
      </c>
      <c r="AC163" s="213" cm="1">
        <f t="array" aca="1" ref="AC163" ca="1">IF($AA163&lt;&gt;0,
IF(AND(
                         U163&gt;=_xlfn.PERCENTILE.INC(_xlfn._xlws.FILTER($U$2:$U$197, ($M$2:$M$197=M163)*($AA$2:$AA$197=1)),0.1),
                         U163&lt;=_xlfn.PERCENTILE.INC(_xlfn._xlws.FILTER($U$2:$U$197, ($M$2:$M$197=M163)*($AA$2:$AA$197=1)),0.9)
               ),1,0),
0)</f>
        <v>1</v>
      </c>
      <c r="AD163" s="131"/>
      <c r="AE163" s="2" t="s">
        <v>569</v>
      </c>
      <c r="AF163" s="2"/>
    </row>
    <row r="164" spans="1:32" x14ac:dyDescent="0.25">
      <c r="A164" s="177" t="s">
        <v>454</v>
      </c>
      <c r="B164" s="21" t="s">
        <v>538</v>
      </c>
      <c r="C164" s="222">
        <v>159</v>
      </c>
      <c r="D164" s="21" t="s">
        <v>460</v>
      </c>
      <c r="E164" s="3" t="s">
        <v>459</v>
      </c>
      <c r="F164" s="3"/>
      <c r="G164" s="32">
        <v>45133</v>
      </c>
      <c r="H164" s="32">
        <v>46228</v>
      </c>
      <c r="I164" s="26" t="s">
        <v>458</v>
      </c>
      <c r="J164" s="92" t="s">
        <v>135</v>
      </c>
      <c r="K164" s="6" t="s">
        <v>334</v>
      </c>
      <c r="L164" s="2" t="s">
        <v>443</v>
      </c>
      <c r="M164" s="100" t="s">
        <v>328</v>
      </c>
      <c r="N164" s="2" t="s">
        <v>427</v>
      </c>
      <c r="O164" s="26" t="s">
        <v>561</v>
      </c>
      <c r="P164" s="26">
        <v>7850</v>
      </c>
      <c r="Q164" s="3" t="s">
        <v>427</v>
      </c>
      <c r="R164" s="3" t="s">
        <v>427</v>
      </c>
      <c r="S164" s="3" t="s">
        <v>427</v>
      </c>
      <c r="T164" s="112" t="s">
        <v>427</v>
      </c>
      <c r="U164" s="78">
        <f>SUM(Table2[[#This Row],[A1toA3_GWP]:[C1toC4_GWP]])</f>
        <v>1201.78</v>
      </c>
      <c r="V164" s="79">
        <v>1160</v>
      </c>
      <c r="W164" s="121">
        <f>40.6+1.18</f>
        <v>41.78</v>
      </c>
      <c r="X164" s="78"/>
      <c r="Y164" s="78"/>
      <c r="Z164" s="198"/>
      <c r="AA164" s="84">
        <f ca="1">IF(OR($E164="Ecoinvent",$E164="Betonsortenrechner",$E164="KBOB",$U164&lt;=0,Table2[[#This Row],[VALID_TO]]&lt;=TODAY()),0,1)</f>
        <v>1</v>
      </c>
      <c r="AB164" s="154">
        <f ca="1">IF(Table2[[#This Row],[VALID_TO]]&gt;=TODAY(), 1, 0)</f>
        <v>1</v>
      </c>
      <c r="AC164" s="213" cm="1">
        <f t="array" aca="1" ref="AC164" ca="1">IF($AA164&lt;&gt;0,
IF(AND(
                         U164&gt;=_xlfn.PERCENTILE.INC(_xlfn._xlws.FILTER($U$2:$U$197, ($M$2:$M$197=M164)*($AA$2:$AA$197=1)),0.1),
                         U164&lt;=_xlfn.PERCENTILE.INC(_xlfn._xlws.FILTER($U$2:$U$197, ($M$2:$M$197=M164)*($AA$2:$AA$197=1)),0.9)
               ),1,0),
0)</f>
        <v>0</v>
      </c>
      <c r="AD164" s="131"/>
      <c r="AE164" s="2"/>
      <c r="AF164" s="2"/>
    </row>
    <row r="165" spans="1:32" x14ac:dyDescent="0.25">
      <c r="A165" s="177" t="s">
        <v>456</v>
      </c>
      <c r="B165" s="160"/>
      <c r="C165" s="225">
        <v>162</v>
      </c>
      <c r="D165" s="21" t="s">
        <v>465</v>
      </c>
      <c r="E165" s="3" t="s">
        <v>464</v>
      </c>
      <c r="F165" s="3"/>
      <c r="G165" s="32">
        <v>45209</v>
      </c>
      <c r="H165" s="32">
        <v>47036</v>
      </c>
      <c r="I165" s="26" t="s">
        <v>247</v>
      </c>
      <c r="J165" s="92" t="s">
        <v>135</v>
      </c>
      <c r="K165" s="6" t="s">
        <v>334</v>
      </c>
      <c r="L165" s="2" t="s">
        <v>443</v>
      </c>
      <c r="M165" s="100" t="s">
        <v>328</v>
      </c>
      <c r="N165" s="2" t="s">
        <v>427</v>
      </c>
      <c r="O165" s="26" t="s">
        <v>561</v>
      </c>
      <c r="P165" s="26">
        <v>7850</v>
      </c>
      <c r="Q165" s="3" t="s">
        <v>427</v>
      </c>
      <c r="R165" s="3" t="s">
        <v>427</v>
      </c>
      <c r="S165" s="3" t="s">
        <v>427</v>
      </c>
      <c r="T165" s="112" t="s">
        <v>427</v>
      </c>
      <c r="U165" s="78">
        <f>SUM(Table2[[#This Row],[A1toA3_GWP]:[C1toC4_GWP]])</f>
        <v>2447.48</v>
      </c>
      <c r="V165" s="79">
        <v>2410</v>
      </c>
      <c r="W165" s="121">
        <f>1.1+9.68+26.7</f>
        <v>37.479999999999997</v>
      </c>
      <c r="X165" s="78"/>
      <c r="Y165" s="78"/>
      <c r="Z165" s="198"/>
      <c r="AA165" s="84">
        <v>0</v>
      </c>
      <c r="AB165" s="154">
        <f ca="1">IF(Table2[[#This Row],[VALID_TO]]&gt;=TODAY(), 1, 0)</f>
        <v>1</v>
      </c>
      <c r="AC165" s="213" cm="1">
        <f t="array" ref="AC165">IF($AA165&lt;&gt;0,
IF(AND(
                         U165&gt;=_xlfn.PERCENTILE.INC(_xlfn._xlws.FILTER($U$2:$U$197, ($M$2:$M$197=M165)*($AA$2:$AA$197=1)),0.1),
                         U165&lt;=_xlfn.PERCENTILE.INC(_xlfn._xlws.FILTER($U$2:$U$197, ($M$2:$M$197=M165)*($AA$2:$AA$197=1)),0.9)
               ),1,0),
0)</f>
        <v>0</v>
      </c>
      <c r="AD165" s="187"/>
      <c r="AE165" s="179" t="s">
        <v>565</v>
      </c>
      <c r="AF165" s="192"/>
    </row>
    <row r="166" spans="1:32" x14ac:dyDescent="0.25">
      <c r="A166" s="177" t="s">
        <v>457</v>
      </c>
      <c r="B166" s="21" t="s">
        <v>538</v>
      </c>
      <c r="C166" s="225">
        <v>164</v>
      </c>
      <c r="D166" s="2" t="s">
        <v>470</v>
      </c>
      <c r="E166" s="3" t="s">
        <v>471</v>
      </c>
      <c r="F166" s="3"/>
      <c r="G166" s="32">
        <v>44249</v>
      </c>
      <c r="H166" s="32">
        <v>46075</v>
      </c>
      <c r="I166" s="32" t="s">
        <v>302</v>
      </c>
      <c r="J166" s="92" t="s">
        <v>135</v>
      </c>
      <c r="K166" s="6" t="s">
        <v>334</v>
      </c>
      <c r="L166" s="2" t="s">
        <v>443</v>
      </c>
      <c r="M166" s="100" t="s">
        <v>328</v>
      </c>
      <c r="N166" s="2" t="s">
        <v>427</v>
      </c>
      <c r="O166" s="26" t="s">
        <v>561</v>
      </c>
      <c r="P166" s="26">
        <v>7850</v>
      </c>
      <c r="Q166" s="3" t="s">
        <v>427</v>
      </c>
      <c r="R166" s="3" t="s">
        <v>427</v>
      </c>
      <c r="S166" s="3" t="s">
        <v>427</v>
      </c>
      <c r="T166" s="112" t="s">
        <v>427</v>
      </c>
      <c r="U166" s="78">
        <f>SUM(Table2[[#This Row],[A1toA3_GWP]:[C1toC4_GWP]])</f>
        <v>1380.1</v>
      </c>
      <c r="V166" s="79">
        <v>1290</v>
      </c>
      <c r="W166" s="121">
        <f>21.5+68.6</f>
        <v>90.1</v>
      </c>
      <c r="X166" s="78"/>
      <c r="Y166" s="78"/>
      <c r="Z166" s="198"/>
      <c r="AA166" s="84">
        <f ca="1">IF(OR($E166="Ecoinvent",$E166="Betonsortenrechner",$E166="KBOB",$U166&lt;=0,Table2[[#This Row],[VALID_TO]]&lt;=TODAY()),0,1)</f>
        <v>0</v>
      </c>
      <c r="AB166" s="154">
        <f ca="1">IF(Table2[[#This Row],[VALID_TO]]&gt;=TODAY(), 1, 0)</f>
        <v>0</v>
      </c>
      <c r="AC166" s="213" cm="1">
        <f t="array" aca="1" ref="AC166" ca="1">IF($AA166&lt;&gt;0,
IF(AND(
                         U166&gt;=_xlfn.PERCENTILE.INC(_xlfn._xlws.FILTER($U$2:$U$197, ($M$2:$M$197=M166)*($AA$2:$AA$197=1)),0.1),
                         U166&lt;=_xlfn.PERCENTILE.INC(_xlfn._xlws.FILTER($U$2:$U$197, ($M$2:$M$197=M166)*($AA$2:$AA$197=1)),0.9)
               ),1,0),
0)</f>
        <v>0</v>
      </c>
      <c r="AD166" s="131"/>
      <c r="AE166" s="2"/>
      <c r="AF166" s="2"/>
    </row>
    <row r="167" spans="1:32" x14ac:dyDescent="0.25">
      <c r="A167" s="177" t="s">
        <v>474</v>
      </c>
      <c r="B167" s="21" t="s">
        <v>538</v>
      </c>
      <c r="C167" s="225">
        <v>166</v>
      </c>
      <c r="D167" s="2" t="s">
        <v>472</v>
      </c>
      <c r="E167" s="3" t="s">
        <v>473</v>
      </c>
      <c r="F167" s="3"/>
      <c r="G167" s="32">
        <v>45239</v>
      </c>
      <c r="H167" s="32">
        <v>47066</v>
      </c>
      <c r="I167" s="26" t="s">
        <v>56</v>
      </c>
      <c r="J167" s="92" t="s">
        <v>135</v>
      </c>
      <c r="K167" s="6" t="s">
        <v>334</v>
      </c>
      <c r="L167" s="2" t="s">
        <v>443</v>
      </c>
      <c r="M167" s="100" t="s">
        <v>328</v>
      </c>
      <c r="N167" s="2" t="s">
        <v>427</v>
      </c>
      <c r="O167" s="26" t="s">
        <v>561</v>
      </c>
      <c r="P167" s="26">
        <v>7850</v>
      </c>
      <c r="Q167" s="3" t="s">
        <v>427</v>
      </c>
      <c r="R167" s="3" t="s">
        <v>427</v>
      </c>
      <c r="S167" s="3" t="s">
        <v>427</v>
      </c>
      <c r="T167" s="112" t="s">
        <v>427</v>
      </c>
      <c r="U167" s="78">
        <f>SUM(Table2[[#This Row],[A1toA3_GWP]:[C1toC4_GWP]])</f>
        <v>867.42</v>
      </c>
      <c r="V167" s="79">
        <v>854</v>
      </c>
      <c r="W167" s="121">
        <f>5.85+7.57</f>
        <v>13.42</v>
      </c>
      <c r="X167" s="78"/>
      <c r="Y167" s="78"/>
      <c r="Z167" s="198"/>
      <c r="AA167" s="84">
        <f ca="1">IF(OR($E167="Ecoinvent",$E167="Betonsortenrechner",$E167="KBOB",$U167&lt;=0,Table2[[#This Row],[VALID_TO]]&lt;=TODAY()),0,1)</f>
        <v>1</v>
      </c>
      <c r="AB167" s="154">
        <f ca="1">IF(Table2[[#This Row],[VALID_TO]]&gt;=TODAY(), 1, 0)</f>
        <v>1</v>
      </c>
      <c r="AC167" s="213" cm="1">
        <f t="array" aca="1" ref="AC167" ca="1">IF($AA167&lt;&gt;0,
IF(AND(
                         U167&gt;=_xlfn.PERCENTILE.INC(_xlfn._xlws.FILTER($U$2:$U$197, ($M$2:$M$197=M167)*($AA$2:$AA$197=1)),0.1),
                         U167&lt;=_xlfn.PERCENTILE.INC(_xlfn._xlws.FILTER($U$2:$U$197, ($M$2:$M$197=M167)*($AA$2:$AA$197=1)),0.9)
               ),1,0),
0)</f>
        <v>1</v>
      </c>
      <c r="AD167" s="131"/>
      <c r="AE167" s="2"/>
      <c r="AF167" s="2"/>
    </row>
    <row r="168" spans="1:32" ht="15.75" thickBot="1" x14ac:dyDescent="0.3">
      <c r="A168" s="9" t="s">
        <v>371</v>
      </c>
      <c r="B168" s="36" t="s">
        <v>539</v>
      </c>
      <c r="C168" s="226">
        <v>130</v>
      </c>
      <c r="D168" s="4" t="s">
        <v>131</v>
      </c>
      <c r="E168" s="5" t="s">
        <v>132</v>
      </c>
      <c r="F168" s="5"/>
      <c r="G168" s="33">
        <v>43398</v>
      </c>
      <c r="H168" s="33">
        <v>45223</v>
      </c>
      <c r="I168" s="29" t="s">
        <v>54</v>
      </c>
      <c r="J168" s="95" t="s">
        <v>135</v>
      </c>
      <c r="K168" s="7" t="s">
        <v>334</v>
      </c>
      <c r="L168" s="4" t="s">
        <v>326</v>
      </c>
      <c r="M168" s="101" t="s">
        <v>328</v>
      </c>
      <c r="N168" s="4" t="s">
        <v>427</v>
      </c>
      <c r="O168" s="29" t="s">
        <v>562</v>
      </c>
      <c r="P168" s="29">
        <v>7850</v>
      </c>
      <c r="Q168" s="5" t="s">
        <v>427</v>
      </c>
      <c r="R168" s="5" t="s">
        <v>427</v>
      </c>
      <c r="S168" s="5" t="s">
        <v>427</v>
      </c>
      <c r="T168" s="115" t="s">
        <v>427</v>
      </c>
      <c r="U168" s="80">
        <f>SUM(Table2[[#This Row],[A1toA3_GWP]:[C1toC4_GWP]])</f>
        <v>1131.8399999999999</v>
      </c>
      <c r="V168" s="81">
        <v>1130</v>
      </c>
      <c r="W168" s="125">
        <v>1.84</v>
      </c>
      <c r="X168" s="80"/>
      <c r="Y168" s="80"/>
      <c r="Z168" s="208"/>
      <c r="AA168" s="193">
        <f ca="1">IF(OR($E168="Ecoinvent",$E168="Betonsortenrechner",$E168="KBOB",$U168&lt;=0,Table2[[#This Row],[VALID_TO]]&lt;=TODAY()),0,1)</f>
        <v>0</v>
      </c>
      <c r="AB168" s="155">
        <f ca="1">IF(Table2[[#This Row],[VALID_TO]]&gt;=TODAY(), 1, 0)</f>
        <v>0</v>
      </c>
      <c r="AC168" s="215" cm="1">
        <f t="array" aca="1" ref="AC168" ca="1">IF($AA168&lt;&gt;0,
IF(AND(
                         U168&gt;=_xlfn.PERCENTILE.INC(_xlfn._xlws.FILTER($U$2:$U$197, ($M$2:$M$197=M168)*($AA$2:$AA$197=1)),0.1),
                         U168&lt;=_xlfn.PERCENTILE.INC(_xlfn._xlws.FILTER($U$2:$U$197, ($M$2:$M$197=M168)*($AA$2:$AA$197=1)),0.9)
               ),1,0),
0)</f>
        <v>0</v>
      </c>
      <c r="AD168" s="134"/>
      <c r="AE168" s="249"/>
      <c r="AF168" s="249"/>
    </row>
    <row r="169" spans="1:32" x14ac:dyDescent="0.25">
      <c r="A169" s="8" t="s">
        <v>373</v>
      </c>
      <c r="B169" s="21" t="s">
        <v>539</v>
      </c>
      <c r="C169" s="222">
        <v>135</v>
      </c>
      <c r="D169" s="2" t="s">
        <v>136</v>
      </c>
      <c r="E169" s="3" t="s">
        <v>137</v>
      </c>
      <c r="F169" s="3"/>
      <c r="G169" s="32">
        <v>45362</v>
      </c>
      <c r="H169" s="32">
        <v>47190</v>
      </c>
      <c r="I169" s="26" t="s">
        <v>54</v>
      </c>
      <c r="J169" s="92" t="s">
        <v>142</v>
      </c>
      <c r="K169" s="6" t="s">
        <v>334</v>
      </c>
      <c r="L169" s="2" t="s">
        <v>326</v>
      </c>
      <c r="M169" s="100" t="s">
        <v>328</v>
      </c>
      <c r="N169" s="2" t="s">
        <v>427</v>
      </c>
      <c r="O169" s="26" t="s">
        <v>562</v>
      </c>
      <c r="P169" s="26">
        <v>7850</v>
      </c>
      <c r="Q169" s="3" t="s">
        <v>427</v>
      </c>
      <c r="R169" s="3" t="s">
        <v>427</v>
      </c>
      <c r="S169" s="3" t="s">
        <v>427</v>
      </c>
      <c r="T169" s="112" t="s">
        <v>427</v>
      </c>
      <c r="U169" s="78">
        <f>SUM(Table2[[#This Row],[A1toA3_GWP]:[C1toC4_GWP]])</f>
        <v>352.01</v>
      </c>
      <c r="V169" s="79">
        <v>335</v>
      </c>
      <c r="W169" s="121">
        <f>2.51+14.5</f>
        <v>17.009999999999998</v>
      </c>
      <c r="X169" s="78"/>
      <c r="Y169" s="78"/>
      <c r="Z169" s="198"/>
      <c r="AA169" s="84">
        <f ca="1">IF(OR($E169="Ecoinvent",$E169="Betonsortenrechner",$E169="KBOB",$U169&lt;=0,Table2[[#This Row],[VALID_TO]]&lt;=TODAY()),0,1)</f>
        <v>1</v>
      </c>
      <c r="AB169" s="154">
        <f ca="1">IF(Table2[[#This Row],[VALID_TO]]&gt;=TODAY(), 1, 0)</f>
        <v>1</v>
      </c>
      <c r="AC169" s="213" cm="1">
        <f t="array" aca="1" ref="AC169" ca="1">IF($AA169&lt;&gt;0,
IF(AND(
                         U169&gt;=_xlfn.PERCENTILE.INC(_xlfn._xlws.FILTER($U$2:$U$197, ($M$2:$M$197=M169)*($AA$2:$AA$197=1)),0.1),
                         U169&lt;=_xlfn.PERCENTILE.INC(_xlfn._xlws.FILTER($U$2:$U$197, ($M$2:$M$197=M169)*($AA$2:$AA$197=1)),0.9)
               ),1,0),
0)</f>
        <v>1</v>
      </c>
      <c r="AD169" s="131"/>
      <c r="AE169" s="142"/>
      <c r="AF169" s="142"/>
    </row>
    <row r="170" spans="1:32" x14ac:dyDescent="0.25">
      <c r="A170" s="8" t="s">
        <v>375</v>
      </c>
      <c r="B170" s="21" t="s">
        <v>539</v>
      </c>
      <c r="C170" s="222">
        <v>139</v>
      </c>
      <c r="D170" s="2" t="s">
        <v>143</v>
      </c>
      <c r="E170" s="3" t="s">
        <v>144</v>
      </c>
      <c r="F170" s="3"/>
      <c r="G170" s="32">
        <v>45205</v>
      </c>
      <c r="H170" s="32">
        <v>47031</v>
      </c>
      <c r="I170" s="26" t="s">
        <v>54</v>
      </c>
      <c r="J170" s="92" t="s">
        <v>135</v>
      </c>
      <c r="K170" s="6" t="s">
        <v>334</v>
      </c>
      <c r="L170" s="2" t="s">
        <v>326</v>
      </c>
      <c r="M170" s="100" t="s">
        <v>328</v>
      </c>
      <c r="N170" s="2" t="s">
        <v>427</v>
      </c>
      <c r="O170" s="26" t="s">
        <v>562</v>
      </c>
      <c r="P170" s="26">
        <v>7850</v>
      </c>
      <c r="Q170" s="3" t="s">
        <v>427</v>
      </c>
      <c r="R170" s="3" t="s">
        <v>427</v>
      </c>
      <c r="S170" s="3" t="s">
        <v>427</v>
      </c>
      <c r="T170" s="112" t="s">
        <v>427</v>
      </c>
      <c r="U170" s="78">
        <f>SUM(Table2[[#This Row],[A1toA3_GWP]:[C1toC4_GWP]])</f>
        <v>564.70000000000005</v>
      </c>
      <c r="V170" s="79">
        <v>560</v>
      </c>
      <c r="W170" s="121">
        <f>2.19+2.51</f>
        <v>4.6999999999999993</v>
      </c>
      <c r="X170" s="78"/>
      <c r="Y170" s="78"/>
      <c r="Z170" s="198"/>
      <c r="AA170" s="84">
        <f ca="1">IF(OR($E170="Ecoinvent",$E170="Betonsortenrechner",$E170="KBOB",$U170&lt;=0,Table2[[#This Row],[VALID_TO]]&lt;=TODAY()),0,1)</f>
        <v>1</v>
      </c>
      <c r="AB170" s="154">
        <f ca="1">IF(Table2[[#This Row],[VALID_TO]]&gt;=TODAY(), 1, 0)</f>
        <v>1</v>
      </c>
      <c r="AC170" s="213" cm="1">
        <f t="array" aca="1" ref="AC170" ca="1">IF($AA170&lt;&gt;0,
IF(AND(
                         U170&gt;=_xlfn.PERCENTILE.INC(_xlfn._xlws.FILTER($U$2:$U$197, ($M$2:$M$197=M170)*($AA$2:$AA$197=1)),0.1),
                         U170&lt;=_xlfn.PERCENTILE.INC(_xlfn._xlws.FILTER($U$2:$U$197, ($M$2:$M$197=M170)*($AA$2:$AA$197=1)),0.9)
               ),1,0),
0)</f>
        <v>1</v>
      </c>
      <c r="AD170" s="131"/>
      <c r="AE170" s="142"/>
      <c r="AF170" s="142"/>
    </row>
    <row r="171" spans="1:32" x14ac:dyDescent="0.25">
      <c r="A171" s="8" t="s">
        <v>376</v>
      </c>
      <c r="B171" s="21" t="s">
        <v>539</v>
      </c>
      <c r="C171" s="222">
        <v>143</v>
      </c>
      <c r="D171" s="2" t="s">
        <v>146</v>
      </c>
      <c r="E171" s="3" t="s">
        <v>145</v>
      </c>
      <c r="F171" s="3"/>
      <c r="G171" s="32">
        <v>43455</v>
      </c>
      <c r="H171" s="32">
        <v>45280</v>
      </c>
      <c r="I171" s="26" t="s">
        <v>54</v>
      </c>
      <c r="J171" s="92" t="s">
        <v>147</v>
      </c>
      <c r="K171" s="6" t="s">
        <v>334</v>
      </c>
      <c r="L171" s="2" t="s">
        <v>326</v>
      </c>
      <c r="M171" s="100" t="s">
        <v>328</v>
      </c>
      <c r="N171" s="2" t="s">
        <v>427</v>
      </c>
      <c r="O171" s="26" t="s">
        <v>562</v>
      </c>
      <c r="P171" s="26">
        <v>7850</v>
      </c>
      <c r="Q171" s="3" t="s">
        <v>427</v>
      </c>
      <c r="R171" s="3" t="s">
        <v>427</v>
      </c>
      <c r="S171" s="3" t="s">
        <v>427</v>
      </c>
      <c r="T171" s="112" t="s">
        <v>427</v>
      </c>
      <c r="U171" s="78">
        <f>SUM(Table2[[#This Row],[A1toA3_GWP]:[C1toC4_GWP]])</f>
        <v>1322.21</v>
      </c>
      <c r="V171" s="75">
        <v>1320</v>
      </c>
      <c r="W171" s="121">
        <v>2.21</v>
      </c>
      <c r="X171" s="78"/>
      <c r="Y171" s="78"/>
      <c r="Z171" s="198"/>
      <c r="AA171" s="84">
        <f ca="1">IF(OR($E171="Ecoinvent",$E171="Betonsortenrechner",$E171="KBOB",$U171&lt;=0,Table2[[#This Row],[VALID_TO]]&lt;=TODAY()),0,1)</f>
        <v>0</v>
      </c>
      <c r="AB171" s="154">
        <f ca="1">IF(Table2[[#This Row],[VALID_TO]]&gt;=TODAY(), 1, 0)</f>
        <v>0</v>
      </c>
      <c r="AC171" s="213" cm="1">
        <f t="array" aca="1" ref="AC171" ca="1">IF($AA171&lt;&gt;0,
IF(AND(
                         U171&gt;=_xlfn.PERCENTILE.INC(_xlfn._xlws.FILTER($U$2:$U$197, ($M$2:$M$197=M171)*($AA$2:$AA$197=1)),0.1),
                         U171&lt;=_xlfn.PERCENTILE.INC(_xlfn._xlws.FILTER($U$2:$U$197, ($M$2:$M$197=M171)*($AA$2:$AA$197=1)),0.9)
               ),1,0),
0)</f>
        <v>0</v>
      </c>
      <c r="AD171" s="131"/>
      <c r="AE171" s="142"/>
      <c r="AF171" s="142"/>
    </row>
    <row r="172" spans="1:32" x14ac:dyDescent="0.25">
      <c r="A172" s="177" t="s">
        <v>445</v>
      </c>
      <c r="B172" s="21" t="s">
        <v>539</v>
      </c>
      <c r="C172" s="222">
        <v>149</v>
      </c>
      <c r="D172" s="2" t="s">
        <v>143</v>
      </c>
      <c r="E172" s="3" t="s">
        <v>132</v>
      </c>
      <c r="F172" s="3"/>
      <c r="G172" s="32">
        <v>45205</v>
      </c>
      <c r="H172" s="32">
        <v>47031</v>
      </c>
      <c r="I172" s="26" t="s">
        <v>54</v>
      </c>
      <c r="J172" s="92" t="s">
        <v>135</v>
      </c>
      <c r="K172" s="6" t="s">
        <v>334</v>
      </c>
      <c r="L172" s="2" t="s">
        <v>443</v>
      </c>
      <c r="M172" s="100" t="s">
        <v>328</v>
      </c>
      <c r="N172" s="2" t="s">
        <v>427</v>
      </c>
      <c r="O172" s="26" t="s">
        <v>562</v>
      </c>
      <c r="P172" s="26">
        <v>7850</v>
      </c>
      <c r="Q172" s="3" t="s">
        <v>427</v>
      </c>
      <c r="R172" s="3" t="s">
        <v>427</v>
      </c>
      <c r="S172" s="3" t="s">
        <v>427</v>
      </c>
      <c r="T172" s="112" t="s">
        <v>427</v>
      </c>
      <c r="U172" s="78">
        <f>SUM(Table2[[#This Row],[A1toA3_GWP]:[C1toC4_GWP]])</f>
        <v>560</v>
      </c>
      <c r="V172" s="75">
        <v>560</v>
      </c>
      <c r="W172" s="121">
        <v>0</v>
      </c>
      <c r="X172" s="78"/>
      <c r="Y172" s="78"/>
      <c r="Z172" s="198"/>
      <c r="AA172" s="84">
        <f ca="1">IF(OR($E172="Ecoinvent",$E172="Betonsortenrechner",$E172="KBOB",$U172&lt;=0,Table2[[#This Row],[VALID_TO]]&lt;=TODAY()),0,1)</f>
        <v>1</v>
      </c>
      <c r="AB172" s="154">
        <f ca="1">IF(Table2[[#This Row],[VALID_TO]]&gt;=TODAY(), 1, 0)</f>
        <v>1</v>
      </c>
      <c r="AC172" s="213" cm="1">
        <f t="array" aca="1" ref="AC172" ca="1">IF($AA172&lt;&gt;0,
IF(AND(
                         U172&gt;=_xlfn.PERCENTILE.INC(_xlfn._xlws.FILTER($U$2:$U$197, ($M$2:$M$197=M172)*($AA$2:$AA$197=1)),0.1),
                         U172&lt;=_xlfn.PERCENTILE.INC(_xlfn._xlws.FILTER($U$2:$U$197, ($M$2:$M$197=M172)*($AA$2:$AA$197=1)),0.9)
               ),1,0),
0)</f>
        <v>1</v>
      </c>
      <c r="AD172" s="131"/>
      <c r="AE172" s="142"/>
      <c r="AF172" s="142"/>
    </row>
    <row r="173" spans="1:32" x14ac:dyDescent="0.25">
      <c r="A173" s="177" t="s">
        <v>454</v>
      </c>
      <c r="B173" s="21" t="s">
        <v>539</v>
      </c>
      <c r="C173" s="225">
        <v>160</v>
      </c>
      <c r="D173" s="2" t="s">
        <v>460</v>
      </c>
      <c r="E173" s="3" t="s">
        <v>459</v>
      </c>
      <c r="F173" s="3"/>
      <c r="G173" s="32">
        <v>45133</v>
      </c>
      <c r="H173" s="32">
        <v>46228</v>
      </c>
      <c r="I173" s="26" t="s">
        <v>458</v>
      </c>
      <c r="J173" s="92" t="s">
        <v>135</v>
      </c>
      <c r="K173" s="6" t="s">
        <v>334</v>
      </c>
      <c r="L173" s="2" t="s">
        <v>443</v>
      </c>
      <c r="M173" s="100" t="s">
        <v>328</v>
      </c>
      <c r="N173" s="2" t="s">
        <v>427</v>
      </c>
      <c r="O173" s="26" t="s">
        <v>562</v>
      </c>
      <c r="P173" s="26">
        <v>7850</v>
      </c>
      <c r="Q173" s="3" t="s">
        <v>427</v>
      </c>
      <c r="R173" s="3" t="s">
        <v>427</v>
      </c>
      <c r="S173" s="3" t="s">
        <v>427</v>
      </c>
      <c r="T173" s="112" t="s">
        <v>427</v>
      </c>
      <c r="U173" s="78">
        <f>SUM(Table2[[#This Row],[A1toA3_GWP]:[C1toC4_GWP]])</f>
        <v>1201.78</v>
      </c>
      <c r="V173" s="75">
        <v>1160</v>
      </c>
      <c r="W173" s="121">
        <f>40.6+1.18</f>
        <v>41.78</v>
      </c>
      <c r="X173" s="78"/>
      <c r="Y173" s="78"/>
      <c r="Z173" s="198"/>
      <c r="AA173" s="84">
        <f ca="1">IF(OR($E173="Ecoinvent",$E173="Betonsortenrechner",$E173="KBOB",$U173&lt;=0,Table2[[#This Row],[VALID_TO]]&lt;=TODAY()),0,1)</f>
        <v>1</v>
      </c>
      <c r="AB173" s="154">
        <f ca="1">IF(Table2[[#This Row],[VALID_TO]]&gt;=TODAY(), 1, 0)</f>
        <v>1</v>
      </c>
      <c r="AC173" s="213" cm="1">
        <f t="array" aca="1" ref="AC173" ca="1">IF($AA173&lt;&gt;0,
IF(AND(
                         U173&gt;=_xlfn.PERCENTILE.INC(_xlfn._xlws.FILTER($U$2:$U$197, ($M$2:$M$197=M173)*($AA$2:$AA$197=1)),0.1),
                         U173&lt;=_xlfn.PERCENTILE.INC(_xlfn._xlws.FILTER($U$2:$U$197, ($M$2:$M$197=M173)*($AA$2:$AA$197=1)),0.9)
               ),1,0),
0)</f>
        <v>0</v>
      </c>
      <c r="AD173" s="131"/>
      <c r="AE173" s="2"/>
      <c r="AF173" s="2"/>
    </row>
    <row r="174" spans="1:32" x14ac:dyDescent="0.25">
      <c r="A174" s="8" t="s">
        <v>375</v>
      </c>
      <c r="B174" s="21" t="s">
        <v>540</v>
      </c>
      <c r="C174" s="225">
        <v>140</v>
      </c>
      <c r="D174" s="2" t="s">
        <v>143</v>
      </c>
      <c r="E174" s="3" t="s">
        <v>144</v>
      </c>
      <c r="F174" s="3"/>
      <c r="G174" s="32">
        <v>45205</v>
      </c>
      <c r="H174" s="32">
        <v>47031</v>
      </c>
      <c r="I174" s="26" t="s">
        <v>54</v>
      </c>
      <c r="J174" s="92" t="s">
        <v>135</v>
      </c>
      <c r="K174" s="6" t="s">
        <v>334</v>
      </c>
      <c r="L174" s="2" t="s">
        <v>326</v>
      </c>
      <c r="M174" s="100" t="s">
        <v>328</v>
      </c>
      <c r="N174" s="2" t="s">
        <v>427</v>
      </c>
      <c r="O174" s="26" t="s">
        <v>564</v>
      </c>
      <c r="P174" s="26">
        <v>7850</v>
      </c>
      <c r="Q174" s="3" t="s">
        <v>427</v>
      </c>
      <c r="R174" s="3" t="s">
        <v>427</v>
      </c>
      <c r="S174" s="3" t="s">
        <v>427</v>
      </c>
      <c r="T174" s="112" t="s">
        <v>427</v>
      </c>
      <c r="U174" s="78">
        <f>SUM(Table2[[#This Row],[A1toA3_GWP]:[C1toC4_GWP]])</f>
        <v>564.70000000000005</v>
      </c>
      <c r="V174" s="75">
        <v>560</v>
      </c>
      <c r="W174" s="121">
        <f>2.19+2.51</f>
        <v>4.6999999999999993</v>
      </c>
      <c r="X174" s="78"/>
      <c r="Y174" s="78"/>
      <c r="Z174" s="198"/>
      <c r="AA174" s="84">
        <f ca="1">IF(OR($E174="Ecoinvent",$E174="Betonsortenrechner",$E174="KBOB",$U174&lt;=0,Table2[[#This Row],[VALID_TO]]&lt;=TODAY()),0,1)</f>
        <v>1</v>
      </c>
      <c r="AB174" s="154">
        <f ca="1">IF(Table2[[#This Row],[VALID_TO]]&gt;=TODAY(), 1, 0)</f>
        <v>1</v>
      </c>
      <c r="AC174" s="213" cm="1">
        <f t="array" aca="1" ref="AC174" ca="1">IF($AA174&lt;&gt;0,
IF(AND(
                         U174&gt;=_xlfn.PERCENTILE.INC(_xlfn._xlws.FILTER($U$2:$U$197, ($M$2:$M$197=M174)*($AA$2:$AA$197=1)),0.1),
                         U174&lt;=_xlfn.PERCENTILE.INC(_xlfn._xlws.FILTER($U$2:$U$197, ($M$2:$M$197=M174)*($AA$2:$AA$197=1)),0.9)
               ),1,0),
0)</f>
        <v>1</v>
      </c>
      <c r="AD174" s="131"/>
      <c r="AE174" s="142"/>
      <c r="AF174" s="142"/>
    </row>
    <row r="175" spans="1:32" x14ac:dyDescent="0.25">
      <c r="A175" s="177" t="s">
        <v>445</v>
      </c>
      <c r="B175" s="21" t="s">
        <v>540</v>
      </c>
      <c r="C175" s="225">
        <v>150</v>
      </c>
      <c r="D175" s="2" t="s">
        <v>143</v>
      </c>
      <c r="E175" s="3" t="s">
        <v>132</v>
      </c>
      <c r="F175" s="3"/>
      <c r="G175" s="32">
        <v>45205</v>
      </c>
      <c r="H175" s="32">
        <v>47031</v>
      </c>
      <c r="I175" s="26" t="s">
        <v>54</v>
      </c>
      <c r="J175" s="92" t="s">
        <v>135</v>
      </c>
      <c r="K175" s="6" t="s">
        <v>334</v>
      </c>
      <c r="L175" s="2" t="s">
        <v>443</v>
      </c>
      <c r="M175" s="100" t="s">
        <v>328</v>
      </c>
      <c r="N175" s="2" t="s">
        <v>427</v>
      </c>
      <c r="O175" s="26" t="s">
        <v>564</v>
      </c>
      <c r="P175" s="26">
        <v>7850</v>
      </c>
      <c r="Q175" s="3" t="s">
        <v>427</v>
      </c>
      <c r="R175" s="3" t="s">
        <v>427</v>
      </c>
      <c r="S175" s="3" t="s">
        <v>427</v>
      </c>
      <c r="T175" s="112" t="s">
        <v>427</v>
      </c>
      <c r="U175" s="78">
        <f>SUM(Table2[[#This Row],[A1toA3_GWP]:[C1toC4_GWP]])</f>
        <v>560</v>
      </c>
      <c r="V175" s="75">
        <v>560</v>
      </c>
      <c r="W175" s="121">
        <v>0</v>
      </c>
      <c r="X175" s="78"/>
      <c r="Y175" s="78"/>
      <c r="Z175" s="198"/>
      <c r="AA175" s="84">
        <f ca="1">IF(OR($E175="Ecoinvent",$E175="Betonsortenrechner",$E175="KBOB",$U175&lt;=0,Table2[[#This Row],[VALID_TO]]&lt;=TODAY()),0,1)</f>
        <v>1</v>
      </c>
      <c r="AB175" s="154">
        <f ca="1">IF(Table2[[#This Row],[VALID_TO]]&gt;=TODAY(), 1, 0)</f>
        <v>1</v>
      </c>
      <c r="AC175" s="213" cm="1">
        <f t="array" aca="1" ref="AC175" ca="1">IF($AA175&lt;&gt;0,
IF(AND(
                         U175&gt;=_xlfn.PERCENTILE.INC(_xlfn._xlws.FILTER($U$2:$U$197, ($M$2:$M$197=M175)*($AA$2:$AA$197=1)),0.1),
                         U175&lt;=_xlfn.PERCENTILE.INC(_xlfn._xlws.FILTER($U$2:$U$197, ($M$2:$M$197=M175)*($AA$2:$AA$197=1)),0.9)
               ),1,0),
0)</f>
        <v>1</v>
      </c>
      <c r="AD175" s="131"/>
      <c r="AE175" s="142"/>
      <c r="AF175" s="142"/>
    </row>
    <row r="176" spans="1:32" x14ac:dyDescent="0.25">
      <c r="A176" s="8" t="s">
        <v>371</v>
      </c>
      <c r="B176" s="21" t="s">
        <v>540</v>
      </c>
      <c r="C176" s="222">
        <v>131</v>
      </c>
      <c r="D176" s="2" t="s">
        <v>131</v>
      </c>
      <c r="E176" s="3" t="s">
        <v>132</v>
      </c>
      <c r="F176" s="3"/>
      <c r="G176" s="32">
        <v>43398</v>
      </c>
      <c r="H176" s="32">
        <v>45223</v>
      </c>
      <c r="I176" s="26" t="s">
        <v>54</v>
      </c>
      <c r="J176" s="92" t="s">
        <v>135</v>
      </c>
      <c r="K176" s="6" t="s">
        <v>334</v>
      </c>
      <c r="L176" s="2" t="s">
        <v>326</v>
      </c>
      <c r="M176" s="100" t="s">
        <v>328</v>
      </c>
      <c r="N176" s="2" t="s">
        <v>427</v>
      </c>
      <c r="O176" s="26" t="s">
        <v>563</v>
      </c>
      <c r="P176" s="26">
        <v>7850</v>
      </c>
      <c r="Q176" s="3" t="s">
        <v>427</v>
      </c>
      <c r="R176" s="3" t="s">
        <v>427</v>
      </c>
      <c r="S176" s="3" t="s">
        <v>427</v>
      </c>
      <c r="T176" s="112" t="s">
        <v>427</v>
      </c>
      <c r="U176" s="78">
        <f>SUM(Table2[[#This Row],[A1toA3_GWP]:[C1toC4_GWP]])</f>
        <v>1131.8399999999999</v>
      </c>
      <c r="V176" s="75">
        <v>1130</v>
      </c>
      <c r="W176" s="121">
        <v>1.84</v>
      </c>
      <c r="X176" s="78"/>
      <c r="Y176" s="78"/>
      <c r="Z176" s="198"/>
      <c r="AA176" s="84">
        <f ca="1">IF(OR($E176="Ecoinvent",$E176="Betonsortenrechner",$E176="KBOB",$U176&lt;=0,Table2[[#This Row],[VALID_TO]]&lt;=TODAY()),0,1)</f>
        <v>0</v>
      </c>
      <c r="AB176" s="154">
        <f ca="1">IF(Table2[[#This Row],[VALID_TO]]&gt;=TODAY(), 1, 0)</f>
        <v>0</v>
      </c>
      <c r="AC176" s="213" cm="1">
        <f t="array" aca="1" ref="AC176" ca="1">IF($AA176&lt;&gt;0,
IF(AND(
                         U176&gt;=_xlfn.PERCENTILE.INC(_xlfn._xlws.FILTER($U$2:$U$197, ($M$2:$M$197=M176)*($AA$2:$AA$197=1)),0.1),
                         U176&lt;=_xlfn.PERCENTILE.INC(_xlfn._xlws.FILTER($U$2:$U$197, ($M$2:$M$197=M176)*($AA$2:$AA$197=1)),0.9)
               ),1,0),
0)</f>
        <v>0</v>
      </c>
      <c r="AD176" s="131"/>
      <c r="AE176" s="142"/>
      <c r="AF176" s="142"/>
    </row>
    <row r="177" spans="1:32" x14ac:dyDescent="0.25">
      <c r="A177" s="177" t="s">
        <v>376</v>
      </c>
      <c r="B177" s="21" t="s">
        <v>540</v>
      </c>
      <c r="C177" s="225">
        <v>144</v>
      </c>
      <c r="D177" s="2" t="s">
        <v>146</v>
      </c>
      <c r="E177" s="3" t="s">
        <v>145</v>
      </c>
      <c r="F177" s="3"/>
      <c r="G177" s="32">
        <v>43455</v>
      </c>
      <c r="H177" s="32">
        <v>45280</v>
      </c>
      <c r="I177" s="26" t="s">
        <v>54</v>
      </c>
      <c r="J177" s="92" t="s">
        <v>147</v>
      </c>
      <c r="K177" s="6" t="s">
        <v>334</v>
      </c>
      <c r="L177" s="2" t="s">
        <v>326</v>
      </c>
      <c r="M177" s="100" t="s">
        <v>328</v>
      </c>
      <c r="N177" s="2" t="s">
        <v>427</v>
      </c>
      <c r="O177" s="26" t="s">
        <v>563</v>
      </c>
      <c r="P177" s="26">
        <v>7850</v>
      </c>
      <c r="Q177" s="3" t="s">
        <v>427</v>
      </c>
      <c r="R177" s="3" t="s">
        <v>427</v>
      </c>
      <c r="S177" s="3" t="s">
        <v>427</v>
      </c>
      <c r="T177" s="112" t="s">
        <v>427</v>
      </c>
      <c r="U177" s="78">
        <f>SUM(Table2[[#This Row],[A1toA3_GWP]:[C1toC4_GWP]])</f>
        <v>1322.21</v>
      </c>
      <c r="V177" s="75">
        <v>1320</v>
      </c>
      <c r="W177" s="121">
        <v>2.21</v>
      </c>
      <c r="X177" s="78"/>
      <c r="Y177" s="78"/>
      <c r="Z177" s="198"/>
      <c r="AA177" s="84">
        <f ca="1">IF(OR($E177="Ecoinvent",$E177="Betonsortenrechner",$E177="KBOB",$U177&lt;=0,Table2[[#This Row],[VALID_TO]]&lt;=TODAY()),0,1)</f>
        <v>0</v>
      </c>
      <c r="AB177" s="154">
        <f ca="1">IF(Table2[[#This Row],[VALID_TO]]&gt;=TODAY(), 1, 0)</f>
        <v>0</v>
      </c>
      <c r="AC177" s="213" cm="1">
        <f t="array" aca="1" ref="AC177" ca="1">IF($AA177&lt;&gt;0,
IF(AND(
                         U177&gt;=_xlfn.PERCENTILE.INC(_xlfn._xlws.FILTER($U$2:$U$197, ($M$2:$M$197=M177)*($AA$2:$AA$197=1)),0.1),
                         U177&lt;=_xlfn.PERCENTILE.INC(_xlfn._xlws.FILTER($U$2:$U$197, ($M$2:$M$197=M177)*($AA$2:$AA$197=1)),0.9)
               ),1,0),
0)</f>
        <v>0</v>
      </c>
      <c r="AD177" s="131"/>
      <c r="AE177" s="142"/>
      <c r="AF177" s="142"/>
    </row>
    <row r="178" spans="1:32" x14ac:dyDescent="0.25">
      <c r="A178" s="8" t="s">
        <v>256</v>
      </c>
      <c r="B178" s="21" t="s">
        <v>539</v>
      </c>
      <c r="C178" s="222">
        <v>97</v>
      </c>
      <c r="D178" s="2" t="s">
        <v>255</v>
      </c>
      <c r="E178" s="3" t="s">
        <v>108</v>
      </c>
      <c r="F178" s="3"/>
      <c r="G178" s="32">
        <v>44449</v>
      </c>
      <c r="H178" s="32">
        <v>46236</v>
      </c>
      <c r="I178" s="26" t="s">
        <v>249</v>
      </c>
      <c r="J178" s="92" t="s">
        <v>118</v>
      </c>
      <c r="K178" s="6" t="s">
        <v>505</v>
      </c>
      <c r="L178" s="2" t="s">
        <v>323</v>
      </c>
      <c r="M178" s="100" t="s">
        <v>509</v>
      </c>
      <c r="N178" s="2" t="s">
        <v>427</v>
      </c>
      <c r="O178" s="26" t="s">
        <v>552</v>
      </c>
      <c r="P178" s="26">
        <v>470</v>
      </c>
      <c r="Q178" s="3" t="s">
        <v>427</v>
      </c>
      <c r="R178" s="3" t="s">
        <v>427</v>
      </c>
      <c r="S178" s="3" t="s">
        <v>427</v>
      </c>
      <c r="T178" s="112" t="s">
        <v>427</v>
      </c>
      <c r="U178" s="78">
        <f>SUM(Table2[[#This Row],[A1toA3_GWP]:[C1toC4_GWP]])</f>
        <v>200.89361702127644</v>
      </c>
      <c r="V178" s="24">
        <f>-660/Table2[[#This Row],[DENSITY]]*1000</f>
        <v>-1404.2553191489362</v>
      </c>
      <c r="W178" s="121">
        <f>(1.42+753)/Table2[[#This Row],[DENSITY]]*1000</f>
        <v>1605.1489361702127</v>
      </c>
      <c r="X178" s="154">
        <f>SUM(Table2[[#This Row],[A1toA3_GWP-biogenic]:[C1toC4_GWP-biogenic]])</f>
        <v>-8.5141914893617923</v>
      </c>
      <c r="Y178" s="154">
        <f>(-754)/Table2[[#This Row],[DENSITY]]*1000</f>
        <v>-1604.2553191489362</v>
      </c>
      <c r="Z178" s="194">
        <f>(-1.67*10^-3+7.5*10^2)/Table2[[#This Row],[DENSITY]]*1000</f>
        <v>1595.7411276595744</v>
      </c>
      <c r="AA178" s="84">
        <f ca="1">IF(OR($E178="Ecoinvent",$E178="Betonsortenrechner",$E178="KBOB",$U178&lt;=0,Table2[[#This Row],[VALID_TO]]&lt;=TODAY()),0,1)</f>
        <v>1</v>
      </c>
      <c r="AB178" s="154">
        <f ca="1">IF(Table2[[#This Row],[VALID_TO]]&gt;=TODAY(), 1, 0)</f>
        <v>1</v>
      </c>
      <c r="AC178" s="213" cm="1">
        <f t="array" aca="1" ref="AC178" ca="1">IF($AA178&lt;&gt;0,
IF(AND(
                         U178&gt;=_xlfn.PERCENTILE.INC(_xlfn._xlws.FILTER($U$2:$U$197, ($L$2:$L$197=L178)*($AA$2:$AA$197=1)),0.1),
                         U178&lt;=_xlfn.PERCENTILE.INC(_xlfn._xlws.FILTER($U$2:$U$197, ($L$3:$L$198=L178)*($AA$2:$AA$197=1)),0.9)
               ),1,0),
0)</f>
        <v>1</v>
      </c>
      <c r="AD178" s="131"/>
      <c r="AE178" s="2"/>
      <c r="AF178" s="2"/>
    </row>
    <row r="179" spans="1:32" ht="15.75" thickBot="1" x14ac:dyDescent="0.3">
      <c r="A179" s="9" t="s">
        <v>256</v>
      </c>
      <c r="B179" s="36" t="s">
        <v>543</v>
      </c>
      <c r="C179" s="226">
        <v>100</v>
      </c>
      <c r="D179" s="4" t="s">
        <v>255</v>
      </c>
      <c r="E179" s="5" t="s">
        <v>108</v>
      </c>
      <c r="F179" s="5"/>
      <c r="G179" s="33">
        <v>44449</v>
      </c>
      <c r="H179" s="33">
        <v>46236</v>
      </c>
      <c r="I179" s="29" t="s">
        <v>249</v>
      </c>
      <c r="J179" s="95" t="s">
        <v>118</v>
      </c>
      <c r="K179" s="7" t="s">
        <v>505</v>
      </c>
      <c r="L179" s="4" t="s">
        <v>323</v>
      </c>
      <c r="M179" s="101" t="s">
        <v>509</v>
      </c>
      <c r="N179" s="4" t="s">
        <v>427</v>
      </c>
      <c r="O179" s="29" t="s">
        <v>555</v>
      </c>
      <c r="P179" s="29">
        <v>470</v>
      </c>
      <c r="Q179" s="5" t="s">
        <v>427</v>
      </c>
      <c r="R179" s="5" t="s">
        <v>427</v>
      </c>
      <c r="S179" s="5" t="s">
        <v>427</v>
      </c>
      <c r="T179" s="115" t="s">
        <v>427</v>
      </c>
      <c r="U179" s="80">
        <f>SUM(Table2[[#This Row],[A1toA3_GWP]:[C1toC4_GWP]])</f>
        <v>200.89361702127644</v>
      </c>
      <c r="V179" s="23">
        <f>-660/Table2[[#This Row],[DENSITY]]*1000</f>
        <v>-1404.2553191489362</v>
      </c>
      <c r="W179" s="125">
        <f>(1.42+753)/Table2[[#This Row],[DENSITY]]*1000</f>
        <v>1605.1489361702127</v>
      </c>
      <c r="X179" s="155">
        <f>SUM(Table2[[#This Row],[A1toA3_GWP-biogenic]:[C1toC4_GWP-biogenic]])</f>
        <v>-8.5141914893617923</v>
      </c>
      <c r="Y179" s="155">
        <f>(-754)/Table2[[#This Row],[DENSITY]]*1000</f>
        <v>-1604.2553191489362</v>
      </c>
      <c r="Z179" s="207">
        <f>(-1.67*10^-3+7.5*10^2)/Table2[[#This Row],[DENSITY]]*1000</f>
        <v>1595.7411276595744</v>
      </c>
      <c r="AA179" s="193">
        <f ca="1">IF(OR($E179="Ecoinvent",$E179="Betonsortenrechner",$E179="KBOB",$U179&lt;=0,Table2[[#This Row],[VALID_TO]]&lt;=TODAY()),0,1)</f>
        <v>1</v>
      </c>
      <c r="AB179" s="155">
        <f ca="1">IF(Table2[[#This Row],[VALID_TO]]&gt;=TODAY(), 1, 0)</f>
        <v>1</v>
      </c>
      <c r="AC179" s="215" cm="1">
        <f t="array" aca="1" ref="AC179" ca="1">IF($AA179&lt;&gt;0,
IF(AND(
                         U179&gt;=_xlfn.PERCENTILE.INC(_xlfn._xlws.FILTER($U$2:$U$197, ($L$2:$L$197=L179)*($AA$2:$AA$197=1)),0.1),
                         U179&lt;=_xlfn.PERCENTILE.INC(_xlfn._xlws.FILTER($U$2:$U$197, ($L$3:$L$198=L179)*($AA$2:$AA$197=1)),0.9)
               ),1,0),
0)</f>
        <v>1</v>
      </c>
      <c r="AD179" s="134"/>
      <c r="AE179" s="4"/>
      <c r="AF179" s="4"/>
    </row>
    <row r="180" spans="1:32" x14ac:dyDescent="0.25">
      <c r="A180" s="8" t="s">
        <v>573</v>
      </c>
      <c r="B180" s="21"/>
      <c r="C180" s="225">
        <v>56</v>
      </c>
      <c r="D180" s="6" t="s">
        <v>577</v>
      </c>
      <c r="E180" s="3" t="s">
        <v>575</v>
      </c>
      <c r="F180" s="3"/>
      <c r="G180" s="175">
        <v>45833</v>
      </c>
      <c r="H180" s="32">
        <v>47658</v>
      </c>
      <c r="I180" s="26" t="s">
        <v>53</v>
      </c>
      <c r="J180" s="92" t="s">
        <v>52</v>
      </c>
      <c r="K180" s="6" t="s">
        <v>333</v>
      </c>
      <c r="L180" s="2" t="s">
        <v>326</v>
      </c>
      <c r="M180" s="103" t="s">
        <v>327</v>
      </c>
      <c r="N180" s="2" t="s">
        <v>427</v>
      </c>
      <c r="O180" s="239" t="s">
        <v>578</v>
      </c>
      <c r="P180" s="26">
        <v>7850</v>
      </c>
      <c r="Q180" s="3" t="s">
        <v>427</v>
      </c>
      <c r="R180" s="3" t="s">
        <v>427</v>
      </c>
      <c r="S180" s="3" t="s">
        <v>427</v>
      </c>
      <c r="T180" s="112" t="s">
        <v>427</v>
      </c>
      <c r="U180" s="154">
        <f>SUM(Table2[[#This Row],[A1toA3_GWP]:[C1toC4_GWP]])</f>
        <v>3650.4090000000001</v>
      </c>
      <c r="V180" s="189">
        <v>3640</v>
      </c>
      <c r="W180" s="186">
        <f>0.445+7.5+0.114+2.35</f>
        <v>10.409000000000001</v>
      </c>
      <c r="X180" s="154"/>
      <c r="Y180" s="154"/>
      <c r="Z180" s="194"/>
      <c r="AA180" s="84">
        <f ca="1">IF(OR($E180="Ecoinvent",$E180="Betonsortenrechner",$E180="KBOB",$U180&lt;=0,Table2[[#This Row],[VALID_TO]]&lt;=TODAY()),0,1)</f>
        <v>1</v>
      </c>
      <c r="AB180" s="154">
        <f ca="1">IF(Table2[[#This Row],[VALID_TO]]&gt;=TODAY(), 1, 0)</f>
        <v>1</v>
      </c>
      <c r="AC180" s="213" cm="1">
        <f t="array" aca="1" ref="AC180" ca="1">IF($AA180&lt;&gt;0,
IF(AND(
                         U180&gt;=_xlfn.PERCENTILE.INC(_xlfn._xlws.FILTER($U$2:$U$197, ($M$2:$M$197=M180)*($AA$2:$AA$197=1)),0.1),
                         U180&lt;=_xlfn.PERCENTILE.INC(_xlfn._xlws.FILTER($U$2:$U$197, ($M$2:$M$197=M180)*($AA$2:$AA$197=1)),0.9)
               ),1,0),
0)</f>
        <v>0</v>
      </c>
      <c r="AD180" s="131"/>
      <c r="AE180" s="2"/>
      <c r="AF180" s="2"/>
    </row>
    <row r="181" spans="1:32" x14ac:dyDescent="0.25">
      <c r="A181" s="177" t="s">
        <v>572</v>
      </c>
      <c r="B181" s="178"/>
      <c r="C181" s="222">
        <v>55</v>
      </c>
      <c r="D181" s="182" t="s">
        <v>574</v>
      </c>
      <c r="E181" s="180" t="s">
        <v>575</v>
      </c>
      <c r="F181" s="180"/>
      <c r="G181" s="175">
        <v>45763</v>
      </c>
      <c r="H181" s="174">
        <v>47588</v>
      </c>
      <c r="I181" s="176" t="s">
        <v>53</v>
      </c>
      <c r="J181" s="92" t="s">
        <v>52</v>
      </c>
      <c r="K181" s="6" t="s">
        <v>333</v>
      </c>
      <c r="L181" s="179" t="s">
        <v>326</v>
      </c>
      <c r="M181" s="183" t="s">
        <v>327</v>
      </c>
      <c r="N181" s="179" t="s">
        <v>427</v>
      </c>
      <c r="O181" s="239" t="s">
        <v>576</v>
      </c>
      <c r="P181" s="176">
        <v>7850</v>
      </c>
      <c r="Q181" s="180" t="s">
        <v>427</v>
      </c>
      <c r="R181" s="180" t="s">
        <v>427</v>
      </c>
      <c r="S181" s="180" t="s">
        <v>427</v>
      </c>
      <c r="T181" s="184" t="s">
        <v>427</v>
      </c>
      <c r="U181" s="154">
        <f>SUM(Table2[[#This Row],[A1toA3_GWP]:[C1toC4_GWP]])</f>
        <v>572.36900000000003</v>
      </c>
      <c r="V181" s="189">
        <v>562</v>
      </c>
      <c r="W181" s="186">
        <f>0.445+7.5+0.114+2.31</f>
        <v>10.369000000000002</v>
      </c>
      <c r="X181" s="154"/>
      <c r="Y181" s="154"/>
      <c r="Z181" s="194"/>
      <c r="AA181" s="84">
        <f ca="1">IF(OR($E181="Ecoinvent",$E181="Betonsortenrechner",$E181="KBOB",$U181&lt;=0,Table2[[#This Row],[VALID_TO]]&lt;=TODAY()),0,1)</f>
        <v>1</v>
      </c>
      <c r="AB181" s="154">
        <f ca="1">IF(Table2[[#This Row],[VALID_TO]]&gt;=TODAY(), 1, 0)</f>
        <v>1</v>
      </c>
      <c r="AC181" s="213" cm="1">
        <f t="array" aca="1" ref="AC181" ca="1">IF($AA181&lt;&gt;0,
IF(AND(
                         U181&gt;=_xlfn.PERCENTILE.INC(_xlfn._xlws.FILTER($U$2:$U$197, ($M$2:$M$197=M181)*($AA$2:$AA$197=1)),0.1),
                         U181&lt;=_xlfn.PERCENTILE.INC(_xlfn._xlws.FILTER($U$2:$U$197, ($M$2:$M$197=M181)*($AA$2:$AA$197=1)),0.9)
               ),1,0),
0)</f>
        <v>1</v>
      </c>
      <c r="AD181" s="187"/>
      <c r="AE181" s="179"/>
      <c r="AF181" s="179"/>
    </row>
    <row r="182" spans="1:32" x14ac:dyDescent="0.25">
      <c r="F182" s="82"/>
    </row>
    <row r="1048509" spans="33:33" x14ac:dyDescent="0.25">
      <c r="AG1048509" s="68"/>
    </row>
    <row r="1048510" spans="33:33" x14ac:dyDescent="0.25">
      <c r="AG1048510" s="21"/>
    </row>
    <row r="1048511" spans="33:33" x14ac:dyDescent="0.25">
      <c r="AG1048511" s="21"/>
    </row>
    <row r="1048512" spans="33:33" x14ac:dyDescent="0.25">
      <c r="AG1048512" s="21"/>
    </row>
    <row r="1048513" spans="33:33" x14ac:dyDescent="0.25">
      <c r="AG1048513" s="21"/>
    </row>
    <row r="1048514" spans="33:33" x14ac:dyDescent="0.25">
      <c r="AG1048514" s="21"/>
    </row>
    <row r="1048515" spans="33:33" x14ac:dyDescent="0.25">
      <c r="AG1048515" s="21"/>
    </row>
    <row r="1048516" spans="33:33" x14ac:dyDescent="0.25">
      <c r="AG1048516" s="21"/>
    </row>
    <row r="1048517" spans="33:33" x14ac:dyDescent="0.25">
      <c r="AG1048517" s="137"/>
    </row>
    <row r="1048518" spans="33:33" x14ac:dyDescent="0.25">
      <c r="AG1048518" s="137"/>
    </row>
    <row r="1048519" spans="33:33" x14ac:dyDescent="0.25">
      <c r="AG1048519" s="137"/>
    </row>
    <row r="1048520" spans="33:33" x14ac:dyDescent="0.25">
      <c r="AG1048520" s="137"/>
    </row>
    <row r="1048521" spans="33:33" x14ac:dyDescent="0.25">
      <c r="AG1048521" s="137"/>
    </row>
    <row r="1048522" spans="33:33" x14ac:dyDescent="0.25">
      <c r="AG1048522" s="137"/>
    </row>
    <row r="1048523" spans="33:33" x14ac:dyDescent="0.25">
      <c r="AG1048523" s="21"/>
    </row>
  </sheetData>
  <phoneticPr fontId="2" type="noConversion"/>
  <conditionalFormatting sqref="AC2:AC23 AC31:AC37 AC58:AC71">
    <cfRule type="cellIs" dxfId="1" priority="1" operator="equal">
      <formula>1</formula>
    </cfRule>
  </conditionalFormatting>
  <conditionalFormatting sqref="AC182:AC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I13"/>
  <sheetViews>
    <sheetView tabSelected="1" workbookViewId="0">
      <selection activeCell="H17" sqref="H17"/>
    </sheetView>
  </sheetViews>
  <sheetFormatPr defaultColWidth="9.140625" defaultRowHeight="15" x14ac:dyDescent="0.25"/>
  <cols>
    <col min="1" max="1" width="14.85546875" bestFit="1" customWidth="1"/>
    <col min="2" max="2" width="11.140625" customWidth="1"/>
    <col min="3" max="3" width="27.28515625" bestFit="1" customWidth="1"/>
    <col min="4" max="5" width="27.28515625" customWidth="1"/>
    <col min="6" max="6" width="26.85546875" bestFit="1" customWidth="1"/>
    <col min="7" max="7" width="28.5703125" bestFit="1" customWidth="1"/>
    <col min="8" max="8" width="23.85546875" bestFit="1" customWidth="1"/>
    <col min="9" max="9" width="11.85546875" customWidth="1"/>
  </cols>
  <sheetData>
    <row r="1" spans="1:9" x14ac:dyDescent="0.25">
      <c r="A1" s="58" t="s">
        <v>415</v>
      </c>
      <c r="B1" s="58" t="s">
        <v>407</v>
      </c>
      <c r="C1" s="58" t="s">
        <v>408</v>
      </c>
      <c r="D1" s="58" t="s">
        <v>409</v>
      </c>
      <c r="E1" s="58" t="s">
        <v>410</v>
      </c>
      <c r="F1" s="58" t="s">
        <v>411</v>
      </c>
      <c r="G1" s="58" t="s">
        <v>412</v>
      </c>
      <c r="H1" s="58" t="s">
        <v>413</v>
      </c>
      <c r="I1" s="58" t="s">
        <v>414</v>
      </c>
    </row>
    <row r="2" spans="1:9" x14ac:dyDescent="0.25">
      <c r="A2" s="53">
        <v>1</v>
      </c>
      <c r="B2" s="53" t="s">
        <v>29</v>
      </c>
      <c r="C2" s="53">
        <v>20000000</v>
      </c>
      <c r="D2" s="53">
        <v>2300000</v>
      </c>
      <c r="E2" s="53"/>
      <c r="F2" s="53"/>
      <c r="G2" s="53">
        <v>30000000000</v>
      </c>
      <c r="H2" s="53">
        <v>25000</v>
      </c>
      <c r="I2" s="53"/>
    </row>
    <row r="3" spans="1:9" x14ac:dyDescent="0.25">
      <c r="A3" s="53">
        <v>2</v>
      </c>
      <c r="B3" s="53" t="s">
        <v>8</v>
      </c>
      <c r="C3" s="53">
        <v>25000000</v>
      </c>
      <c r="D3" s="53">
        <v>2600000</v>
      </c>
      <c r="E3" s="53"/>
      <c r="F3" s="53"/>
      <c r="G3" s="53">
        <v>32000000000</v>
      </c>
      <c r="H3" s="53">
        <v>25000</v>
      </c>
      <c r="I3" s="53"/>
    </row>
    <row r="4" spans="1:9" x14ac:dyDescent="0.25">
      <c r="A4" s="53">
        <v>3</v>
      </c>
      <c r="B4" s="53" t="s">
        <v>13</v>
      </c>
      <c r="C4" s="53">
        <v>25000000</v>
      </c>
      <c r="D4" s="53">
        <v>2900000</v>
      </c>
      <c r="E4" s="53"/>
      <c r="F4" s="53"/>
      <c r="G4" s="53">
        <v>34000000000</v>
      </c>
      <c r="H4" s="53">
        <v>25000</v>
      </c>
      <c r="I4" s="53"/>
    </row>
    <row r="5" spans="1:9" x14ac:dyDescent="0.25">
      <c r="A5" s="53">
        <v>4</v>
      </c>
      <c r="B5" s="53" t="s">
        <v>0</v>
      </c>
      <c r="C5" s="53">
        <v>500000000</v>
      </c>
      <c r="D5" s="53">
        <v>500000000</v>
      </c>
      <c r="E5" s="53"/>
      <c r="F5" s="53"/>
      <c r="G5" s="53">
        <v>205000000000</v>
      </c>
      <c r="H5" s="53"/>
      <c r="I5" s="53"/>
    </row>
    <row r="6" spans="1:9" x14ac:dyDescent="0.25">
      <c r="A6" s="53">
        <v>5</v>
      </c>
      <c r="B6" s="53" t="s">
        <v>1</v>
      </c>
      <c r="C6" s="53"/>
      <c r="D6" s="53"/>
      <c r="E6" s="53">
        <v>24000000</v>
      </c>
      <c r="F6" s="53">
        <v>1800000</v>
      </c>
      <c r="G6" s="53">
        <v>11500000000</v>
      </c>
      <c r="H6" s="53">
        <v>5000</v>
      </c>
      <c r="I6" s="53">
        <v>6.9999999999999999E-4</v>
      </c>
    </row>
    <row r="7" spans="1:9" x14ac:dyDescent="0.25">
      <c r="A7" s="53">
        <v>6</v>
      </c>
      <c r="B7" s="53" t="s">
        <v>406</v>
      </c>
      <c r="C7" s="53"/>
      <c r="D7" s="53"/>
      <c r="E7" s="53">
        <v>16000000</v>
      </c>
      <c r="F7" s="53">
        <v>1500000</v>
      </c>
      <c r="G7" s="53">
        <v>8000000000</v>
      </c>
      <c r="H7" s="53">
        <v>5000</v>
      </c>
      <c r="I7" s="53">
        <v>8.0000000000000004E-4</v>
      </c>
    </row>
    <row r="8" spans="1:9" x14ac:dyDescent="0.25">
      <c r="A8" s="59">
        <v>7</v>
      </c>
      <c r="B8" s="59" t="s">
        <v>119</v>
      </c>
      <c r="C8" s="59"/>
      <c r="D8" s="59"/>
      <c r="E8" s="59">
        <v>24000000</v>
      </c>
      <c r="F8" s="59">
        <v>1500000</v>
      </c>
      <c r="G8" s="59">
        <v>11000000000</v>
      </c>
      <c r="H8" s="59">
        <v>5000</v>
      </c>
      <c r="I8" s="59">
        <v>8.0000000000000004E-4</v>
      </c>
    </row>
    <row r="9" spans="1:9" x14ac:dyDescent="0.25">
      <c r="A9" s="59">
        <v>8</v>
      </c>
      <c r="B9" s="59" t="s">
        <v>542</v>
      </c>
      <c r="C9" s="59"/>
      <c r="D9" s="59"/>
      <c r="E9" s="59">
        <v>28000000</v>
      </c>
      <c r="F9" s="59">
        <v>1800000</v>
      </c>
      <c r="G9" s="59">
        <v>12500000000</v>
      </c>
      <c r="H9" s="59">
        <v>5000</v>
      </c>
      <c r="I9" s="59">
        <v>6.9999999999999999E-4</v>
      </c>
    </row>
    <row r="10" spans="1:9" x14ac:dyDescent="0.25">
      <c r="A10" s="59">
        <v>9</v>
      </c>
      <c r="B10" s="59" t="s">
        <v>558</v>
      </c>
      <c r="C10" s="59"/>
      <c r="D10" s="59"/>
      <c r="E10" s="53">
        <v>24000000</v>
      </c>
      <c r="F10" s="53">
        <v>1800000</v>
      </c>
      <c r="G10" s="53">
        <v>11000000000</v>
      </c>
      <c r="H10" s="53">
        <v>5000</v>
      </c>
      <c r="I10" s="53">
        <v>6.9999999999999999E-4</v>
      </c>
    </row>
    <row r="11" spans="1:9" x14ac:dyDescent="0.25">
      <c r="A11" s="59">
        <v>10</v>
      </c>
      <c r="B11" s="59" t="s">
        <v>585</v>
      </c>
      <c r="C11" s="59"/>
      <c r="D11" s="59"/>
      <c r="E11" s="59">
        <v>28000000</v>
      </c>
      <c r="F11" s="59">
        <v>1800000</v>
      </c>
      <c r="G11" s="59">
        <v>12600000000</v>
      </c>
      <c r="H11" s="59">
        <v>5000</v>
      </c>
      <c r="I11" s="59">
        <v>6.9999999999999999E-4</v>
      </c>
    </row>
    <row r="12" spans="1:9" x14ac:dyDescent="0.25">
      <c r="A12" s="59">
        <v>11</v>
      </c>
      <c r="B12" s="59" t="s">
        <v>586</v>
      </c>
      <c r="C12" s="59"/>
      <c r="D12" s="59"/>
      <c r="E12" s="59">
        <v>32000000</v>
      </c>
      <c r="F12" s="59">
        <v>1800000</v>
      </c>
      <c r="G12" s="59">
        <v>13500000000</v>
      </c>
      <c r="H12" s="59">
        <v>5000</v>
      </c>
      <c r="I12" s="59">
        <v>6.9999999999999999E-4</v>
      </c>
    </row>
    <row r="13" spans="1:9" x14ac:dyDescent="0.25">
      <c r="A13" s="59">
        <v>12</v>
      </c>
      <c r="B13" s="59" t="s">
        <v>587</v>
      </c>
      <c r="C13" s="59"/>
      <c r="D13" s="59"/>
      <c r="E13" s="59">
        <v>32000000</v>
      </c>
      <c r="F13" s="59">
        <v>1800000</v>
      </c>
      <c r="G13" s="59">
        <v>14200000000</v>
      </c>
      <c r="H13" s="59">
        <v>5000</v>
      </c>
      <c r="I13" s="59">
        <v>6.9999999999999999E-4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7"/>
  <sheetViews>
    <sheetView workbookViewId="0">
      <selection activeCell="I15" sqref="I15"/>
    </sheetView>
  </sheetViews>
  <sheetFormatPr defaultColWidth="10.7109375" defaultRowHeight="15" x14ac:dyDescent="0.25"/>
  <sheetData>
    <row r="1" spans="1:7" x14ac:dyDescent="0.25">
      <c r="A1" s="1" t="s">
        <v>9</v>
      </c>
      <c r="B1" s="1" t="s">
        <v>10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</row>
    <row r="2" spans="1:7" x14ac:dyDescent="0.25">
      <c r="A2" s="49"/>
      <c r="B2" s="49" t="s">
        <v>400</v>
      </c>
      <c r="C2" s="49">
        <v>1.0999999999999999E-2</v>
      </c>
      <c r="D2" s="49" t="s">
        <v>7</v>
      </c>
      <c r="E2" s="50">
        <f>6.1/C2</f>
        <v>554.5454545454545</v>
      </c>
      <c r="F2" s="51">
        <v>8000</v>
      </c>
      <c r="G2" s="52">
        <f>7.8/C2/(E2)</f>
        <v>1.278688524590164</v>
      </c>
    </row>
    <row r="3" spans="1:7" x14ac:dyDescent="0.25">
      <c r="A3" s="53"/>
      <c r="B3" s="53" t="s">
        <v>401</v>
      </c>
      <c r="C3" s="53">
        <v>8.5000000000000006E-2</v>
      </c>
      <c r="D3" s="54">
        <v>21000000000</v>
      </c>
      <c r="E3" s="53">
        <v>1850</v>
      </c>
      <c r="F3" s="55">
        <v>22000</v>
      </c>
      <c r="G3" s="56">
        <v>0.12</v>
      </c>
    </row>
    <row r="4" spans="1:7" x14ac:dyDescent="0.25">
      <c r="A4" s="49"/>
      <c r="B4" s="49" t="s">
        <v>402</v>
      </c>
      <c r="C4" s="49" t="s">
        <v>7</v>
      </c>
      <c r="D4" s="49" t="s">
        <v>7</v>
      </c>
      <c r="E4" s="50">
        <v>80</v>
      </c>
      <c r="F4" s="51">
        <v>800</v>
      </c>
      <c r="G4" s="52">
        <f>1.1</f>
        <v>1.1000000000000001</v>
      </c>
    </row>
    <row r="5" spans="1:7" x14ac:dyDescent="0.25">
      <c r="A5" s="53"/>
      <c r="B5" s="53" t="s">
        <v>403</v>
      </c>
      <c r="C5" s="53" t="s">
        <v>7</v>
      </c>
      <c r="D5" s="53" t="s">
        <v>7</v>
      </c>
      <c r="E5" s="53">
        <v>2000</v>
      </c>
      <c r="F5" s="55">
        <v>20000</v>
      </c>
      <c r="G5" s="53">
        <v>1.7999999999999999E-2</v>
      </c>
    </row>
    <row r="6" spans="1:7" x14ac:dyDescent="0.25">
      <c r="B6" t="s">
        <v>404</v>
      </c>
      <c r="C6" t="s">
        <v>7</v>
      </c>
      <c r="D6" t="s">
        <v>7</v>
      </c>
      <c r="E6">
        <v>38</v>
      </c>
      <c r="F6" s="57">
        <v>380</v>
      </c>
      <c r="G6">
        <v>0.81599999999999995</v>
      </c>
    </row>
    <row r="7" spans="1:7" x14ac:dyDescent="0.25">
      <c r="B7" t="s">
        <v>405</v>
      </c>
      <c r="C7" t="s">
        <v>7</v>
      </c>
      <c r="D7" t="s">
        <v>7</v>
      </c>
      <c r="E7">
        <v>1200</v>
      </c>
      <c r="F7" s="57">
        <v>12000</v>
      </c>
      <c r="G7">
        <v>0.55200000000000005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clarification</vt:lpstr>
      <vt:lpstr>products</vt:lpstr>
      <vt:lpstr>material_prop</vt:lpstr>
      <vt:lpstr>floor_struc_prop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Tena Galkovski</cp:lastModifiedBy>
  <dcterms:created xsi:type="dcterms:W3CDTF">2024-07-01T08:56:09Z</dcterms:created>
  <dcterms:modified xsi:type="dcterms:W3CDTF">2026-03-23T15:59:52Z</dcterms:modified>
</cp:coreProperties>
</file>