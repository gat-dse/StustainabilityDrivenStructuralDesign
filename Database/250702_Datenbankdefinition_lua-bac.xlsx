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T:\08_Diverses\14_PR_Sustainability\10_Projektbearbeitung\01_Datenbank\"/>
    </mc:Choice>
  </mc:AlternateContent>
  <xr:revisionPtr revIDLastSave="0" documentId="13_ncr:1_{D5359100-86D2-4083-828F-B9D412A65B15}" xr6:coauthVersionLast="47" xr6:coauthVersionMax="47" xr10:uidLastSave="{00000000-0000-0000-0000-000000000000}"/>
  <bookViews>
    <workbookView xWindow="32850" yWindow="-135" windowWidth="15420" windowHeight="15060" xr2:uid="{58B6788A-438B-478E-898A-D53025B55ED1}"/>
  </bookViews>
  <sheets>
    <sheet name="products" sheetId="1" r:id="rId1"/>
    <sheet name="material_prop" sheetId="2" r:id="rId2"/>
    <sheet name="floor_struc_prop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103" i="1" l="1"/>
  <c r="T103" i="1"/>
  <c r="S50" i="1"/>
  <c r="S49" i="1"/>
  <c r="S36" i="1"/>
  <c r="S35" i="1"/>
  <c r="S34" i="1"/>
  <c r="S33" i="1"/>
  <c r="S32" i="1"/>
  <c r="S31" i="1"/>
  <c r="T30" i="1"/>
  <c r="U119" i="1"/>
  <c r="S119" i="1" s="1"/>
  <c r="V119" i="1" s="1"/>
  <c r="U121" i="1"/>
  <c r="T121" i="1"/>
  <c r="S121" i="1" s="1"/>
  <c r="V121" i="1" s="1"/>
  <c r="U120" i="1"/>
  <c r="S120" i="1" s="1"/>
  <c r="V120" i="1" s="1"/>
  <c r="U118" i="1"/>
  <c r="S118" i="1" s="1"/>
  <c r="U117" i="1"/>
  <c r="S117" i="1" s="1"/>
  <c r="V117" i="1" s="1"/>
  <c r="U116" i="1"/>
  <c r="S116" i="1" s="1"/>
  <c r="V116" i="1" s="1"/>
  <c r="U115" i="1"/>
  <c r="S115" i="1" s="1"/>
  <c r="V115" i="1" s="1"/>
  <c r="U114" i="1"/>
  <c r="T114" i="1"/>
  <c r="S113" i="1"/>
  <c r="V113" i="1" s="1"/>
  <c r="S112" i="1"/>
  <c r="V112" i="1" s="1"/>
  <c r="U111" i="1"/>
  <c r="T111" i="1"/>
  <c r="T104" i="1"/>
  <c r="S114" i="1" l="1"/>
  <c r="V114" i="1" s="1"/>
  <c r="S103" i="1"/>
  <c r="V103" i="1" s="1"/>
  <c r="S111" i="1"/>
  <c r="V111" i="1" s="1"/>
  <c r="U93" i="1"/>
  <c r="T75" i="1"/>
  <c r="T90" i="1"/>
  <c r="S90" i="1" s="1"/>
  <c r="U102" i="1"/>
  <c r="U101" i="1"/>
  <c r="T101" i="1"/>
  <c r="G4" i="4"/>
  <c r="E2" i="4"/>
  <c r="G2" i="4" s="1"/>
  <c r="V7" i="1"/>
  <c r="W7" i="1" s="1" a="1"/>
  <c r="W7" i="1" s="1"/>
  <c r="V8" i="1"/>
  <c r="W8" i="1" s="1" a="1"/>
  <c r="W8" i="1" s="1"/>
  <c r="V9" i="1"/>
  <c r="W9" i="1" s="1" a="1"/>
  <c r="W9" i="1" s="1"/>
  <c r="V10" i="1"/>
  <c r="W10" i="1" s="1" a="1"/>
  <c r="W10" i="1" s="1"/>
  <c r="V11" i="1"/>
  <c r="W11" i="1" s="1" a="1"/>
  <c r="W11" i="1" s="1"/>
  <c r="V38" i="1"/>
  <c r="W38" i="1" s="1" a="1"/>
  <c r="W38" i="1" s="1"/>
  <c r="V62" i="1"/>
  <c r="W62" i="1" s="1" a="1"/>
  <c r="W62" i="1" s="1"/>
  <c r="V63" i="1"/>
  <c r="W63" i="1" s="1" a="1"/>
  <c r="W63" i="1" s="1"/>
  <c r="V64" i="1"/>
  <c r="W64" i="1" s="1" a="1"/>
  <c r="W64" i="1" s="1"/>
  <c r="V65" i="1"/>
  <c r="W65" i="1" s="1" a="1"/>
  <c r="W65" i="1" s="1"/>
  <c r="V66" i="1"/>
  <c r="W66" i="1" s="1" a="1"/>
  <c r="W66" i="1" s="1"/>
  <c r="S37" i="1"/>
  <c r="V37" i="1" s="1"/>
  <c r="U77" i="1"/>
  <c r="U19" i="1"/>
  <c r="U20" i="1"/>
  <c r="U21" i="1"/>
  <c r="U22" i="1"/>
  <c r="U23" i="1"/>
  <c r="T102" i="1"/>
  <c r="U100" i="1"/>
  <c r="T100" i="1"/>
  <c r="U99" i="1"/>
  <c r="T99" i="1"/>
  <c r="U98" i="1"/>
  <c r="T98" i="1"/>
  <c r="U97" i="1"/>
  <c r="T97" i="1"/>
  <c r="U96" i="1"/>
  <c r="T96" i="1"/>
  <c r="U95" i="1"/>
  <c r="T95" i="1"/>
  <c r="U94" i="1"/>
  <c r="T94" i="1"/>
  <c r="T93" i="1"/>
  <c r="U92" i="1"/>
  <c r="T92" i="1"/>
  <c r="U91" i="1"/>
  <c r="T91" i="1"/>
  <c r="U89" i="1"/>
  <c r="T89" i="1"/>
  <c r="U88" i="1"/>
  <c r="T88" i="1"/>
  <c r="T87" i="1"/>
  <c r="S87" i="1" s="1"/>
  <c r="V87" i="1" s="1"/>
  <c r="U86" i="1"/>
  <c r="T86" i="1"/>
  <c r="U85" i="1"/>
  <c r="T85" i="1"/>
  <c r="U84" i="1"/>
  <c r="T84" i="1"/>
  <c r="U83" i="1"/>
  <c r="T83" i="1"/>
  <c r="U82" i="1"/>
  <c r="T82" i="1"/>
  <c r="U81" i="1"/>
  <c r="T81" i="1"/>
  <c r="U80" i="1"/>
  <c r="T80" i="1"/>
  <c r="T79" i="1"/>
  <c r="U79" i="1"/>
  <c r="T55" i="1"/>
  <c r="N132" i="1"/>
  <c r="U132" i="1" s="1"/>
  <c r="N131" i="1"/>
  <c r="T131" i="1" s="1"/>
  <c r="U127" i="1"/>
  <c r="T127" i="1"/>
  <c r="U129" i="1"/>
  <c r="S129" i="1" s="1"/>
  <c r="V129" i="1" s="1"/>
  <c r="U130" i="1"/>
  <c r="S130" i="1" s="1"/>
  <c r="V130" i="1" s="1"/>
  <c r="T128" i="1"/>
  <c r="S128" i="1" s="1"/>
  <c r="V128" i="1" s="1"/>
  <c r="U122" i="1"/>
  <c r="S122" i="1" s="1"/>
  <c r="V122" i="1" s="1"/>
  <c r="U123" i="1"/>
  <c r="S123" i="1" s="1"/>
  <c r="U126" i="1"/>
  <c r="T126" i="1"/>
  <c r="U125" i="1"/>
  <c r="T125" i="1"/>
  <c r="T124" i="1"/>
  <c r="S124" i="1" s="1"/>
  <c r="V124" i="1" s="1"/>
  <c r="S105" i="1"/>
  <c r="V105" i="1" s="1"/>
  <c r="S110" i="1"/>
  <c r="V110" i="1" s="1"/>
  <c r="T2" i="1"/>
  <c r="S2" i="1" s="1"/>
  <c r="V2" i="1" s="1"/>
  <c r="T61" i="1"/>
  <c r="S61" i="1" s="1"/>
  <c r="V61" i="1" s="1"/>
  <c r="W61" i="1" s="1" a="1"/>
  <c r="W61" i="1" s="1"/>
  <c r="T60" i="1"/>
  <c r="S60" i="1" s="1"/>
  <c r="T59" i="1"/>
  <c r="S59" i="1" s="1"/>
  <c r="T58" i="1"/>
  <c r="S58" i="1" s="1"/>
  <c r="T57" i="1"/>
  <c r="S57" i="1" s="1"/>
  <c r="T56" i="1"/>
  <c r="S56" i="1" s="1"/>
  <c r="V56" i="1" s="1"/>
  <c r="W56" i="1" s="1" a="1"/>
  <c r="W56" i="1" s="1"/>
  <c r="T70" i="1"/>
  <c r="U109" i="1"/>
  <c r="S109" i="1" s="1"/>
  <c r="U108" i="1"/>
  <c r="S108" i="1" s="1"/>
  <c r="U107" i="1"/>
  <c r="S107" i="1" s="1"/>
  <c r="T106" i="1"/>
  <c r="S106" i="1" s="1"/>
  <c r="V106" i="1" s="1"/>
  <c r="U104" i="1"/>
  <c r="T23" i="1"/>
  <c r="T22" i="1"/>
  <c r="T21" i="1"/>
  <c r="T20" i="1"/>
  <c r="T19" i="1"/>
  <c r="U18" i="1"/>
  <c r="U17" i="1"/>
  <c r="T17" i="1"/>
  <c r="U16" i="1"/>
  <c r="T16" i="1"/>
  <c r="U15" i="1"/>
  <c r="T15" i="1"/>
  <c r="U14" i="1"/>
  <c r="U13" i="1"/>
  <c r="T6" i="1"/>
  <c r="S6" i="1" s="1"/>
  <c r="T5" i="1"/>
  <c r="S5" i="1" s="1"/>
  <c r="T4" i="1"/>
  <c r="S4" i="1" s="1"/>
  <c r="T3" i="1"/>
  <c r="S3" i="1" s="1"/>
  <c r="U78" i="1"/>
  <c r="T78" i="1"/>
  <c r="T77" i="1"/>
  <c r="U69" i="1"/>
  <c r="T69" i="1"/>
  <c r="U76" i="1"/>
  <c r="T76" i="1"/>
  <c r="T67" i="1"/>
  <c r="U75" i="1"/>
  <c r="U74" i="1"/>
  <c r="T74" i="1"/>
  <c r="U73" i="1"/>
  <c r="T73" i="1"/>
  <c r="U72" i="1"/>
  <c r="T72" i="1"/>
  <c r="U71" i="1"/>
  <c r="T71" i="1"/>
  <c r="W2" i="1" l="1" a="1"/>
  <c r="W2" i="1" s="1"/>
  <c r="S97" i="1"/>
  <c r="V109" i="1"/>
  <c r="V108" i="1"/>
  <c r="V90" i="1"/>
  <c r="W90" i="1" s="1" a="1"/>
  <c r="W90" i="1" s="1"/>
  <c r="V107" i="1"/>
  <c r="V123" i="1"/>
  <c r="V60" i="1"/>
  <c r="W60" i="1" s="1" a="1"/>
  <c r="W60" i="1" s="1"/>
  <c r="V6" i="1"/>
  <c r="W6" i="1" s="1" a="1"/>
  <c r="W6" i="1" s="1"/>
  <c r="V59" i="1"/>
  <c r="W59" i="1" s="1" a="1"/>
  <c r="W59" i="1" s="1"/>
  <c r="V5" i="1"/>
  <c r="W5" i="1" s="1" a="1"/>
  <c r="W5" i="1" s="1"/>
  <c r="V58" i="1"/>
  <c r="W58" i="1" s="1" a="1"/>
  <c r="W58" i="1" s="1"/>
  <c r="V4" i="1"/>
  <c r="W4" i="1" s="1" a="1"/>
  <c r="W4" i="1" s="1"/>
  <c r="V57" i="1"/>
  <c r="W57" i="1" s="1" a="1"/>
  <c r="W57" i="1" s="1"/>
  <c r="V3" i="1"/>
  <c r="S15" i="1"/>
  <c r="S23" i="1"/>
  <c r="S20" i="1"/>
  <c r="S127" i="1"/>
  <c r="S21" i="1"/>
  <c r="S22" i="1"/>
  <c r="S16" i="1"/>
  <c r="S95" i="1"/>
  <c r="S101" i="1"/>
  <c r="S19" i="1"/>
  <c r="S17" i="1"/>
  <c r="S96" i="1"/>
  <c r="S99" i="1"/>
  <c r="S102" i="1"/>
  <c r="S100" i="1"/>
  <c r="S92" i="1"/>
  <c r="S98" i="1"/>
  <c r="S81" i="1"/>
  <c r="S93" i="1"/>
  <c r="S94" i="1"/>
  <c r="S89" i="1"/>
  <c r="S91" i="1"/>
  <c r="S80" i="1"/>
  <c r="S88" i="1"/>
  <c r="S86" i="1"/>
  <c r="S84" i="1"/>
  <c r="S85" i="1"/>
  <c r="S83" i="1"/>
  <c r="S79" i="1"/>
  <c r="S82" i="1"/>
  <c r="U131" i="1"/>
  <c r="S131" i="1" s="1"/>
  <c r="T132" i="1"/>
  <c r="S132" i="1" s="1"/>
  <c r="S125" i="1"/>
  <c r="S104" i="1"/>
  <c r="S126" i="1"/>
  <c r="S74" i="1"/>
  <c r="S78" i="1"/>
  <c r="S77" i="1"/>
  <c r="S76" i="1"/>
  <c r="S69" i="1"/>
  <c r="S71" i="1"/>
  <c r="S73" i="1"/>
  <c r="S72" i="1"/>
  <c r="S75" i="1"/>
  <c r="U67" i="1"/>
  <c r="S67" i="1" s="1"/>
  <c r="U70" i="1"/>
  <c r="U68" i="1"/>
  <c r="T68" i="1"/>
  <c r="T27" i="1"/>
  <c r="U62" i="1"/>
  <c r="U30" i="1"/>
  <c r="U29" i="1"/>
  <c r="T29" i="1"/>
  <c r="U28" i="1"/>
  <c r="T28" i="1"/>
  <c r="U27" i="1"/>
  <c r="U26" i="1"/>
  <c r="T26" i="1"/>
  <c r="U24" i="1"/>
  <c r="T24" i="1"/>
  <c r="U25" i="1"/>
  <c r="T25" i="1"/>
  <c r="U54" i="1"/>
  <c r="S54" i="1" s="1"/>
  <c r="U53" i="1"/>
  <c r="S53" i="1" s="1"/>
  <c r="U52" i="1"/>
  <c r="T52" i="1"/>
  <c r="U51" i="1"/>
  <c r="T51" i="1"/>
  <c r="U50" i="1"/>
  <c r="T50" i="1"/>
  <c r="U49" i="1"/>
  <c r="T49" i="1"/>
  <c r="U48" i="1"/>
  <c r="S48" i="1" s="1"/>
  <c r="U46" i="1"/>
  <c r="S46" i="1" s="1"/>
  <c r="U47" i="1"/>
  <c r="S47" i="1" s="1"/>
  <c r="T39" i="1"/>
  <c r="U45" i="1"/>
  <c r="T45" i="1"/>
  <c r="U44" i="1"/>
  <c r="T44" i="1"/>
  <c r="U43" i="1"/>
  <c r="S43" i="1" s="1"/>
  <c r="U42" i="1"/>
  <c r="T42" i="1"/>
  <c r="U41" i="1"/>
  <c r="S55" i="1" s="1"/>
  <c r="T41" i="1"/>
  <c r="U40" i="1"/>
  <c r="S40" i="1" s="1"/>
  <c r="U39" i="1"/>
  <c r="T12" i="1"/>
  <c r="S12" i="1" s="1"/>
  <c r="T18" i="1"/>
  <c r="S18" i="1" s="1"/>
  <c r="T14" i="1"/>
  <c r="S14" i="1" s="1"/>
  <c r="T13" i="1"/>
  <c r="S13" i="1" s="1"/>
  <c r="W3" i="1" l="1" a="1"/>
  <c r="W3" i="1" s="1"/>
  <c r="V99" i="1"/>
  <c r="V80" i="1"/>
  <c r="W80" i="1" s="1" a="1"/>
  <c r="W80" i="1" s="1"/>
  <c r="V96" i="1"/>
  <c r="W96" i="1" s="1" a="1"/>
  <c r="W96" i="1" s="1"/>
  <c r="V91" i="1"/>
  <c r="V72" i="1"/>
  <c r="V131" i="1"/>
  <c r="V93" i="1"/>
  <c r="V95" i="1"/>
  <c r="V126" i="1"/>
  <c r="V132" i="1"/>
  <c r="V101" i="1"/>
  <c r="V83" i="1"/>
  <c r="V125" i="1"/>
  <c r="V74" i="1"/>
  <c r="V88" i="1"/>
  <c r="V43" i="1"/>
  <c r="V67" i="1"/>
  <c r="V89" i="1"/>
  <c r="V75" i="1"/>
  <c r="V94" i="1"/>
  <c r="V73" i="1"/>
  <c r="V82" i="1"/>
  <c r="V97" i="1"/>
  <c r="V53" i="1"/>
  <c r="V71" i="1"/>
  <c r="V79" i="1"/>
  <c r="V81" i="1"/>
  <c r="V47" i="1"/>
  <c r="V54" i="1"/>
  <c r="V69" i="1"/>
  <c r="V98" i="1"/>
  <c r="V40" i="1"/>
  <c r="V46" i="1"/>
  <c r="V76" i="1"/>
  <c r="V85" i="1"/>
  <c r="V92" i="1"/>
  <c r="V127" i="1"/>
  <c r="V48" i="1"/>
  <c r="V84" i="1"/>
  <c r="V100" i="1"/>
  <c r="V78" i="1"/>
  <c r="V86" i="1"/>
  <c r="V102" i="1"/>
  <c r="V104" i="1"/>
  <c r="W104" i="1" s="1" a="1"/>
  <c r="W104" i="1" s="1"/>
  <c r="V55" i="1"/>
  <c r="V14" i="1"/>
  <c r="W14" i="1" s="1" a="1"/>
  <c r="W14" i="1" s="1"/>
  <c r="V18" i="1"/>
  <c r="W18" i="1" s="1" a="1"/>
  <c r="W18" i="1" s="1"/>
  <c r="V16" i="1"/>
  <c r="W16" i="1" s="1" a="1"/>
  <c r="W16" i="1" s="1"/>
  <c r="V12" i="1"/>
  <c r="V22" i="1"/>
  <c r="W22" i="1" s="1" a="1"/>
  <c r="W22" i="1" s="1"/>
  <c r="V21" i="1"/>
  <c r="W21" i="1" s="1" a="1"/>
  <c r="W21" i="1" s="1"/>
  <c r="V20" i="1"/>
  <c r="W20" i="1" s="1" a="1"/>
  <c r="W20" i="1" s="1"/>
  <c r="V23" i="1"/>
  <c r="W23" i="1" s="1" a="1"/>
  <c r="W23" i="1" s="1"/>
  <c r="V15" i="1"/>
  <c r="W15" i="1" s="1" a="1"/>
  <c r="W15" i="1" s="1"/>
  <c r="V17" i="1"/>
  <c r="W17" i="1" s="1" a="1"/>
  <c r="W17" i="1" s="1"/>
  <c r="V19" i="1"/>
  <c r="W19" i="1" s="1" a="1"/>
  <c r="W19" i="1" s="1"/>
  <c r="V13" i="1"/>
  <c r="W13" i="1" s="1" a="1"/>
  <c r="W13" i="1" s="1"/>
  <c r="S24" i="1"/>
  <c r="S29" i="1"/>
  <c r="S30" i="1"/>
  <c r="S28" i="1"/>
  <c r="S26" i="1"/>
  <c r="S27" i="1"/>
  <c r="S25" i="1"/>
  <c r="S42" i="1"/>
  <c r="S45" i="1"/>
  <c r="S52" i="1"/>
  <c r="S44" i="1"/>
  <c r="S51" i="1"/>
  <c r="S39" i="1"/>
  <c r="S41" i="1"/>
  <c r="S70" i="1"/>
  <c r="S68" i="1"/>
  <c r="W12" i="1" l="1" a="1"/>
  <c r="W12" i="1" s="1"/>
  <c r="V45" i="1"/>
  <c r="V42" i="1"/>
  <c r="V44" i="1"/>
  <c r="V39" i="1"/>
  <c r="V24" i="1"/>
  <c r="V51" i="1"/>
  <c r="V25" i="1"/>
  <c r="V70" i="1"/>
  <c r="V52" i="1"/>
  <c r="V68" i="1"/>
  <c r="V27" i="1"/>
  <c r="V26" i="1"/>
  <c r="V41" i="1"/>
  <c r="V28" i="1"/>
  <c r="V50" i="1"/>
  <c r="V30" i="1"/>
  <c r="V49" i="1"/>
  <c r="V29" i="1"/>
  <c r="W24" i="1" l="1" a="1"/>
  <c r="W24" i="1" s="1"/>
  <c r="W35" i="1" a="1"/>
  <c r="W35" i="1" s="1"/>
  <c r="W36" i="1" a="1"/>
  <c r="W36" i="1" s="1"/>
  <c r="W37" i="1" a="1"/>
  <c r="W37" i="1" s="1"/>
  <c r="W34" i="1" a="1"/>
  <c r="W34" i="1" s="1"/>
  <c r="W33" i="1" a="1"/>
  <c r="W33" i="1" s="1"/>
  <c r="W31" i="1" a="1"/>
  <c r="W31" i="1" s="1"/>
  <c r="W32" i="1" a="1"/>
  <c r="W32" i="1" s="1"/>
  <c r="W120" i="1" a="1"/>
  <c r="W120" i="1" s="1"/>
  <c r="W121" i="1" a="1"/>
  <c r="W121" i="1" s="1"/>
  <c r="W119" i="1" a="1"/>
  <c r="W119" i="1" s="1"/>
  <c r="W103" i="1" a="1"/>
  <c r="W103" i="1" s="1"/>
  <c r="W118" i="1" a="1"/>
  <c r="W118" i="1" s="1"/>
  <c r="W117" i="1" a="1"/>
  <c r="W117" i="1" s="1"/>
  <c r="W115" i="1" a="1"/>
  <c r="W115" i="1" s="1"/>
  <c r="W116" i="1" a="1"/>
  <c r="W116" i="1" s="1"/>
  <c r="W114" i="1" a="1"/>
  <c r="W114" i="1" s="1"/>
  <c r="W112" i="1" a="1"/>
  <c r="W112" i="1" s="1"/>
  <c r="W113" i="1" a="1"/>
  <c r="W113" i="1" s="1"/>
  <c r="W111" i="1" a="1"/>
  <c r="W111" i="1" s="1"/>
  <c r="W86" i="1" a="1"/>
  <c r="W86" i="1" s="1"/>
  <c r="W88" i="1" a="1"/>
  <c r="W88" i="1" s="1"/>
  <c r="W77" i="1" a="1"/>
  <c r="W77" i="1" s="1"/>
  <c r="W83" i="1" a="1"/>
  <c r="W83" i="1" s="1"/>
  <c r="W75" i="1" a="1"/>
  <c r="W75" i="1" s="1"/>
  <c r="W92" i="1" a="1"/>
  <c r="W92" i="1" s="1"/>
  <c r="W89" i="1" a="1"/>
  <c r="W89" i="1" s="1"/>
  <c r="W81" i="1" a="1"/>
  <c r="W81" i="1" s="1"/>
  <c r="W82" i="1" a="1"/>
  <c r="W82" i="1" s="1"/>
  <c r="W99" i="1" a="1"/>
  <c r="W99" i="1" s="1"/>
  <c r="W72" i="1" a="1"/>
  <c r="W72" i="1" s="1"/>
  <c r="W70" i="1" a="1"/>
  <c r="W70" i="1" s="1"/>
  <c r="W101" i="1" a="1"/>
  <c r="W101" i="1" s="1"/>
  <c r="W71" i="1" a="1"/>
  <c r="W71" i="1" s="1"/>
  <c r="W67" i="1" a="1"/>
  <c r="W67" i="1" s="1"/>
  <c r="W93" i="1" a="1"/>
  <c r="W93" i="1" s="1"/>
  <c r="W85" i="1" a="1"/>
  <c r="W85" i="1" s="1"/>
  <c r="W74" i="1" a="1"/>
  <c r="W74" i="1" s="1"/>
  <c r="W45" i="1" a="1"/>
  <c r="W45" i="1" s="1"/>
  <c r="W91" i="1" a="1"/>
  <c r="W91" i="1" s="1"/>
  <c r="W79" i="1" a="1"/>
  <c r="W79" i="1" s="1"/>
  <c r="W69" i="1" a="1"/>
  <c r="W69" i="1" s="1"/>
  <c r="W68" i="1" a="1"/>
  <c r="W68" i="1" s="1"/>
  <c r="W100" i="1" a="1"/>
  <c r="W100" i="1" s="1"/>
  <c r="W84" i="1" a="1"/>
  <c r="W84" i="1" s="1"/>
  <c r="W78" i="1" a="1"/>
  <c r="W78" i="1" s="1"/>
  <c r="W94" i="1" a="1"/>
  <c r="W94" i="1" s="1"/>
  <c r="W97" i="1" a="1"/>
  <c r="W97" i="1" s="1"/>
  <c r="W95" i="1" a="1"/>
  <c r="W95" i="1" s="1"/>
  <c r="W98" i="1" a="1"/>
  <c r="W98" i="1" s="1"/>
  <c r="W102" i="1" a="1"/>
  <c r="W102" i="1" s="1"/>
  <c r="W28" i="1" a="1"/>
  <c r="W28" i="1" s="1"/>
  <c r="W73" i="1" a="1"/>
  <c r="W73" i="1" s="1"/>
  <c r="W76" i="1" a="1"/>
  <c r="W76" i="1" s="1"/>
  <c r="W87" i="1" a="1"/>
  <c r="W87" i="1" s="1"/>
  <c r="W55" i="1" a="1"/>
  <c r="W55" i="1" s="1"/>
  <c r="W109" i="1" a="1"/>
  <c r="W109" i="1" s="1"/>
  <c r="W132" i="1" a="1"/>
  <c r="W132" i="1" s="1"/>
  <c r="W110" i="1" a="1"/>
  <c r="W110" i="1" s="1"/>
  <c r="W44" i="1" a="1"/>
  <c r="W44" i="1" s="1"/>
  <c r="W26" i="1" a="1"/>
  <c r="W26" i="1" s="1"/>
  <c r="W127" i="1" a="1"/>
  <c r="W127" i="1" s="1"/>
  <c r="W43" i="1" a="1"/>
  <c r="W43" i="1" s="1"/>
  <c r="W128" i="1" a="1"/>
  <c r="W128" i="1" s="1"/>
  <c r="W41" i="1" a="1"/>
  <c r="W41" i="1" s="1"/>
  <c r="W46" i="1" a="1"/>
  <c r="W46" i="1" s="1"/>
  <c r="W131" i="1" a="1"/>
  <c r="W131" i="1" s="1"/>
  <c r="W107" i="1" a="1"/>
  <c r="W107" i="1" s="1"/>
  <c r="W129" i="1" a="1"/>
  <c r="W129" i="1" s="1"/>
  <c r="W53" i="1" a="1"/>
  <c r="W53" i="1" s="1"/>
  <c r="W27" i="1" a="1"/>
  <c r="W27" i="1" s="1"/>
  <c r="W105" i="1" a="1"/>
  <c r="W105" i="1" s="1"/>
  <c r="W25" i="1" a="1"/>
  <c r="W25" i="1" s="1"/>
  <c r="W54" i="1" a="1"/>
  <c r="W54" i="1" s="1"/>
  <c r="W49" i="1" a="1"/>
  <c r="W49" i="1" s="1"/>
  <c r="W47" i="1" a="1"/>
  <c r="W47" i="1" s="1"/>
  <c r="W42" i="1" a="1"/>
  <c r="W42" i="1" s="1"/>
  <c r="W29" i="1" a="1"/>
  <c r="W29" i="1" s="1"/>
  <c r="W52" i="1" a="1"/>
  <c r="W52" i="1" s="1"/>
  <c r="W130" i="1" a="1"/>
  <c r="W130" i="1" s="1"/>
  <c r="W126" i="1" a="1"/>
  <c r="W126" i="1" s="1"/>
  <c r="W122" i="1" a="1"/>
  <c r="W122" i="1" s="1"/>
  <c r="W50" i="1" a="1"/>
  <c r="W50" i="1" s="1"/>
  <c r="W39" i="1" a="1"/>
  <c r="W39" i="1" s="1"/>
  <c r="W124" i="1" a="1"/>
  <c r="W124" i="1" s="1"/>
  <c r="W51" i="1" a="1"/>
  <c r="W51" i="1" s="1"/>
  <c r="W125" i="1" a="1"/>
  <c r="W125" i="1" s="1"/>
  <c r="W106" i="1" a="1"/>
  <c r="W106" i="1" s="1"/>
  <c r="W123" i="1" a="1"/>
  <c r="W123" i="1" s="1"/>
  <c r="W30" i="1" a="1"/>
  <c r="W30" i="1" s="1"/>
  <c r="W48" i="1" a="1"/>
  <c r="W48" i="1" s="1"/>
  <c r="W108" i="1" a="1"/>
  <c r="W108" i="1" s="1"/>
  <c r="W40" i="1" a="1"/>
  <c r="W4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Buss  Christian</author>
  </authors>
  <commentList>
    <comment ref="G1" authorId="0" shapeId="0" xr:uid="{040EB4E1-88A8-418C-B4D6-D4214F7ED5FE}">
      <text>
        <r>
          <rPr>
            <b/>
            <sz val="9"/>
            <color indexed="81"/>
            <rFont val="Tahoma"/>
            <charset val="1"/>
          </rPr>
          <t>Buss  Christian:</t>
        </r>
        <r>
          <rPr>
            <sz val="9"/>
            <color indexed="81"/>
            <rFont val="Tahoma"/>
            <charset val="1"/>
          </rPr>
          <t xml:space="preserve">
Anpassen auf kg/kg um der eigenen Konvention für einheitliche Einheiten zu entsprechen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<sst xmlns="http://schemas.openxmlformats.org/spreadsheetml/2006/main" count="1857" uniqueCount="505">
  <si>
    <t>B500B</t>
  </si>
  <si>
    <t>GL24h</t>
  </si>
  <si>
    <t>CEM II/B CH-Mix</t>
  </si>
  <si>
    <t>Betonsortenrechner</t>
  </si>
  <si>
    <t>KBOB</t>
  </si>
  <si>
    <t>Betonstahl KBOB</t>
  </si>
  <si>
    <t>Brettschichtholz KBOB, CH</t>
  </si>
  <si>
    <t>NPK B, RC-C50</t>
  </si>
  <si>
    <t>NULL</t>
  </si>
  <si>
    <t>C25/30</t>
  </si>
  <si>
    <t>mat_ID [Integer]</t>
  </si>
  <si>
    <t>name[string]</t>
  </si>
  <si>
    <t>Ecoinvent</t>
  </si>
  <si>
    <t>Cement Portland</t>
  </si>
  <si>
    <t>C30/37</t>
  </si>
  <si>
    <t>ZN/D 50% RC-C</t>
  </si>
  <si>
    <t>ZN/D 35% RC-C</t>
  </si>
  <si>
    <t>CEM II/A CH-Mix</t>
  </si>
  <si>
    <t>3.10-cutoff-13129</t>
  </si>
  <si>
    <t>3.10-cutoff-14008</t>
  </si>
  <si>
    <t>3.10-cutoff-25454</t>
  </si>
  <si>
    <t>3.10-cutoff-25876</t>
  </si>
  <si>
    <t>3.10-cutoff-25970</t>
  </si>
  <si>
    <t>3.10-cutoff-26060</t>
  </si>
  <si>
    <t>ZN/D 30% RC-M</t>
  </si>
  <si>
    <t>3.10-cutoff-26251</t>
  </si>
  <si>
    <t>ZN/D &lt;30% RC-M</t>
  </si>
  <si>
    <t>3.10-cutoff-27242</t>
  </si>
  <si>
    <t>3.10-cutoff-27344</t>
  </si>
  <si>
    <t>CEMII/B CH-Mix</t>
  </si>
  <si>
    <t>C20/25</t>
  </si>
  <si>
    <t>3.10-cutoff-26270</t>
  </si>
  <si>
    <t>ZN/D CH-Mix</t>
  </si>
  <si>
    <t>NPK A</t>
  </si>
  <si>
    <t>FSKB-Sorte A-2023-1-ECOINVENT</t>
  </si>
  <si>
    <t>FSKB-Sorte B 2023-1-ECOINVENT</t>
  </si>
  <si>
    <t>NPK B</t>
  </si>
  <si>
    <t>FSKB-Sorte C 2023-1-ECOINVENT</t>
  </si>
  <si>
    <t>NPK C</t>
  </si>
  <si>
    <t>NPK A, RC-C25</t>
  </si>
  <si>
    <t>NPK A, RC-C50</t>
  </si>
  <si>
    <t>Hochbaubeton KBOB</t>
  </si>
  <si>
    <t xml:space="preserve">3.10-cutoff-14125 </t>
  </si>
  <si>
    <t>NPK B, RC-C25</t>
  </si>
  <si>
    <t>CEM II/B-LL CH-Mix</t>
  </si>
  <si>
    <t>FSKB</t>
  </si>
  <si>
    <t>XC1 (CH), XC2 (CH)</t>
  </si>
  <si>
    <t>C3</t>
  </si>
  <si>
    <t>S-P-05247</t>
  </si>
  <si>
    <t>Stahl Geralfingen AG -  AFV Beltrame Group</t>
  </si>
  <si>
    <t xml:space="preserve">Betonstahl </t>
  </si>
  <si>
    <t>EPD-BSW-20210265-CBA1-DE</t>
  </si>
  <si>
    <t>Baustahlgewebe GmbH</t>
  </si>
  <si>
    <t>Betonstahl</t>
  </si>
  <si>
    <t>CH</t>
  </si>
  <si>
    <t>D</t>
  </si>
  <si>
    <t>Feralpi Siderurgica SPA</t>
  </si>
  <si>
    <t>I</t>
  </si>
  <si>
    <t>EPDtondo_2020</t>
  </si>
  <si>
    <t>Ferriere Nord S.p.A.</t>
  </si>
  <si>
    <t>Lamines Merchands Europèens S.A.</t>
  </si>
  <si>
    <t>S-P-11714</t>
  </si>
  <si>
    <t>EPDITALY0015</t>
  </si>
  <si>
    <t>Alfa Acciai</t>
  </si>
  <si>
    <t>EPD-LSW-237-DE</t>
  </si>
  <si>
    <t>Lech-Stahlwerke GmbH</t>
  </si>
  <si>
    <t xml:space="preserve"> S-P-00306</t>
  </si>
  <si>
    <t>N</t>
  </si>
  <si>
    <t>Celsa Steel Service AS</t>
  </si>
  <si>
    <t>S-P-07498</t>
  </si>
  <si>
    <t>Celsea Steel UK</t>
  </si>
  <si>
    <t>UK</t>
  </si>
  <si>
    <t>Celsea Barcelona</t>
  </si>
  <si>
    <t>S-P-08917</t>
  </si>
  <si>
    <t>EPD-ESF Elbe-Stahlwerke Feralpi-310-DE</t>
  </si>
  <si>
    <t>ESF Elbe-Stahlwerke Feralpi GmbH</t>
  </si>
  <si>
    <t>EPD-ESF Elbe-Stahlwerke Feralpi 309-DE</t>
  </si>
  <si>
    <t>S-P-00256</t>
  </si>
  <si>
    <t>EPD-RIVA ACIER-197-EN</t>
  </si>
  <si>
    <t>Riva Acier S.A.S.</t>
  </si>
  <si>
    <t>EPD-RIVA-132-DE</t>
  </si>
  <si>
    <t xml:space="preserve">RIVA Stahl GmbH </t>
  </si>
  <si>
    <t>000126</t>
  </si>
  <si>
    <t>ALPA Acierie et Laminoirs de Paris</t>
  </si>
  <si>
    <t>000137</t>
  </si>
  <si>
    <t>Magesa Siderurgica S.L.</t>
  </si>
  <si>
    <t>XC3 (CH)</t>
  </si>
  <si>
    <t>XC4 (CH), XF1 (CH)</t>
  </si>
  <si>
    <t>C3/F4</t>
  </si>
  <si>
    <t>FSKB-Sorte D 2023-1-ECOINVENT</t>
  </si>
  <si>
    <t>NPK D</t>
  </si>
  <si>
    <t>XC4 (CH), XD1 (CH), XF2 (CH)</t>
  </si>
  <si>
    <t>FSKB-Sorte E 2023-1-ECOINVENT</t>
  </si>
  <si>
    <t xml:space="preserve">NPK E </t>
  </si>
  <si>
    <t>XC4 (CH), XD1 (CH), XF4 (CH)</t>
  </si>
  <si>
    <t>FSKB-Sorte F 2023-1-ECOINVENT</t>
  </si>
  <si>
    <t>NPK F</t>
  </si>
  <si>
    <t>XC4 (CH), XD3 (CH), XF2 (CH)</t>
  </si>
  <si>
    <t>FSKB-Sorte G 2023-1-ECOINVENT</t>
  </si>
  <si>
    <t>NPK G</t>
  </si>
  <si>
    <t>XC4 (CH), XD3 (CH), XF4 (CH)</t>
  </si>
  <si>
    <t>EPD­­SLH­­20180066­­IBC1­­EN</t>
  </si>
  <si>
    <t>Schilliger Holz AG</t>
  </si>
  <si>
    <t>EPD-SLH-20230514-IBC3-DE</t>
  </si>
  <si>
    <t>Leimholz</t>
  </si>
  <si>
    <t>BSH</t>
  </si>
  <si>
    <t>EPD-WIG-20240079-IBB1-DE</t>
  </si>
  <si>
    <t>Wiehag Timber Construction GmbH</t>
  </si>
  <si>
    <t>A</t>
  </si>
  <si>
    <t>BSH KBOB</t>
  </si>
  <si>
    <t>EPD­HAS­20210171­IBD1­DE</t>
  </si>
  <si>
    <t>Hasslacher Holding GmbH</t>
  </si>
  <si>
    <t>EPD-RUB-20230230-IBC1-DE</t>
  </si>
  <si>
    <t>Rubner Holding AG</t>
  </si>
  <si>
    <t>Binderholz GmbH</t>
  </si>
  <si>
    <t>EPD-BBS-20190164-IBA1-DE</t>
  </si>
  <si>
    <t>EPD­HAS­20210170­IBD1­DE</t>
  </si>
  <si>
    <t>KVH</t>
  </si>
  <si>
    <t>Holzwerk Gebr. Schneider GmbH</t>
  </si>
  <si>
    <t>EPD-HWS-20240044-IBA2-DE</t>
  </si>
  <si>
    <t>EPD-HWS-20240043-IBA2-DE</t>
  </si>
  <si>
    <t>CLT</t>
  </si>
  <si>
    <t>C24</t>
  </si>
  <si>
    <t>EPD­SLH­20200098­IBC1­DE</t>
  </si>
  <si>
    <t>Studiengemeinschaft Holzleimbau e.V. und Überwachungsgemeinschaft Konstruktionsvollholz e.V.</t>
  </si>
  <si>
    <t>Balkenschichtholz</t>
  </si>
  <si>
    <t>in Verifizierung</t>
  </si>
  <si>
    <t>S-P-04195</t>
  </si>
  <si>
    <t>KLH Massivholz GmbH</t>
  </si>
  <si>
    <t>EPD_ID</t>
  </si>
  <si>
    <t>Cost</t>
  </si>
  <si>
    <t>A1toA3_GWP</t>
  </si>
  <si>
    <t>Total_GWP</t>
  </si>
  <si>
    <t>C1toC4_GWP</t>
  </si>
  <si>
    <t>EPD­BFS­20180116­IBG2­DE</t>
  </si>
  <si>
    <t>bauforumstahl e.V.</t>
  </si>
  <si>
    <t>SZS-EPD-2014-01</t>
  </si>
  <si>
    <t>SZS</t>
  </si>
  <si>
    <t>Baustahl</t>
  </si>
  <si>
    <t>EPD-STH-20230471-IAB1-EN</t>
  </si>
  <si>
    <t>Stahlwerk Thüringen</t>
  </si>
  <si>
    <t>EPD-ARC-20210132-CBB1-EN</t>
  </si>
  <si>
    <t>ArcelorMittal Europe</t>
  </si>
  <si>
    <t>L</t>
  </si>
  <si>
    <t>Baustahl Xcarb</t>
  </si>
  <si>
    <t>Baustahl green steel</t>
  </si>
  <si>
    <t>EPD-BFS-20230271-IBG1-EN</t>
  </si>
  <si>
    <t>bauforumstahl e.V</t>
  </si>
  <si>
    <t>bauforumstahl e.V. &amp; Industrieverband Feuerverzinken e.V</t>
  </si>
  <si>
    <t>EPD-BFS-20180167-IBG1-DE</t>
  </si>
  <si>
    <t>Baustahl feuerverzinkt</t>
  </si>
  <si>
    <t>3.10-cutoff-22626</t>
  </si>
  <si>
    <t>BSH PUR glue</t>
  </si>
  <si>
    <t>BSH MUF glue</t>
  </si>
  <si>
    <t>3.10-cutoff-23391</t>
  </si>
  <si>
    <t>3.10-cutoff-22422</t>
  </si>
  <si>
    <t>Europe w/o CH</t>
  </si>
  <si>
    <t>3.10-cutoff-22512</t>
  </si>
  <si>
    <t>RER</t>
  </si>
  <si>
    <t>Brettsperrholz KBOB, CH</t>
  </si>
  <si>
    <t>Brettsperrholz KBOB</t>
  </si>
  <si>
    <t>3.10-cutoff-23396</t>
  </si>
  <si>
    <t>3.10-cutoff-23733</t>
  </si>
  <si>
    <t>structural timber</t>
  </si>
  <si>
    <t>Nedri Spanstaal BV</t>
  </si>
  <si>
    <t>1.1.00653.2024</t>
  </si>
  <si>
    <t>NL</t>
  </si>
  <si>
    <t>Spannstahl</t>
  </si>
  <si>
    <t>prestressing steel</t>
  </si>
  <si>
    <t>S-P- 01959</t>
  </si>
  <si>
    <t>ND</t>
  </si>
  <si>
    <t>S-P-13304</t>
  </si>
  <si>
    <t>PT</t>
  </si>
  <si>
    <t>original: per kg</t>
  </si>
  <si>
    <t>oritignal: per t</t>
  </si>
  <si>
    <t>S-P-02401</t>
  </si>
  <si>
    <t>Hjulsbro Steel</t>
  </si>
  <si>
    <t>1.1.00267.2021</t>
  </si>
  <si>
    <t>Fnsteel Hjulsbro AB</t>
  </si>
  <si>
    <t>Tycsa PSC</t>
  </si>
  <si>
    <t>GlobalEPD 001-006</t>
  </si>
  <si>
    <t>ES</t>
  </si>
  <si>
    <t>GlobalEPD 001-005</t>
  </si>
  <si>
    <t>S-P-02400</t>
  </si>
  <si>
    <t>PC_001</t>
  </si>
  <si>
    <t>PC_002</t>
  </si>
  <si>
    <t>PC_003</t>
  </si>
  <si>
    <t>PC_004</t>
  </si>
  <si>
    <t>PC_005</t>
  </si>
  <si>
    <t>PC_006</t>
  </si>
  <si>
    <t>PC_007</t>
  </si>
  <si>
    <t>PC_008</t>
  </si>
  <si>
    <t>PC_009</t>
  </si>
  <si>
    <t>CPC_01</t>
  </si>
  <si>
    <t>CPC_02</t>
  </si>
  <si>
    <t>Holcim Deutschland GmbH</t>
  </si>
  <si>
    <t>1 m2 mit 4 cm</t>
  </si>
  <si>
    <t>1 m2 mit 7 cm</t>
  </si>
  <si>
    <t>EPC CPC 40</t>
  </si>
  <si>
    <t>EPD CPC 70</t>
  </si>
  <si>
    <t>concrete element</t>
  </si>
  <si>
    <t>S_999</t>
  </si>
  <si>
    <t>S_001</t>
  </si>
  <si>
    <t>C_999</t>
  </si>
  <si>
    <t>C_001</t>
  </si>
  <si>
    <t>C_002</t>
  </si>
  <si>
    <t>C_003</t>
  </si>
  <si>
    <t>C_004</t>
  </si>
  <si>
    <t>C_005</t>
  </si>
  <si>
    <t>C_006</t>
  </si>
  <si>
    <t>C_007</t>
  </si>
  <si>
    <t>S_003</t>
  </si>
  <si>
    <t>S_005</t>
  </si>
  <si>
    <t>S_006</t>
  </si>
  <si>
    <t>S_007</t>
  </si>
  <si>
    <t>S_002</t>
  </si>
  <si>
    <t>S_008</t>
  </si>
  <si>
    <t>S_009</t>
  </si>
  <si>
    <t>S_010</t>
  </si>
  <si>
    <t>S_011</t>
  </si>
  <si>
    <t>S_012</t>
  </si>
  <si>
    <t>S_016</t>
  </si>
  <si>
    <t>S_004</t>
  </si>
  <si>
    <t>S_014</t>
  </si>
  <si>
    <t>S_015</t>
  </si>
  <si>
    <t>S_013</t>
  </si>
  <si>
    <t>S_017</t>
  </si>
  <si>
    <t>S-P-00253</t>
  </si>
  <si>
    <t>Ferriera Valsabbia</t>
  </si>
  <si>
    <t>Fapricela-Industria de Trefilaria S.A.</t>
  </si>
  <si>
    <t>W_999</t>
  </si>
  <si>
    <t>W_998</t>
  </si>
  <si>
    <t>W_997</t>
  </si>
  <si>
    <t>W_996</t>
  </si>
  <si>
    <t>W_003</t>
  </si>
  <si>
    <t>W_004</t>
  </si>
  <si>
    <t>W_006</t>
  </si>
  <si>
    <t>W_009</t>
  </si>
  <si>
    <t>W_010</t>
  </si>
  <si>
    <t>W_012</t>
  </si>
  <si>
    <t>W_002</t>
  </si>
  <si>
    <t>W_001</t>
  </si>
  <si>
    <t>NEPD-2587-1314-EN</t>
  </si>
  <si>
    <t>W_013</t>
  </si>
  <si>
    <t>Södra Skogsägarna ekonomisk förening</t>
  </si>
  <si>
    <t>NEPD-3329-1967-EN</t>
  </si>
  <si>
    <t>Setra Trävor AB</t>
  </si>
  <si>
    <t>W_014</t>
  </si>
  <si>
    <t>Stora Enso</t>
  </si>
  <si>
    <t>S-P-09949</t>
  </si>
  <si>
    <t>SE</t>
  </si>
  <si>
    <t>AT, SE, CZ</t>
  </si>
  <si>
    <t>AT</t>
  </si>
  <si>
    <t>W_015</t>
  </si>
  <si>
    <t>W_016</t>
  </si>
  <si>
    <t>EPD-BBS-20190021-IBB1-EN</t>
  </si>
  <si>
    <t>AT, DE</t>
  </si>
  <si>
    <t>CLT BBS</t>
  </si>
  <si>
    <t>EPD­HAS­20210172­IBD1­EN</t>
  </si>
  <si>
    <t>W_017</t>
  </si>
  <si>
    <t>NEPD-3794-2722-EN</t>
  </si>
  <si>
    <t>Cross Timber Systems SIA</t>
  </si>
  <si>
    <t>W_018</t>
  </si>
  <si>
    <t>W_019</t>
  </si>
  <si>
    <t xml:space="preserve"> EPD-SHL-20180035-IBG1-EN</t>
  </si>
  <si>
    <t>NEPD-2042-902-NO</t>
  </si>
  <si>
    <t>Splitikon AS</t>
  </si>
  <si>
    <t>W_020</t>
  </si>
  <si>
    <t>W_021</t>
  </si>
  <si>
    <t>Artuso Legnami</t>
  </si>
  <si>
    <t>S-P-01408</t>
  </si>
  <si>
    <t>W_007</t>
  </si>
  <si>
    <t>W_005</t>
  </si>
  <si>
    <t>W_022</t>
  </si>
  <si>
    <t>Derix Gmbh</t>
  </si>
  <si>
    <t>1.1.00280.2022</t>
  </si>
  <si>
    <t>DE</t>
  </si>
  <si>
    <t>NEPD-6853-6154-EN</t>
  </si>
  <si>
    <t>W_023</t>
  </si>
  <si>
    <t>NEPD-1662-655-EN</t>
  </si>
  <si>
    <t>W_024</t>
  </si>
  <si>
    <t>W_025</t>
  </si>
  <si>
    <t>EPD-HLG-20220052-IBC1-DE</t>
  </si>
  <si>
    <t>Holzwerke Ladenburger GmbH</t>
  </si>
  <si>
    <t>MD-22038-EN</t>
  </si>
  <si>
    <t>W_026</t>
  </si>
  <si>
    <t>Lilleheden A/S</t>
  </si>
  <si>
    <t>DK</t>
  </si>
  <si>
    <t>W_027</t>
  </si>
  <si>
    <t>NEPD-3736-2685-SE</t>
  </si>
  <si>
    <t>Moelven Töreboda AB</t>
  </si>
  <si>
    <t>29.29.2022</t>
  </si>
  <si>
    <t>W_028</t>
  </si>
  <si>
    <t>EPD-SHL-20180027-IBG1-EN</t>
  </si>
  <si>
    <t>Studiengemeinschaft Holzleimbau e.V.</t>
  </si>
  <si>
    <t>S-P-04453</t>
  </si>
  <si>
    <t>W_029</t>
  </si>
  <si>
    <t>ZAZA Tiimber Production</t>
  </si>
  <si>
    <t>LT</t>
  </si>
  <si>
    <t>LV</t>
  </si>
  <si>
    <t>NEPD-2764-1460-EN</t>
  </si>
  <si>
    <t>Jures Glulam</t>
  </si>
  <si>
    <t>W_030</t>
  </si>
  <si>
    <t>FR</t>
  </si>
  <si>
    <t>IT</t>
  </si>
  <si>
    <t>NO</t>
  </si>
  <si>
    <t>-</t>
  </si>
  <si>
    <t>S-P-02537</t>
  </si>
  <si>
    <t>W_031</t>
  </si>
  <si>
    <t>Svenskt Trä</t>
  </si>
  <si>
    <t>NEPD-2546-1284-EN</t>
  </si>
  <si>
    <t>S-P-06869</t>
  </si>
  <si>
    <t>W_032</t>
  </si>
  <si>
    <t>W_033</t>
  </si>
  <si>
    <t>Jordeson Timber</t>
  </si>
  <si>
    <t>EPD-EGG-20200248-IBC1-EN</t>
  </si>
  <si>
    <t>Egger Sägewerk Brilon GmbH</t>
  </si>
  <si>
    <t>W_034</t>
  </si>
  <si>
    <t>S-P-02150</t>
  </si>
  <si>
    <t>W_035</t>
  </si>
  <si>
    <t>AT, LT,SE, FI,EST,RU,LV,PO,CZ</t>
  </si>
  <si>
    <t>W_036</t>
  </si>
  <si>
    <t>S-P-07215</t>
  </si>
  <si>
    <t>UPM</t>
  </si>
  <si>
    <t>FI</t>
  </si>
  <si>
    <t>PRO_ID</t>
  </si>
  <si>
    <t>wood</t>
  </si>
  <si>
    <t>mineral_building_products</t>
  </si>
  <si>
    <t>ready_mixed_concrete</t>
  </si>
  <si>
    <t>metals</t>
  </si>
  <si>
    <t>Steel_reinforcing_bar</t>
  </si>
  <si>
    <t>Structural_steel_profile</t>
  </si>
  <si>
    <t>2009-1-2022_v5.0</t>
  </si>
  <si>
    <t>Glue_laminated_timber</t>
  </si>
  <si>
    <t>Glue_laminated_timber_board</t>
  </si>
  <si>
    <t>Solid_structural_timber</t>
  </si>
  <si>
    <t>Duo_Trio_Laminated_Beams</t>
  </si>
  <si>
    <t>1.4.01</t>
  </si>
  <si>
    <t>4.1.01</t>
  </si>
  <si>
    <t>4.1.03</t>
  </si>
  <si>
    <t>Anmerkung</t>
  </si>
  <si>
    <t>3.1.05</t>
  </si>
  <si>
    <t>3.1.04</t>
  </si>
  <si>
    <t>3.1.02</t>
  </si>
  <si>
    <t>3.1.03</t>
  </si>
  <si>
    <t>ID</t>
  </si>
  <si>
    <t>C_901</t>
  </si>
  <si>
    <t>C_902</t>
  </si>
  <si>
    <t>C_903</t>
  </si>
  <si>
    <t>C_904</t>
  </si>
  <si>
    <t>C_905</t>
  </si>
  <si>
    <t>C_906</t>
  </si>
  <si>
    <t>C_907</t>
  </si>
  <si>
    <t>C_908</t>
  </si>
  <si>
    <t>C_909</t>
  </si>
  <si>
    <t>C_910</t>
  </si>
  <si>
    <t>C_911</t>
  </si>
  <si>
    <t>C_801</t>
  </si>
  <si>
    <t>C_802</t>
  </si>
  <si>
    <t>C_803</t>
  </si>
  <si>
    <t>C_804</t>
  </si>
  <si>
    <t>C_805</t>
  </si>
  <si>
    <t>C_806</t>
  </si>
  <si>
    <t>C_807</t>
  </si>
  <si>
    <t>C_808</t>
  </si>
  <si>
    <t>C_809</t>
  </si>
  <si>
    <t>C_810</t>
  </si>
  <si>
    <t>C_811</t>
  </si>
  <si>
    <t>W_901</t>
  </si>
  <si>
    <t>W_902</t>
  </si>
  <si>
    <t>W_903</t>
  </si>
  <si>
    <t>W_904</t>
  </si>
  <si>
    <t>W_905</t>
  </si>
  <si>
    <t>W_906</t>
  </si>
  <si>
    <t>W_008</t>
  </si>
  <si>
    <t>W_011</t>
  </si>
  <si>
    <t>A_999</t>
  </si>
  <si>
    <t>A_001</t>
  </si>
  <si>
    <t>A_002</t>
  </si>
  <si>
    <t>A_003</t>
  </si>
  <si>
    <t>A_004</t>
  </si>
  <si>
    <t>A_005</t>
  </si>
  <si>
    <t>A_006</t>
  </si>
  <si>
    <t>W_995</t>
  </si>
  <si>
    <t>Konstruktionsvollholz</t>
  </si>
  <si>
    <t>OEKOBAUDAT_ID</t>
  </si>
  <si>
    <t>MATERIAL_GROUP</t>
  </si>
  <si>
    <t>MATERIAL</t>
  </si>
  <si>
    <t>SOURCE</t>
  </si>
  <si>
    <t>PRODUCT_NAME</t>
  </si>
  <si>
    <t>COUNTRY</t>
  </si>
  <si>
    <t>VALID_TO</t>
  </si>
  <si>
    <t>EPD_DATE</t>
  </si>
  <si>
    <t>CEMENT</t>
  </si>
  <si>
    <t>MECH_PROP</t>
  </si>
  <si>
    <t>DENSITY</t>
  </si>
  <si>
    <t>EXPOSITIONSKLASSE</t>
  </si>
  <si>
    <t>GROESSTKORN</t>
  </si>
  <si>
    <t>CHLORIDGEHALT</t>
  </si>
  <si>
    <t>KONSISTENZKLASSE</t>
  </si>
  <si>
    <t>Statistik</t>
  </si>
  <si>
    <t>Hilfsspalte</t>
  </si>
  <si>
    <t>h_fix [float, m]</t>
  </si>
  <si>
    <t>E [float, N/m^2]</t>
  </si>
  <si>
    <t>density [float, kg/m^3]</t>
  </si>
  <si>
    <t>weight [float, N/m^3]</t>
  </si>
  <si>
    <t>GWP [float, kg/kg]</t>
  </si>
  <si>
    <t>Parkett 2-Schicht werkversiegelt, 11 mm</t>
  </si>
  <si>
    <t>Unterlagsboden Zement, 85 mm</t>
  </si>
  <si>
    <t>Glaswolle</t>
  </si>
  <si>
    <t>Kies gebrochen</t>
  </si>
  <si>
    <t>Steinwolle</t>
  </si>
  <si>
    <t>Gipsfaserplatte</t>
  </si>
  <si>
    <t>C16</t>
  </si>
  <si>
    <t>name</t>
  </si>
  <si>
    <t>strength_comp</t>
  </si>
  <si>
    <t>strength_tens</t>
  </si>
  <si>
    <t>strength_bend</t>
  </si>
  <si>
    <t>strength_shea</t>
  </si>
  <si>
    <t>E_modulus</t>
  </si>
  <si>
    <t>density_load</t>
  </si>
  <si>
    <t>burn_rate</t>
  </si>
  <si>
    <t>mat_ID</t>
  </si>
  <si>
    <t>Biogener Kohlenstoff: 206 kg C resp. 753 kgCO2/m3, 100% energetische Verwertung, 61% Wirkungsgrad</t>
  </si>
  <si>
    <t>Biogener Kohlenstoff: 800 kgCO2/m3; 100% energetische Verwertung</t>
  </si>
  <si>
    <t>Biogener Kohlenstoff: 773 kgCO2/m3; 100% energetische Verwertung</t>
  </si>
  <si>
    <t>Spalte1</t>
  </si>
  <si>
    <t>1kg C = 44/12 kgCO2 → EN 16449</t>
  </si>
  <si>
    <t xml:space="preserve">Biogener Kohlenstoff: 746 kgCO2/m3; </t>
  </si>
  <si>
    <t>Biogener Kohlenstoff: 219 kgC/m3 resp. 802 kgCO2/m3; 100% energetische Verwertung, 61% Wirkungsgrad</t>
  </si>
  <si>
    <t>Biogener Kohlenstoff: 200 kg C/m3 resp. 733 kg CO2/m3; Ranges sind angegeben; 4 End of Life scenarios untersucht!</t>
  </si>
  <si>
    <t>Unterschiedliche Szenarien untersucht</t>
  </si>
  <si>
    <t>Unterschiedliche Szenarien untersucht / Ranges angegeben</t>
  </si>
  <si>
    <t>Ranges angegeben</t>
  </si>
  <si>
    <t>Biogener Kohlenstoff:: 215 kg C/m3; 100 % energetische Verwertung</t>
  </si>
  <si>
    <t>N/A</t>
  </si>
  <si>
    <t>Biomass power-plant</t>
  </si>
  <si>
    <t>Biogener Kohlenstoff: 186 kg C; Biomass power plant</t>
  </si>
  <si>
    <t>Biogener Kohlenstoff: 204 kg C; 100% energetische Verwertung, 61% Wirkungsgrad</t>
  </si>
  <si>
    <t>Biogener Kohlenstoff: 208 kg C/m3; 100% energetische Verwertung, 68% Wirkungsgrad</t>
  </si>
  <si>
    <t>Biogener Kohlenstoff: 704 kg CO2/m3; Module C not declared</t>
  </si>
  <si>
    <t>Biogener Kohlenstoff: 194.5 kg C/m3; 100% energetische Verwertung</t>
  </si>
  <si>
    <t>Biogener Kohlenstoff: 205 kgC/m3; 100% energetische Verwertung</t>
  </si>
  <si>
    <t>Biogener Kohlenstoff: 208 kgC/m3 resp. 765kg CO2/m3; 100% ernergetische Verwertung</t>
  </si>
  <si>
    <t>Ausgewiesen für Incineration und Recycling</t>
  </si>
  <si>
    <t>Biogener Kohlenstoff: 185 kgC/m3; 100% energetische Verwertung</t>
  </si>
  <si>
    <t>100% energetische Verwertung</t>
  </si>
  <si>
    <t>Biogener Kohlenstoff: 192 kg C/m3; 95% energetische Verwertung; 5% Recycling</t>
  </si>
  <si>
    <t>Biogener Kohlenstoff: 207.8 kgC/m3; 100% energetische Verwertung</t>
  </si>
  <si>
    <t>A_007</t>
  </si>
  <si>
    <t>BE Group Sverige AB</t>
  </si>
  <si>
    <t xml:space="preserve">metals </t>
  </si>
  <si>
    <t>BE group EPD merchant bars</t>
  </si>
  <si>
    <t>A_008</t>
  </si>
  <si>
    <t>S-P-01558</t>
  </si>
  <si>
    <t>AFV Beltrame Group</t>
  </si>
  <si>
    <t>A_009</t>
  </si>
  <si>
    <t>A_010</t>
  </si>
  <si>
    <t>A_011</t>
  </si>
  <si>
    <t>S-P-04507</t>
  </si>
  <si>
    <t>Peiner</t>
  </si>
  <si>
    <t>EPD-PTR-20210292-CBA1-EN</t>
  </si>
  <si>
    <t>A_012</t>
  </si>
  <si>
    <t>A_013</t>
  </si>
  <si>
    <t>A_014</t>
  </si>
  <si>
    <t>A_015</t>
  </si>
  <si>
    <t>Turkey</t>
  </si>
  <si>
    <t>Sanayi</t>
  </si>
  <si>
    <t>BREG EN EPD No. 000079</t>
  </si>
  <si>
    <t>Celsa Barcelona</t>
  </si>
  <si>
    <t>E</t>
  </si>
  <si>
    <t>S-P-08496</t>
  </si>
  <si>
    <t>Stalia AB</t>
  </si>
  <si>
    <t>S-P-09023</t>
  </si>
  <si>
    <t>W_037</t>
  </si>
  <si>
    <t>Biogener Kohlenstoff:: 758 kg CO2/m3</t>
  </si>
  <si>
    <t>NEPD-2783-1438-NO</t>
  </si>
  <si>
    <t>Holmen</t>
  </si>
  <si>
    <t>NEPD-2693-1395-EN</t>
  </si>
  <si>
    <t>CSK</t>
  </si>
  <si>
    <t>S-P-11367</t>
  </si>
  <si>
    <t>Duferco Travi e Profilati</t>
  </si>
  <si>
    <t>A_016</t>
  </si>
  <si>
    <t>Tibnor</t>
  </si>
  <si>
    <t>S-P-02046</t>
  </si>
  <si>
    <t>A_017</t>
  </si>
  <si>
    <t>Hochbaubeton, Q-A230-M10 D E25, 150 kg CEM II/B (ohne Bewehrung)</t>
  </si>
  <si>
    <t>2009-1-2022</t>
  </si>
  <si>
    <t>KBOB v7</t>
  </si>
  <si>
    <t>Hochbaubeton, Q-A231-M10 D E25, 160 kg CEM II/B (ohne Bewehrung)</t>
  </si>
  <si>
    <t>Hochbaubeton, Q-C330-M D, 180 kg CEM II/B (ohne Bewehrung)</t>
  </si>
  <si>
    <t>Hochbaubeton, Q-C331-M D, 185 kg CEM II/B (ohne Bewehrung)</t>
  </si>
  <si>
    <t>Hochbaubeton, Q-B265-M10 D E25, 200 kg CEM II/B, 40kg CEM I (ohne Bewehrung)</t>
  </si>
  <si>
    <t>Hochbaubeton, Q-C365-M D, 220 kg CEM II/B, 40kg CEM I (ohne Bewehrung)</t>
  </si>
  <si>
    <t>CEM II/B</t>
  </si>
  <si>
    <t>C_993</t>
  </si>
  <si>
    <t>C_994</t>
  </si>
  <si>
    <t>C_995</t>
  </si>
  <si>
    <t>C_996</t>
  </si>
  <si>
    <t>C_997</t>
  </si>
  <si>
    <t>C_998</t>
  </si>
  <si>
    <t>CPC (Carbon Prestressed Concrete)</t>
  </si>
  <si>
    <t>Festigkeit S235, S355, S460</t>
  </si>
  <si>
    <t>100% renewable energy, Festigkeit S235, S355, S460</t>
  </si>
  <si>
    <t>Inkl. Paint. Largest difference between paint and no paint: 23%, Festigkeit S235, S355, S460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</si>
</sst>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ptos"/>
    </font>
    <font>
      <sz val="9"/>
      <color rgb="FFFF0000"/>
      <name val="Aptos"/>
    </font>
    <font>
      <sz val="11"/>
      <color theme="1"/>
      <name val="Aptos"/>
    </font>
    <font>
      <sz val="11"/>
      <color theme="7" tint="-0.249977111117893"/>
      <name val="Calibri"/>
      <family val="2"/>
      <scheme val="minor"/>
    </font>
    <font>
      <sz val="9"/>
      <color theme="7" tint="-0.249977111117893"/>
      <name val="Aptos"/>
    </font>
    <font>
      <sz val="11"/>
      <color theme="9"/>
      <name val="Calibri"/>
      <family val="2"/>
      <scheme val="minor"/>
    </font>
    <font>
      <sz val="9"/>
      <color theme="9"/>
      <name val="Aptos"/>
    </font>
    <font>
      <sz val="9"/>
      <name val="Aptos"/>
    </font>
    <font>
      <sz val="11"/>
      <color theme="0"/>
      <name val="Aptos"/>
    </font>
    <font>
      <b/>
      <sz val="11"/>
      <color theme="0"/>
      <name val="Aptos"/>
    </font>
    <font>
      <sz val="9"/>
      <color rgb="FF333333"/>
      <name val="Aptos"/>
    </font>
    <font>
      <sz val="9"/>
      <color theme="8"/>
      <name val="Aptos"/>
    </font>
    <font>
      <sz val="11"/>
      <color theme="8"/>
      <name val="Calibri"/>
      <family val="2"/>
      <scheme val="minor"/>
    </font>
    <font>
      <sz val="9"/>
      <color theme="5"/>
      <name val="Aptos"/>
    </font>
    <font>
      <sz val="9"/>
      <color theme="1"/>
      <name val="Aptos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10"/>
      <color theme="7" tint="-0.249977111117893"/>
      <name val="Consolas"/>
      <family val="3"/>
    </font>
    <font>
      <sz val="9"/>
      <color rgb="FF7030A0"/>
      <name val="Aptos"/>
    </font>
    <font>
      <sz val="9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CCCC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thin">
        <color theme="4" tint="0.39997558519241921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theme="4" tint="0.3999755851924192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theme="6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6" tint="0.3999755851924192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theme="6" tint="0.39997558519241921"/>
      </bottom>
      <diagonal/>
    </border>
    <border>
      <left style="hair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2" borderId="1" xfId="0" applyFont="1" applyFill="1" applyBorder="1"/>
    <xf numFmtId="0" fontId="3" fillId="0" borderId="2" xfId="0" applyFont="1" applyBorder="1"/>
    <xf numFmtId="0" fontId="3" fillId="0" borderId="7" xfId="0" applyFont="1" applyBorder="1"/>
    <xf numFmtId="0" fontId="3" fillId="0" borderId="3" xfId="0" applyFont="1" applyBorder="1"/>
    <xf numFmtId="0" fontId="3" fillId="0" borderId="8" xfId="0" applyFont="1" applyBorder="1"/>
    <xf numFmtId="0" fontId="3" fillId="0" borderId="2" xfId="0" quotePrefix="1" applyFont="1" applyBorder="1"/>
    <xf numFmtId="0" fontId="3" fillId="0" borderId="3" xfId="0" quotePrefix="1" applyFont="1" applyBorder="1"/>
    <xf numFmtId="0" fontId="3" fillId="0" borderId="2" xfId="0" applyFont="1" applyFill="1" applyBorder="1"/>
    <xf numFmtId="0" fontId="3" fillId="0" borderId="10" xfId="0" applyFont="1" applyBorder="1"/>
    <xf numFmtId="0" fontId="3" fillId="0" borderId="11" xfId="0" applyFont="1" applyBorder="1"/>
    <xf numFmtId="0" fontId="6" fillId="0" borderId="0" xfId="0" applyFont="1"/>
    <xf numFmtId="0" fontId="7" fillId="0" borderId="2" xfId="0" applyFont="1" applyBorder="1"/>
    <xf numFmtId="0" fontId="7" fillId="0" borderId="7" xfId="0" applyFont="1" applyBorder="1"/>
    <xf numFmtId="0" fontId="9" fillId="0" borderId="3" xfId="0" applyFont="1" applyBorder="1"/>
    <xf numFmtId="0" fontId="9" fillId="0" borderId="8" xfId="0" applyFont="1" applyBorder="1"/>
    <xf numFmtId="0" fontId="8" fillId="0" borderId="0" xfId="0" applyFont="1"/>
    <xf numFmtId="0" fontId="9" fillId="0" borderId="2" xfId="0" applyFont="1" applyBorder="1"/>
    <xf numFmtId="0" fontId="9" fillId="0" borderId="7" xfId="0" applyFont="1" applyBorder="1"/>
    <xf numFmtId="0" fontId="9" fillId="0" borderId="9" xfId="0" applyFont="1" applyBorder="1"/>
    <xf numFmtId="0" fontId="7" fillId="0" borderId="2" xfId="0" quotePrefix="1" applyFont="1" applyBorder="1"/>
    <xf numFmtId="0" fontId="9" fillId="0" borderId="2" xfId="0" quotePrefix="1" applyFont="1" applyBorder="1"/>
    <xf numFmtId="0" fontId="3" fillId="0" borderId="0" xfId="0" applyFont="1" applyBorder="1"/>
    <xf numFmtId="1" fontId="7" fillId="0" borderId="7" xfId="0" applyNumberFormat="1" applyFont="1" applyBorder="1" applyAlignment="1">
      <alignment horizontal="right"/>
    </xf>
    <xf numFmtId="1" fontId="3" fillId="0" borderId="8" xfId="0" applyNumberFormat="1" applyFont="1" applyBorder="1" applyAlignment="1">
      <alignment horizontal="right"/>
    </xf>
    <xf numFmtId="1" fontId="3" fillId="0" borderId="7" xfId="0" applyNumberFormat="1" applyFont="1" applyBorder="1" applyAlignment="1">
      <alignment horizontal="right"/>
    </xf>
    <xf numFmtId="0" fontId="7" fillId="0" borderId="7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7" fillId="5" borderId="7" xfId="0" applyFont="1" applyFill="1" applyBorder="1" applyAlignment="1">
      <alignment horizontal="left"/>
    </xf>
    <xf numFmtId="0" fontId="9" fillId="0" borderId="7" xfId="0" applyFont="1" applyBorder="1" applyAlignment="1">
      <alignment horizontal="left"/>
    </xf>
    <xf numFmtId="1" fontId="3" fillId="0" borderId="7" xfId="0" applyNumberFormat="1" applyFont="1" applyBorder="1" applyAlignment="1">
      <alignment horizontal="left"/>
    </xf>
    <xf numFmtId="14" fontId="3" fillId="0" borderId="7" xfId="0" applyNumberFormat="1" applyFont="1" applyBorder="1" applyAlignment="1">
      <alignment horizontal="left"/>
    </xf>
    <xf numFmtId="0" fontId="9" fillId="4" borderId="8" xfId="0" applyFont="1" applyFill="1" applyBorder="1" applyAlignment="1">
      <alignment horizontal="left"/>
    </xf>
    <xf numFmtId="0" fontId="9" fillId="4" borderId="7" xfId="0" applyFont="1" applyFill="1" applyBorder="1" applyAlignment="1">
      <alignment horizontal="left"/>
    </xf>
    <xf numFmtId="14" fontId="3" fillId="0" borderId="8" xfId="0" applyNumberFormat="1" applyFont="1" applyBorder="1" applyAlignment="1">
      <alignment horizontal="left"/>
    </xf>
    <xf numFmtId="14" fontId="7" fillId="0" borderId="7" xfId="0" applyNumberFormat="1" applyFont="1" applyBorder="1" applyAlignment="1">
      <alignment horizontal="left"/>
    </xf>
    <xf numFmtId="14" fontId="9" fillId="0" borderId="7" xfId="0" applyNumberFormat="1" applyFont="1" applyBorder="1" applyAlignment="1">
      <alignment horizontal="left"/>
    </xf>
    <xf numFmtId="0" fontId="3" fillId="0" borderId="12" xfId="0" applyFont="1" applyBorder="1"/>
    <xf numFmtId="0" fontId="14" fillId="0" borderId="2" xfId="0" applyFont="1" applyBorder="1"/>
    <xf numFmtId="0" fontId="14" fillId="0" borderId="7" xfId="0" applyFont="1" applyBorder="1"/>
    <xf numFmtId="0" fontId="14" fillId="0" borderId="7" xfId="0" applyFont="1" applyBorder="1" applyAlignment="1">
      <alignment horizontal="left"/>
    </xf>
    <xf numFmtId="0" fontId="15" fillId="0" borderId="0" xfId="0" applyFont="1"/>
    <xf numFmtId="0" fontId="16" fillId="0" borderId="7" xfId="0" applyFont="1" applyBorder="1" applyAlignment="1">
      <alignment horizontal="left"/>
    </xf>
    <xf numFmtId="0" fontId="16" fillId="0" borderId="8" xfId="0" applyFont="1" applyFill="1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17" fillId="0" borderId="10" xfId="0" applyFont="1" applyBorder="1"/>
    <xf numFmtId="2" fontId="7" fillId="0" borderId="2" xfId="0" quotePrefix="1" applyNumberFormat="1" applyFont="1" applyBorder="1"/>
    <xf numFmtId="0" fontId="14" fillId="0" borderId="2" xfId="0" quotePrefix="1" applyFont="1" applyBorder="1"/>
    <xf numFmtId="14" fontId="3" fillId="0" borderId="2" xfId="0" quotePrefix="1" applyNumberFormat="1" applyFont="1" applyBorder="1"/>
    <xf numFmtId="1" fontId="7" fillId="0" borderId="2" xfId="0" applyNumberFormat="1" applyFont="1" applyBorder="1" applyAlignment="1">
      <alignment horizontal="right"/>
    </xf>
    <xf numFmtId="49" fontId="0" fillId="0" borderId="0" xfId="0" applyNumberFormat="1" applyBorder="1"/>
    <xf numFmtId="0" fontId="0" fillId="3" borderId="1" xfId="0" applyFill="1" applyBorder="1"/>
    <xf numFmtId="1" fontId="0" fillId="3" borderId="1" xfId="0" applyNumberFormat="1" applyFill="1" applyBorder="1"/>
    <xf numFmtId="3" fontId="0" fillId="3" borderId="1" xfId="0" applyNumberFormat="1" applyFill="1" applyBorder="1" applyAlignment="1">
      <alignment horizontal="right"/>
    </xf>
    <xf numFmtId="164" fontId="0" fillId="3" borderId="1" xfId="0" applyNumberFormat="1" applyFill="1" applyBorder="1"/>
    <xf numFmtId="0" fontId="0" fillId="0" borderId="1" xfId="0" applyBorder="1"/>
    <xf numFmtId="11" fontId="0" fillId="0" borderId="1" xfId="0" applyNumberFormat="1" applyBorder="1"/>
    <xf numFmtId="3" fontId="0" fillId="0" borderId="1" xfId="0" applyNumberFormat="1" applyBorder="1" applyAlignment="1">
      <alignment horizontal="right"/>
    </xf>
    <xf numFmtId="164" fontId="0" fillId="0" borderId="1" xfId="0" applyNumberFormat="1" applyBorder="1"/>
    <xf numFmtId="3" fontId="0" fillId="0" borderId="0" xfId="0" applyNumberFormat="1"/>
    <xf numFmtId="0" fontId="1" fillId="2" borderId="14" xfId="0" applyFont="1" applyFill="1" applyBorder="1"/>
    <xf numFmtId="0" fontId="0" fillId="0" borderId="1" xfId="0" applyFont="1" applyFill="1" applyBorder="1"/>
    <xf numFmtId="0" fontId="0" fillId="0" borderId="15" xfId="0" applyFont="1" applyFill="1" applyBorder="1"/>
    <xf numFmtId="0" fontId="3" fillId="0" borderId="2" xfId="0" applyFont="1" applyBorder="1" applyAlignment="1">
      <alignment wrapText="1"/>
    </xf>
    <xf numFmtId="1" fontId="14" fillId="0" borderId="2" xfId="0" applyNumberFormat="1" applyFont="1" applyBorder="1" applyAlignment="1">
      <alignment horizontal="right"/>
    </xf>
    <xf numFmtId="0" fontId="3" fillId="0" borderId="0" xfId="0" applyFont="1"/>
    <xf numFmtId="0" fontId="3" fillId="0" borderId="10" xfId="0" applyFont="1" applyBorder="1" applyAlignment="1">
      <alignment wrapText="1"/>
    </xf>
    <xf numFmtId="0" fontId="12" fillId="6" borderId="13" xfId="0" applyFont="1" applyFill="1" applyBorder="1" applyAlignment="1">
      <alignment wrapText="1"/>
    </xf>
    <xf numFmtId="0" fontId="11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6" xfId="0" applyFont="1" applyBorder="1" applyAlignment="1">
      <alignment horizontal="center" wrapText="1"/>
    </xf>
    <xf numFmtId="0" fontId="5" fillId="6" borderId="6" xfId="0" applyFont="1" applyFill="1" applyBorder="1" applyAlignment="1">
      <alignment horizontal="left" wrapText="1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12" fillId="6" borderId="13" xfId="0" applyFont="1" applyFill="1" applyBorder="1" applyAlignment="1">
      <alignment horizontal="left" wrapText="1"/>
    </xf>
    <xf numFmtId="0" fontId="10" fillId="0" borderId="0" xfId="0" applyFont="1" applyBorder="1" applyAlignment="1">
      <alignment horizontal="left"/>
    </xf>
    <xf numFmtId="0" fontId="5" fillId="0" borderId="6" xfId="0" applyFont="1" applyBorder="1" applyAlignment="1">
      <alignment horizontal="right" wrapText="1"/>
    </xf>
    <xf numFmtId="0" fontId="7" fillId="0" borderId="7" xfId="0" applyFont="1" applyBorder="1" applyAlignment="1">
      <alignment horizontal="right"/>
    </xf>
    <xf numFmtId="1" fontId="14" fillId="0" borderId="7" xfId="0" applyNumberFormat="1" applyFont="1" applyBorder="1" applyAlignment="1">
      <alignment horizontal="right"/>
    </xf>
    <xf numFmtId="1" fontId="9" fillId="0" borderId="8" xfId="0" applyNumberFormat="1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3" fillId="0" borderId="7" xfId="0" applyNumberFormat="1" applyFont="1" applyBorder="1" applyAlignment="1">
      <alignment horizontal="right"/>
    </xf>
    <xf numFmtId="1" fontId="4" fillId="8" borderId="12" xfId="0" applyNumberFormat="1" applyFont="1" applyFill="1" applyBorder="1" applyAlignment="1">
      <alignment horizontal="right"/>
    </xf>
    <xf numFmtId="0" fontId="3" fillId="0" borderId="8" xfId="0" applyNumberFormat="1" applyFont="1" applyBorder="1" applyAlignment="1">
      <alignment horizontal="right"/>
    </xf>
    <xf numFmtId="0" fontId="7" fillId="0" borderId="7" xfId="0" applyNumberFormat="1" applyFont="1" applyBorder="1" applyAlignment="1">
      <alignment horizontal="right"/>
    </xf>
    <xf numFmtId="0" fontId="9" fillId="0" borderId="7" xfId="0" applyNumberFormat="1" applyFont="1" applyBorder="1" applyAlignment="1">
      <alignment horizontal="right"/>
    </xf>
    <xf numFmtId="1" fontId="9" fillId="0" borderId="7" xfId="0" applyNumberFormat="1" applyFont="1" applyBorder="1" applyAlignment="1">
      <alignment horizontal="right"/>
    </xf>
    <xf numFmtId="1" fontId="3" fillId="0" borderId="0" xfId="0" applyNumberFormat="1" applyFont="1" applyBorder="1" applyAlignment="1">
      <alignment horizontal="right"/>
    </xf>
    <xf numFmtId="0" fontId="3" fillId="0" borderId="2" xfId="0" applyNumberFormat="1" applyFont="1" applyBorder="1" applyAlignment="1">
      <alignment horizontal="right"/>
    </xf>
    <xf numFmtId="1" fontId="3" fillId="0" borderId="12" xfId="0" applyNumberFormat="1" applyFont="1" applyBorder="1" applyAlignment="1">
      <alignment horizontal="right"/>
    </xf>
    <xf numFmtId="0" fontId="3" fillId="0" borderId="3" xfId="0" applyNumberFormat="1" applyFont="1" applyBorder="1" applyAlignment="1">
      <alignment horizontal="right"/>
    </xf>
    <xf numFmtId="1" fontId="3" fillId="5" borderId="0" xfId="0" applyNumberFormat="1" applyFont="1" applyFill="1" applyBorder="1" applyAlignment="1">
      <alignment horizontal="right"/>
    </xf>
    <xf numFmtId="0" fontId="3" fillId="5" borderId="7" xfId="0" applyNumberFormat="1" applyFont="1" applyFill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7" fillId="0" borderId="10" xfId="0" applyFont="1" applyBorder="1"/>
    <xf numFmtId="1" fontId="10" fillId="0" borderId="2" xfId="0" applyNumberFormat="1" applyFont="1" applyBorder="1" applyAlignment="1">
      <alignment horizontal="right"/>
    </xf>
    <xf numFmtId="0" fontId="14" fillId="0" borderId="10" xfId="0" applyFont="1" applyBorder="1"/>
    <xf numFmtId="0" fontId="7" fillId="0" borderId="16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14" fillId="0" borderId="17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12" fillId="7" borderId="13" xfId="0" applyFont="1" applyFill="1" applyBorder="1" applyAlignment="1">
      <alignment wrapText="1"/>
    </xf>
    <xf numFmtId="14" fontId="9" fillId="0" borderId="3" xfId="0" quotePrefix="1" applyNumberFormat="1" applyFont="1" applyBorder="1"/>
    <xf numFmtId="0" fontId="5" fillId="0" borderId="19" xfId="0" applyFont="1" applyBorder="1" applyAlignment="1">
      <alignment wrapText="1"/>
    </xf>
    <xf numFmtId="0" fontId="7" fillId="0" borderId="20" xfId="0" applyFont="1" applyBorder="1" applyAlignment="1">
      <alignment horizontal="left"/>
    </xf>
    <xf numFmtId="0" fontId="14" fillId="0" borderId="20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9" fillId="0" borderId="21" xfId="0" applyFont="1" applyBorder="1" applyAlignment="1">
      <alignment horizontal="left"/>
    </xf>
    <xf numFmtId="0" fontId="9" fillId="0" borderId="20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0" fontId="5" fillId="0" borderId="5" xfId="0" applyFont="1" applyBorder="1" applyAlignment="1">
      <alignment wrapText="1"/>
    </xf>
    <xf numFmtId="0" fontId="3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49" fontId="12" fillId="6" borderId="22" xfId="0" applyNumberFormat="1" applyFont="1" applyFill="1" applyBorder="1" applyAlignment="1">
      <alignment wrapText="1"/>
    </xf>
    <xf numFmtId="49" fontId="7" fillId="0" borderId="20" xfId="0" applyNumberFormat="1" applyFont="1" applyBorder="1"/>
    <xf numFmtId="49" fontId="14" fillId="0" borderId="20" xfId="0" applyNumberFormat="1" applyFont="1" applyBorder="1"/>
    <xf numFmtId="49" fontId="3" fillId="0" borderId="20" xfId="0" applyNumberFormat="1" applyFont="1" applyBorder="1"/>
    <xf numFmtId="49" fontId="3" fillId="0" borderId="21" xfId="0" applyNumberFormat="1" applyFont="1" applyBorder="1"/>
    <xf numFmtId="49" fontId="9" fillId="0" borderId="20" xfId="0" applyNumberFormat="1" applyFont="1" applyBorder="1"/>
    <xf numFmtId="49" fontId="13" fillId="0" borderId="20" xfId="0" applyNumberFormat="1" applyFont="1" applyBorder="1"/>
    <xf numFmtId="49" fontId="13" fillId="0" borderId="21" xfId="0" applyNumberFormat="1" applyFont="1" applyBorder="1"/>
    <xf numFmtId="0" fontId="5" fillId="6" borderId="5" xfId="0" applyFont="1" applyFill="1" applyBorder="1" applyAlignment="1">
      <alignment horizontal="right" wrapText="1"/>
    </xf>
    <xf numFmtId="1" fontId="9" fillId="0" borderId="3" xfId="0" applyNumberFormat="1" applyFont="1" applyBorder="1" applyAlignment="1">
      <alignment horizontal="right"/>
    </xf>
    <xf numFmtId="1" fontId="9" fillId="0" borderId="4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0" fontId="9" fillId="0" borderId="2" xfId="0" applyFont="1" applyFill="1" applyBorder="1" applyAlignment="1">
      <alignment horizontal="right"/>
    </xf>
    <xf numFmtId="1" fontId="3" fillId="0" borderId="3" xfId="0" applyNumberFormat="1" applyFont="1" applyBorder="1" applyAlignment="1">
      <alignment horizontal="right"/>
    </xf>
    <xf numFmtId="1" fontId="9" fillId="0" borderId="2" xfId="0" applyNumberFormat="1" applyFont="1" applyBorder="1" applyAlignment="1">
      <alignment horizontal="right"/>
    </xf>
    <xf numFmtId="0" fontId="7" fillId="0" borderId="20" xfId="0" applyFont="1" applyBorder="1"/>
    <xf numFmtId="0" fontId="14" fillId="0" borderId="20" xfId="0" applyFont="1" applyBorder="1"/>
    <xf numFmtId="0" fontId="3" fillId="0" borderId="20" xfId="0" applyFont="1" applyBorder="1"/>
    <xf numFmtId="0" fontId="9" fillId="0" borderId="21" xfId="0" applyFont="1" applyBorder="1"/>
    <xf numFmtId="0" fontId="9" fillId="0" borderId="23" xfId="0" applyFont="1" applyBorder="1"/>
    <xf numFmtId="0" fontId="3" fillId="0" borderId="21" xfId="0" applyFont="1" applyBorder="1"/>
    <xf numFmtId="0" fontId="9" fillId="0" borderId="20" xfId="0" applyFont="1" applyBorder="1"/>
    <xf numFmtId="0" fontId="5" fillId="0" borderId="5" xfId="0" applyFont="1" applyBorder="1" applyAlignment="1">
      <alignment horizontal="right" wrapText="1"/>
    </xf>
    <xf numFmtId="1" fontId="10" fillId="0" borderId="3" xfId="0" applyNumberFormat="1" applyFont="1" applyBorder="1" applyAlignment="1">
      <alignment horizontal="right"/>
    </xf>
    <xf numFmtId="1" fontId="7" fillId="0" borderId="3" xfId="0" applyNumberFormat="1" applyFont="1" applyBorder="1" applyAlignment="1">
      <alignment horizontal="right"/>
    </xf>
    <xf numFmtId="0" fontId="5" fillId="0" borderId="19" xfId="0" applyFont="1" applyBorder="1" applyAlignment="1">
      <alignment horizontal="right" wrapText="1"/>
    </xf>
    <xf numFmtId="1" fontId="7" fillId="0" borderId="20" xfId="0" applyNumberFormat="1" applyFont="1" applyBorder="1" applyAlignment="1">
      <alignment horizontal="right"/>
    </xf>
    <xf numFmtId="1" fontId="14" fillId="0" borderId="20" xfId="0" applyNumberFormat="1" applyFont="1" applyBorder="1" applyAlignment="1">
      <alignment horizontal="right"/>
    </xf>
    <xf numFmtId="1" fontId="3" fillId="0" borderId="20" xfId="0" applyNumberFormat="1" applyFont="1" applyBorder="1" applyAlignment="1">
      <alignment horizontal="right"/>
    </xf>
    <xf numFmtId="1" fontId="9" fillId="0" borderId="21" xfId="0" applyNumberFormat="1" applyFont="1" applyBorder="1" applyAlignment="1">
      <alignment horizontal="right"/>
    </xf>
    <xf numFmtId="1" fontId="9" fillId="0" borderId="23" xfId="0" applyNumberFormat="1" applyFont="1" applyBorder="1" applyAlignment="1">
      <alignment horizontal="right"/>
    </xf>
    <xf numFmtId="1" fontId="4" fillId="8" borderId="21" xfId="0" applyNumberFormat="1" applyFont="1" applyFill="1" applyBorder="1" applyAlignment="1">
      <alignment horizontal="right"/>
    </xf>
    <xf numFmtId="1" fontId="9" fillId="0" borderId="20" xfId="0" applyNumberFormat="1" applyFont="1" applyBorder="1" applyAlignment="1">
      <alignment horizontal="right"/>
    </xf>
    <xf numFmtId="1" fontId="3" fillId="0" borderId="21" xfId="0" applyNumberFormat="1" applyFont="1" applyBorder="1" applyAlignment="1">
      <alignment horizontal="right"/>
    </xf>
    <xf numFmtId="1" fontId="3" fillId="5" borderId="20" xfId="0" applyNumberFormat="1" applyFont="1" applyFill="1" applyBorder="1" applyAlignment="1">
      <alignment horizontal="right"/>
    </xf>
    <xf numFmtId="1" fontId="7" fillId="0" borderId="17" xfId="0" applyNumberFormat="1" applyFont="1" applyBorder="1" applyAlignment="1">
      <alignment horizontal="right" wrapText="1"/>
    </xf>
    <xf numFmtId="1" fontId="14" fillId="0" borderId="17" xfId="0" applyNumberFormat="1" applyFont="1" applyBorder="1" applyAlignment="1">
      <alignment horizontal="right" wrapText="1"/>
    </xf>
    <xf numFmtId="1" fontId="10" fillId="0" borderId="17" xfId="0" applyNumberFormat="1" applyFont="1" applyBorder="1" applyAlignment="1">
      <alignment horizontal="right" wrapText="1"/>
    </xf>
    <xf numFmtId="1" fontId="10" fillId="0" borderId="21" xfId="0" applyNumberFormat="1" applyFont="1" applyBorder="1" applyAlignment="1">
      <alignment horizontal="right" wrapText="1"/>
    </xf>
    <xf numFmtId="1" fontId="7" fillId="0" borderId="21" xfId="0" applyNumberFormat="1" applyFont="1" applyBorder="1" applyAlignment="1">
      <alignment horizontal="right" wrapText="1"/>
    </xf>
    <xf numFmtId="0" fontId="5" fillId="0" borderId="24" xfId="0" applyFont="1" applyBorder="1" applyAlignment="1">
      <alignment wrapText="1"/>
    </xf>
    <xf numFmtId="0" fontId="20" fillId="9" borderId="25" xfId="0" quotePrefix="1" applyFont="1" applyFill="1" applyBorder="1" applyAlignment="1">
      <alignment horizontal="left" vertical="top" wrapText="1"/>
    </xf>
    <xf numFmtId="0" fontId="7" fillId="0" borderId="25" xfId="0" applyFont="1" applyBorder="1"/>
    <xf numFmtId="0" fontId="14" fillId="0" borderId="25" xfId="0" applyFont="1" applyBorder="1"/>
    <xf numFmtId="0" fontId="3" fillId="0" borderId="25" xfId="0" applyFont="1" applyBorder="1"/>
    <xf numFmtId="0" fontId="9" fillId="0" borderId="26" xfId="0" applyFont="1" applyBorder="1"/>
    <xf numFmtId="0" fontId="9" fillId="0" borderId="27" xfId="0" applyFont="1" applyBorder="1"/>
    <xf numFmtId="0" fontId="3" fillId="0" borderId="26" xfId="0" applyFont="1" applyBorder="1"/>
    <xf numFmtId="0" fontId="9" fillId="0" borderId="25" xfId="0" applyFont="1" applyBorder="1"/>
    <xf numFmtId="0" fontId="9" fillId="0" borderId="10" xfId="0" applyFont="1" applyBorder="1"/>
    <xf numFmtId="0" fontId="9" fillId="0" borderId="17" xfId="0" applyFont="1" applyBorder="1" applyAlignment="1">
      <alignment horizontal="left"/>
    </xf>
    <xf numFmtId="1" fontId="9" fillId="0" borderId="17" xfId="0" applyNumberFormat="1" applyFont="1" applyBorder="1" applyAlignment="1">
      <alignment horizontal="right" wrapText="1"/>
    </xf>
    <xf numFmtId="0" fontId="9" fillId="0" borderId="0" xfId="0" applyFont="1"/>
    <xf numFmtId="0" fontId="7" fillId="0" borderId="0" xfId="0" applyFont="1"/>
    <xf numFmtId="1" fontId="4" fillId="10" borderId="2" xfId="0" applyNumberFormat="1" applyFont="1" applyFill="1" applyBorder="1" applyAlignment="1">
      <alignment horizontal="right"/>
    </xf>
    <xf numFmtId="1" fontId="3" fillId="10" borderId="7" xfId="0" applyNumberFormat="1" applyFont="1" applyFill="1" applyBorder="1" applyAlignment="1">
      <alignment horizontal="right"/>
    </xf>
    <xf numFmtId="1" fontId="4" fillId="10" borderId="20" xfId="0" applyNumberFormat="1" applyFont="1" applyFill="1" applyBorder="1" applyAlignment="1">
      <alignment horizontal="right"/>
    </xf>
    <xf numFmtId="0" fontId="3" fillId="0" borderId="7" xfId="0" applyFont="1" applyFill="1" applyBorder="1" applyAlignment="1">
      <alignment horizontal="left"/>
    </xf>
    <xf numFmtId="0" fontId="3" fillId="0" borderId="20" xfId="0" applyFont="1" applyFill="1" applyBorder="1" applyAlignment="1">
      <alignment horizontal="left"/>
    </xf>
    <xf numFmtId="0" fontId="4" fillId="0" borderId="2" xfId="0" applyFont="1" applyFill="1" applyBorder="1"/>
    <xf numFmtId="0" fontId="4" fillId="0" borderId="7" xfId="0" applyFont="1" applyFill="1" applyBorder="1"/>
    <xf numFmtId="0" fontId="4" fillId="0" borderId="7" xfId="0" applyFont="1" applyFill="1" applyBorder="1" applyAlignment="1">
      <alignment horizontal="left"/>
    </xf>
    <xf numFmtId="1" fontId="4" fillId="10" borderId="7" xfId="0" applyNumberFormat="1" applyFont="1" applyFill="1" applyBorder="1" applyAlignment="1">
      <alignment horizontal="right"/>
    </xf>
    <xf numFmtId="1" fontId="7" fillId="0" borderId="18" xfId="0" applyNumberFormat="1" applyFont="1" applyBorder="1" applyAlignment="1">
      <alignment horizontal="right" wrapText="1"/>
    </xf>
    <xf numFmtId="0" fontId="21" fillId="0" borderId="10" xfId="0" applyFont="1" applyBorder="1"/>
    <xf numFmtId="1" fontId="10" fillId="0" borderId="18" xfId="0" applyNumberFormat="1" applyFont="1" applyBorder="1" applyAlignment="1">
      <alignment horizontal="right" wrapText="1"/>
    </xf>
    <xf numFmtId="0" fontId="21" fillId="0" borderId="11" xfId="0" applyFont="1" applyBorder="1"/>
    <xf numFmtId="14" fontId="9" fillId="0" borderId="2" xfId="0" quotePrefix="1" applyNumberFormat="1" applyFont="1" applyBorder="1"/>
    <xf numFmtId="0" fontId="9" fillId="0" borderId="16" xfId="0" applyFont="1" applyBorder="1" applyAlignment="1">
      <alignment horizontal="left"/>
    </xf>
    <xf numFmtId="0" fontId="9" fillId="0" borderId="11" xfId="0" applyFont="1" applyBorder="1"/>
    <xf numFmtId="0" fontId="9" fillId="0" borderId="18" xfId="0" applyFont="1" applyBorder="1" applyAlignment="1">
      <alignment horizontal="left"/>
    </xf>
    <xf numFmtId="49" fontId="9" fillId="0" borderId="21" xfId="0" applyNumberFormat="1" applyFont="1" applyBorder="1"/>
    <xf numFmtId="1" fontId="9" fillId="0" borderId="21" xfId="0" applyNumberFormat="1" applyFont="1" applyBorder="1" applyAlignment="1">
      <alignment horizontal="right" wrapText="1"/>
    </xf>
    <xf numFmtId="0" fontId="14" fillId="0" borderId="16" xfId="0" applyFont="1" applyBorder="1" applyAlignment="1">
      <alignment horizontal="left"/>
    </xf>
    <xf numFmtId="0" fontId="22" fillId="0" borderId="2" xfId="0" applyFont="1" applyBorder="1"/>
    <xf numFmtId="0" fontId="17" fillId="0" borderId="2" xfId="0" applyFont="1" applyBorder="1"/>
  </cellXfs>
  <cellStyles count="1">
    <cellStyle name="Normal" xfId="0" builtinId="0"/>
  </cellStyles>
  <dxfs count="44"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vertical/>
      </border>
    </dxf>
    <dxf>
      <numFmt numFmtId="1" formatCode="0"/>
      <alignment horizontal="right" vertical="bottom" textRotation="0" indent="0" justifyLastLine="0" shrinkToFit="0" readingOrder="0"/>
      <border diagonalUp="0" diagonalDown="0">
        <right style="thin">
          <color indexed="64"/>
        </right>
        <vertical/>
      </border>
    </dxf>
    <dxf>
      <numFmt numFmtId="1" formatCode="0"/>
      <alignment horizontal="righ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1" formatCode="0"/>
      <alignment horizontal="right" vertical="bottom" textRotation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0" formatCode="General"/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/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indent="0" justifyLastLine="0" shrinkToFit="0" readingOrder="0"/>
      <border diagonalUp="0" diagonalDown="0">
        <left/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name val="Aptos"/>
        <scheme val="none"/>
      </font>
      <alignment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CCCC"/>
      <color rgb="FFFF33CC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52</xdr:row>
      <xdr:rowOff>0</xdr:rowOff>
    </xdr:from>
    <xdr:to>
      <xdr:col>2</xdr:col>
      <xdr:colOff>75557</xdr:colOff>
      <xdr:row>57</xdr:row>
      <xdr:rowOff>37463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EB888E7D-E08A-43B9-8BA6-45F0C32B2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82000"/>
          <a:ext cx="66667" cy="1904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0E7B34-75E3-43BA-8CDD-44A4EFCCEFD5}" name="Table2" displayName="Table2" ref="A1:Z132" totalsRowShown="0" headerRowDxfId="43" dataDxfId="42">
  <autoFilter ref="A1:Z132" xr:uid="{690E7B34-75E3-43BA-8CDD-44A4EFCCEFD5}">
    <filterColumn colId="7">
      <filters blank="1">
        <filter val="Brettsperrholz KBOB"/>
        <filter val="BSH"/>
        <filter val="BSH KBOB"/>
        <filter val="Konstruktionsvollholz"/>
        <filter val="KVH"/>
      </filters>
    </filterColumn>
    <filterColumn colId="9">
      <filters>
        <filter val="wood"/>
      </filters>
    </filterColumn>
  </autoFilter>
  <tableColumns count="26">
    <tableColumn id="9" xr3:uid="{1DBBD25D-72F9-4A81-9CFA-500505E3628D}" name="ID" dataDxfId="41"/>
    <tableColumn id="14" xr3:uid="{6844A52F-C967-44C0-BF5C-160C47AB6E64}" name="PRO_ID" dataDxfId="40"/>
    <tableColumn id="12" xr3:uid="{4EDF1E73-4744-474F-8DFE-7F72FB05613C}" name="EPD_ID" dataDxfId="39"/>
    <tableColumn id="1" xr3:uid="{1CF2E22E-1020-4F35-B31F-6350A15A5DE8}" name="SOURCE" dataDxfId="38"/>
    <tableColumn id="11" xr3:uid="{81FE7F31-5F54-40F9-B99E-827E048F7DB5}" name="EPD_DATE" dataDxfId="37"/>
    <tableColumn id="10" xr3:uid="{54D8BA04-0FEF-4C3B-9B14-59E8F982CD3F}" name="VALID_TO" dataDxfId="36"/>
    <tableColumn id="22" xr3:uid="{3D6FC370-B8A8-40C3-9FC8-791B178DDFDF}" name="COUNTRY" dataDxfId="35"/>
    <tableColumn id="4" xr3:uid="{25C7280F-4E3E-4E39-BDBB-DC06DF090C5B}" name="PRODUCT_NAME" dataDxfId="34"/>
    <tableColumn id="26" xr3:uid="{1053A7DD-B11F-4E75-92EC-BC0F866E90B4}" name="OEKOBAUDAT_ID" dataDxfId="33"/>
    <tableColumn id="25" xr3:uid="{295F99F8-E318-45C9-833E-F0B45A26471A}" name="MATERIAL_GROUP" dataDxfId="32"/>
    <tableColumn id="2" xr3:uid="{1326FCEF-D1EE-4F3A-BB8B-77CB4EC72B0C}" name="MATERIAL" dataDxfId="31"/>
    <tableColumn id="5" xr3:uid="{9B2A7F84-D968-4A00-B61F-23BB0661E7A3}" name="CEMENT" dataDxfId="30"/>
    <tableColumn id="6" xr3:uid="{2F6E5831-6238-4360-9CFD-ED23A193E761}" name="MECH_PROP" dataDxfId="29"/>
    <tableColumn id="13" xr3:uid="{50DAB01C-8AF5-4E0C-9904-54F70B81BC55}" name="DENSITY" dataDxfId="28"/>
    <tableColumn id="18" xr3:uid="{F799A4D4-9543-475F-989E-CFBA47249558}" name="EXPOSITIONSKLASSE" dataDxfId="27"/>
    <tableColumn id="17" xr3:uid="{ECCBC067-991C-4C60-942D-806BCD77B990}" name="GROESSTKORN" dataDxfId="26"/>
    <tableColumn id="16" xr3:uid="{05157B85-D5FB-4844-9B53-D8AB09BCE0D9}" name="CHLORIDGEHALT" dataDxfId="25"/>
    <tableColumn id="15" xr3:uid="{9F53CF50-7148-405A-9295-1F0C3C45645A}" name="KONSISTENZKLASSE" dataDxfId="24"/>
    <tableColumn id="7" xr3:uid="{E23232F6-E86E-4AD2-8257-F30C0D1F7368}" name="Total_GWP" dataDxfId="23"/>
    <tableColumn id="20" xr3:uid="{0A9001B4-3AB4-4C58-B125-0B2AA4DB2681}" name="A1toA3_GWP" dataDxfId="22">
      <calculatedColumnFormula>119+10.9+238</calculatedColumnFormula>
    </tableColumn>
    <tableColumn id="21" xr3:uid="{2799394A-C481-45CE-B194-AAABAB0AED38}" name="C1toC4_GWP" dataDxfId="21">
      <calculatedColumnFormula>51.1+26+2.64+12.6</calculatedColumnFormula>
    </tableColumn>
    <tableColumn id="19" xr3:uid="{70561D70-9D02-4E93-A395-229DA8696DDA}" name="Hilfsspalte" dataDxfId="20">
      <calculatedColumnFormula>IF(OR($D2="Ecoinvent",$D2="Betonsortenrechner",$D2="KBOB",$S2&lt;=0),0,1)</calculatedColumnFormula>
    </tableColumn>
    <tableColumn id="3" xr3:uid="{DB90AC0A-8933-4040-BADE-E6EE11AC8BD7}" name="Statistik" dataDxfId="19">
      <calculatedColumnFormula array="1">IF($V2&lt;&gt;0,
IF(AND(
                         S2&gt;=_xlfn.PERCENTILE.INC(_xlfn._xlws.FILTER($S$2:$S$148, ($K$2:$K$148=K2)*($V$2:$V$148=1)),0.1),
                         S2&lt;=_xlfn.PERCENTILE.INC(_xlfn._xlws.FILTER($S$2:$S$148, ($K$2:$K$148=K2)*($V$2:$V$148=1)),0.9)
               ),1,0),
0)</calculatedColumnFormula>
    </tableColumn>
    <tableColumn id="8" xr3:uid="{BBA6C134-63F9-4711-8B25-086098EC2CB0}" name="Cost" dataDxfId="18"/>
    <tableColumn id="24" xr3:uid="{5321A0E1-043C-4E95-A6DA-41830364B2BC}" name="Anmerkung" dataDxfId="17"/>
    <tableColumn id="23" xr3:uid="{61456234-34E8-4222-B2D6-9DDA8E83B081}" name="Spalte1" dataDxfId="16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8FAA96-3B75-4826-B66B-A81D5BCFC670}" name="Tabelle4" displayName="Tabelle4" ref="A1:I8" totalsRowShown="0" headerRowDxfId="15" dataDxfId="13" headerRowBorderDxfId="14" tableBorderDxfId="12" totalsRowBorderDxfId="11">
  <autoFilter ref="A1:I8" xr:uid="{188FAA96-3B75-4826-B66B-A81D5BCFC670}"/>
  <tableColumns count="9">
    <tableColumn id="1" xr3:uid="{AF3C694B-2C8A-40EE-B8BB-2EC9EB81A87A}" name="mat_ID" dataDxfId="10"/>
    <tableColumn id="2" xr3:uid="{B447FBC2-C455-4332-8F47-150B112A57E0}" name="name" dataDxfId="9"/>
    <tableColumn id="3" xr3:uid="{BAFC6B47-7268-46CC-A881-892C9A1F4334}" name="strength_comp" dataDxfId="8"/>
    <tableColumn id="4" xr3:uid="{6FC4C8EB-7581-4E67-81CE-C724161F0838}" name="strength_tens" dataDxfId="7"/>
    <tableColumn id="5" xr3:uid="{A875970E-61A9-43B5-9361-7616A74C3147}" name="strength_bend" dataDxfId="6"/>
    <tableColumn id="6" xr3:uid="{EF5B3A69-DD70-420A-88FF-4FE8772A2E14}" name="strength_shea" dataDxfId="5"/>
    <tableColumn id="7" xr3:uid="{ED461A80-736C-42BD-81BC-C5C0C80FF34C}" name="E_modulus" dataDxfId="4"/>
    <tableColumn id="8" xr3:uid="{68E47481-7028-4427-B126-2A046FC46737}" name="density_load" dataDxfId="3"/>
    <tableColumn id="9" xr3:uid="{7AB34570-2BD4-417F-B141-70612577C7D6}" name="burn_r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19769-F4C0-43FE-B7CF-7C389D172BEA}">
  <dimension ref="A1:AA132"/>
  <sheetViews>
    <sheetView showGridLines="0" tabSelected="1" topLeftCell="K1" zoomScale="94" zoomScaleNormal="100" workbookViewId="0">
      <selection activeCell="S93" sqref="S93"/>
    </sheetView>
  </sheetViews>
  <sheetFormatPr defaultColWidth="9.140625" defaultRowHeight="15" x14ac:dyDescent="0.25"/>
  <cols>
    <col min="1" max="1" width="6.5703125" style="50" customWidth="1"/>
    <col min="2" max="2" width="5" style="80" customWidth="1"/>
    <col min="3" max="3" width="24" style="47" customWidth="1"/>
    <col min="4" max="6" width="10.7109375" style="47" customWidth="1"/>
    <col min="7" max="7" width="10.7109375" style="48" customWidth="1"/>
    <col min="8" max="8" width="20.140625" style="47" customWidth="1"/>
    <col min="9" max="10" width="10.7109375" style="47" customWidth="1"/>
    <col min="11" max="11" width="35" style="55" customWidth="1"/>
    <col min="12" max="14" width="10.7109375" style="47" customWidth="1"/>
    <col min="15" max="15" width="6.7109375" style="47" customWidth="1"/>
    <col min="16" max="17" width="6.7109375" style="49" customWidth="1"/>
    <col min="18" max="18" width="6.7109375" style="47" customWidth="1"/>
    <col min="19" max="19" width="10.28515625" style="99" customWidth="1"/>
    <col min="20" max="23" width="6.7109375" style="99" customWidth="1"/>
    <col min="24" max="24" width="6.7109375" style="47" customWidth="1"/>
    <col min="25" max="25" width="71" style="47" customWidth="1"/>
    <col min="26" max="28" width="23.7109375" style="47" bestFit="1" customWidth="1"/>
    <col min="29" max="29" width="15.5703125" style="47" bestFit="1" customWidth="1"/>
    <col min="30" max="56" width="23.7109375" style="47" bestFit="1" customWidth="1"/>
    <col min="57" max="57" width="15.5703125" style="47" bestFit="1" customWidth="1"/>
    <col min="58" max="16384" width="9.140625" style="47"/>
  </cols>
  <sheetData>
    <row r="1" spans="1:26" s="78" customFormat="1" ht="67.5" customHeight="1" x14ac:dyDescent="0.25">
      <c r="A1" s="71" t="s">
        <v>345</v>
      </c>
      <c r="B1" s="79" t="s">
        <v>325</v>
      </c>
      <c r="C1" s="73" t="s">
        <v>129</v>
      </c>
      <c r="D1" s="73" t="s">
        <v>388</v>
      </c>
      <c r="E1" s="74" t="s">
        <v>392</v>
      </c>
      <c r="F1" s="74" t="s">
        <v>391</v>
      </c>
      <c r="G1" s="75" t="s">
        <v>390</v>
      </c>
      <c r="H1" s="110" t="s">
        <v>389</v>
      </c>
      <c r="I1" s="108" t="s">
        <v>385</v>
      </c>
      <c r="J1" s="72" t="s">
        <v>386</v>
      </c>
      <c r="K1" s="123" t="s">
        <v>387</v>
      </c>
      <c r="L1" s="117" t="s">
        <v>393</v>
      </c>
      <c r="M1" s="76" t="s">
        <v>394</v>
      </c>
      <c r="N1" s="76" t="s">
        <v>395</v>
      </c>
      <c r="O1" s="74" t="s">
        <v>396</v>
      </c>
      <c r="P1" s="74" t="s">
        <v>397</v>
      </c>
      <c r="Q1" s="74" t="s">
        <v>398</v>
      </c>
      <c r="R1" s="110" t="s">
        <v>399</v>
      </c>
      <c r="S1" s="131" t="s">
        <v>132</v>
      </c>
      <c r="T1" s="81" t="s">
        <v>131</v>
      </c>
      <c r="U1" s="148" t="s">
        <v>133</v>
      </c>
      <c r="V1" s="145" t="s">
        <v>401</v>
      </c>
      <c r="W1" s="148" t="s">
        <v>400</v>
      </c>
      <c r="X1" s="163" t="s">
        <v>130</v>
      </c>
      <c r="Y1" s="117" t="s">
        <v>340</v>
      </c>
      <c r="Z1" s="77" t="s">
        <v>426</v>
      </c>
    </row>
    <row r="2" spans="1:26" s="11" customFormat="1" hidden="1" x14ac:dyDescent="0.25">
      <c r="A2" s="100" t="s">
        <v>346</v>
      </c>
      <c r="B2" s="103">
        <v>1</v>
      </c>
      <c r="C2" s="12" t="s">
        <v>18</v>
      </c>
      <c r="D2" s="13" t="s">
        <v>12</v>
      </c>
      <c r="E2" s="26" t="s">
        <v>170</v>
      </c>
      <c r="F2" s="26" t="s">
        <v>170</v>
      </c>
      <c r="G2" s="26" t="s">
        <v>54</v>
      </c>
      <c r="H2" s="111"/>
      <c r="I2" s="51" t="s">
        <v>337</v>
      </c>
      <c r="J2" s="12" t="s">
        <v>327</v>
      </c>
      <c r="K2" s="124" t="s">
        <v>328</v>
      </c>
      <c r="L2" s="12" t="s">
        <v>13</v>
      </c>
      <c r="M2" s="26" t="s">
        <v>14</v>
      </c>
      <c r="N2" s="26">
        <v>2400</v>
      </c>
      <c r="O2" s="13" t="s">
        <v>170</v>
      </c>
      <c r="P2" s="13" t="s">
        <v>170</v>
      </c>
      <c r="Q2" s="13" t="s">
        <v>170</v>
      </c>
      <c r="R2" s="138" t="s">
        <v>170</v>
      </c>
      <c r="S2" s="54">
        <f>SUM(Table2[[#This Row],[A1toA3_GWP]:[C1toC4_GWP]])</f>
        <v>104.16666666666667</v>
      </c>
      <c r="T2" s="23">
        <f>250/Table2[[#This Row],[DENSITY]]*1000</f>
        <v>104.16666666666667</v>
      </c>
      <c r="U2" s="149" t="s">
        <v>170</v>
      </c>
      <c r="V2" s="54">
        <f t="shared" ref="V2:V71" si="0">IF(OR($D2="Ecoinvent",$D2="Betonsortenrechner",$D2="KBOB",$S2&lt;=0),0,1)</f>
        <v>0</v>
      </c>
      <c r="W2" s="158" cm="1">
        <f t="array" ref="W2">IF($V2&lt;&gt;0,
IF(AND(
                         S2&gt;=_xlfn.PERCENTILE.INC(_xlfn._xlws.FILTER($S$2:$S$148, ($K$2:$K$148=K2)*($V$2:$V$148=1)),0.1),
                         S2&lt;=_xlfn.PERCENTILE.INC(_xlfn._xlws.FILTER($S$2:$S$148, ($K$2:$K$148=K2)*($V$2:$V$148=1)),0.9)
               ),1,0),
0)</f>
        <v>0</v>
      </c>
      <c r="X2" s="164"/>
      <c r="Y2" s="12"/>
      <c r="Z2" s="70"/>
    </row>
    <row r="3" spans="1:26" s="11" customFormat="1" hidden="1" x14ac:dyDescent="0.25">
      <c r="A3" s="100" t="s">
        <v>347</v>
      </c>
      <c r="B3" s="104">
        <v>2</v>
      </c>
      <c r="C3" s="12" t="s">
        <v>19</v>
      </c>
      <c r="D3" s="13" t="s">
        <v>12</v>
      </c>
      <c r="E3" s="26" t="s">
        <v>170</v>
      </c>
      <c r="F3" s="26" t="s">
        <v>170</v>
      </c>
      <c r="G3" s="26" t="s">
        <v>54</v>
      </c>
      <c r="H3" s="111"/>
      <c r="I3" s="51" t="s">
        <v>337</v>
      </c>
      <c r="J3" s="12" t="s">
        <v>327</v>
      </c>
      <c r="K3" s="124" t="s">
        <v>328</v>
      </c>
      <c r="L3" s="12" t="s">
        <v>2</v>
      </c>
      <c r="M3" s="26" t="s">
        <v>14</v>
      </c>
      <c r="N3" s="26">
        <v>2400</v>
      </c>
      <c r="O3" s="13" t="s">
        <v>170</v>
      </c>
      <c r="P3" s="13" t="s">
        <v>170</v>
      </c>
      <c r="Q3" s="13" t="s">
        <v>170</v>
      </c>
      <c r="R3" s="138" t="s">
        <v>170</v>
      </c>
      <c r="S3" s="54">
        <f>SUM(Table2[[#This Row],[A1toA3_GWP]:[C1toC4_GWP]])</f>
        <v>84.583333333333329</v>
      </c>
      <c r="T3" s="23">
        <f>203/Table2[[#This Row],[DENSITY]]*1000</f>
        <v>84.583333333333329</v>
      </c>
      <c r="U3" s="149" t="s">
        <v>170</v>
      </c>
      <c r="V3" s="54">
        <f t="shared" si="0"/>
        <v>0</v>
      </c>
      <c r="W3" s="158" cm="1">
        <f t="array" ref="W3">IF($V3&lt;&gt;0,
IF(AND(
                         S3&gt;=_xlfn.PERCENTILE.INC(_xlfn._xlws.FILTER($S$2:$S$148, ($K$2:$K$148=K3)*($V$2:$V$148=1)),0.1),
                         S3&lt;=_xlfn.PERCENTILE.INC(_xlfn._xlws.FILTER($S$2:$S$148, ($K$2:$K$148=K3)*($V$2:$V$148=1)),0.9)
               ),1,0),
0)</f>
        <v>0</v>
      </c>
      <c r="X3" s="165"/>
      <c r="Y3" s="12"/>
      <c r="Z3" s="70"/>
    </row>
    <row r="4" spans="1:26" s="11" customFormat="1" hidden="1" x14ac:dyDescent="0.25">
      <c r="A4" s="100" t="s">
        <v>348</v>
      </c>
      <c r="B4" s="104">
        <v>3</v>
      </c>
      <c r="C4" s="12" t="s">
        <v>20</v>
      </c>
      <c r="D4" s="13" t="s">
        <v>12</v>
      </c>
      <c r="E4" s="26" t="s">
        <v>170</v>
      </c>
      <c r="F4" s="26" t="s">
        <v>170</v>
      </c>
      <c r="G4" s="26" t="s">
        <v>54</v>
      </c>
      <c r="H4" s="111"/>
      <c r="I4" s="51" t="s">
        <v>337</v>
      </c>
      <c r="J4" s="12" t="s">
        <v>327</v>
      </c>
      <c r="K4" s="124" t="s">
        <v>328</v>
      </c>
      <c r="L4" s="12" t="s">
        <v>15</v>
      </c>
      <c r="M4" s="26" t="s">
        <v>9</v>
      </c>
      <c r="N4" s="26">
        <v>2320</v>
      </c>
      <c r="O4" s="13" t="s">
        <v>170</v>
      </c>
      <c r="P4" s="13" t="s">
        <v>170</v>
      </c>
      <c r="Q4" s="13" t="s">
        <v>170</v>
      </c>
      <c r="R4" s="138" t="s">
        <v>170</v>
      </c>
      <c r="S4" s="54">
        <f>SUM(Table2[[#This Row],[A1toA3_GWP]:[C1toC4_GWP]])</f>
        <v>75.431034482758619</v>
      </c>
      <c r="T4" s="23">
        <f>175/Table2[[#This Row],[DENSITY]]*1000</f>
        <v>75.431034482758619</v>
      </c>
      <c r="U4" s="149" t="s">
        <v>170</v>
      </c>
      <c r="V4" s="54">
        <f t="shared" si="0"/>
        <v>0</v>
      </c>
      <c r="W4" s="158" cm="1">
        <f t="array" ref="W4">IF($V4&lt;&gt;0,
IF(AND(
                         S4&gt;=_xlfn.PERCENTILE.INC(_xlfn._xlws.FILTER($S$2:$S$148, ($K$2:$K$148=K4)*($V$2:$V$148=1)),0.1),
                         S4&lt;=_xlfn.PERCENTILE.INC(_xlfn._xlws.FILTER($S$2:$S$148, ($K$2:$K$148=K4)*($V$2:$V$148=1)),0.9)
               ),1,0),
0)</f>
        <v>0</v>
      </c>
      <c r="X4" s="165"/>
      <c r="Y4" s="12"/>
      <c r="Z4" s="70"/>
    </row>
    <row r="5" spans="1:26" s="11" customFormat="1" hidden="1" x14ac:dyDescent="0.25">
      <c r="A5" s="100" t="s">
        <v>349</v>
      </c>
      <c r="B5" s="104">
        <v>4</v>
      </c>
      <c r="C5" s="12" t="s">
        <v>21</v>
      </c>
      <c r="D5" s="13" t="s">
        <v>12</v>
      </c>
      <c r="E5" s="26" t="s">
        <v>170</v>
      </c>
      <c r="F5" s="26" t="s">
        <v>170</v>
      </c>
      <c r="G5" s="26" t="s">
        <v>54</v>
      </c>
      <c r="H5" s="111"/>
      <c r="I5" s="51" t="s">
        <v>337</v>
      </c>
      <c r="J5" s="12" t="s">
        <v>327</v>
      </c>
      <c r="K5" s="124" t="s">
        <v>328</v>
      </c>
      <c r="L5" s="12" t="s">
        <v>16</v>
      </c>
      <c r="M5" s="26" t="s">
        <v>14</v>
      </c>
      <c r="N5" s="26">
        <v>2390</v>
      </c>
      <c r="O5" s="13" t="s">
        <v>170</v>
      </c>
      <c r="P5" s="13" t="s">
        <v>170</v>
      </c>
      <c r="Q5" s="13" t="s">
        <v>170</v>
      </c>
      <c r="R5" s="138" t="s">
        <v>170</v>
      </c>
      <c r="S5" s="54">
        <f>SUM(Table2[[#This Row],[A1toA3_GWP]:[C1toC4_GWP]])</f>
        <v>76.987447698744774</v>
      </c>
      <c r="T5" s="23">
        <f>184/Table2[[#This Row],[DENSITY]]*1000</f>
        <v>76.987447698744774</v>
      </c>
      <c r="U5" s="149" t="s">
        <v>170</v>
      </c>
      <c r="V5" s="54">
        <f t="shared" si="0"/>
        <v>0</v>
      </c>
      <c r="W5" s="158" cm="1">
        <f t="array" ref="W5">IF($V5&lt;&gt;0,
IF(AND(
                         S5&gt;=_xlfn.PERCENTILE.INC(_xlfn._xlws.FILTER($S$2:$S$148, ($K$2:$K$148=K5)*($V$2:$V$148=1)),0.1),
                         S5&lt;=_xlfn.PERCENTILE.INC(_xlfn._xlws.FILTER($S$2:$S$148, ($K$2:$K$148=K5)*($V$2:$V$148=1)),0.9)
               ),1,0),
0)</f>
        <v>0</v>
      </c>
      <c r="X5" s="165"/>
      <c r="Y5" s="12"/>
      <c r="Z5" s="70"/>
    </row>
    <row r="6" spans="1:26" s="11" customFormat="1" hidden="1" x14ac:dyDescent="0.25">
      <c r="A6" s="100" t="s">
        <v>350</v>
      </c>
      <c r="B6" s="104">
        <v>5</v>
      </c>
      <c r="C6" s="12" t="s">
        <v>22</v>
      </c>
      <c r="D6" s="13" t="s">
        <v>12</v>
      </c>
      <c r="E6" s="26" t="s">
        <v>170</v>
      </c>
      <c r="F6" s="26" t="s">
        <v>170</v>
      </c>
      <c r="G6" s="26" t="s">
        <v>54</v>
      </c>
      <c r="H6" s="111"/>
      <c r="I6" s="51" t="s">
        <v>337</v>
      </c>
      <c r="J6" s="12" t="s">
        <v>327</v>
      </c>
      <c r="K6" s="124" t="s">
        <v>328</v>
      </c>
      <c r="L6" s="12" t="s">
        <v>17</v>
      </c>
      <c r="M6" s="26" t="s">
        <v>30</v>
      </c>
      <c r="N6" s="26">
        <v>2420</v>
      </c>
      <c r="O6" s="13" t="s">
        <v>170</v>
      </c>
      <c r="P6" s="13" t="s">
        <v>170</v>
      </c>
      <c r="Q6" s="13" t="s">
        <v>170</v>
      </c>
      <c r="R6" s="138" t="s">
        <v>170</v>
      </c>
      <c r="S6" s="54">
        <f>SUM(Table2[[#This Row],[A1toA3_GWP]:[C1toC4_GWP]])</f>
        <v>81.404958677685954</v>
      </c>
      <c r="T6" s="23">
        <f>197/Table2[[#This Row],[DENSITY]]*1000</f>
        <v>81.404958677685954</v>
      </c>
      <c r="U6" s="149" t="s">
        <v>170</v>
      </c>
      <c r="V6" s="54">
        <f t="shared" si="0"/>
        <v>0</v>
      </c>
      <c r="W6" s="158" cm="1">
        <f t="array" ref="W6">IF($V6&lt;&gt;0,
IF(AND(
                         S6&gt;=_xlfn.PERCENTILE.INC(_xlfn._xlws.FILTER($S$2:$S$148, ($K$2:$K$148=K6)*($V$2:$V$148=1)),0.1),
                         S6&lt;=_xlfn.PERCENTILE.INC(_xlfn._xlws.FILTER($S$2:$S$148, ($K$2:$K$148=K6)*($V$2:$V$148=1)),0.9)
               ),1,0),
0)</f>
        <v>0</v>
      </c>
      <c r="X6" s="165"/>
      <c r="Y6" s="12"/>
      <c r="Z6" s="70"/>
    </row>
    <row r="7" spans="1:26" s="11" customFormat="1" hidden="1" x14ac:dyDescent="0.25">
      <c r="A7" s="100" t="s">
        <v>351</v>
      </c>
      <c r="B7" s="104">
        <v>6</v>
      </c>
      <c r="C7" s="12" t="s">
        <v>23</v>
      </c>
      <c r="D7" s="13" t="s">
        <v>12</v>
      </c>
      <c r="E7" s="26" t="s">
        <v>170</v>
      </c>
      <c r="F7" s="26" t="s">
        <v>170</v>
      </c>
      <c r="G7" s="26" t="s">
        <v>54</v>
      </c>
      <c r="H7" s="111"/>
      <c r="I7" s="51" t="s">
        <v>337</v>
      </c>
      <c r="J7" s="12" t="s">
        <v>327</v>
      </c>
      <c r="K7" s="124" t="s">
        <v>328</v>
      </c>
      <c r="L7" s="12" t="s">
        <v>24</v>
      </c>
      <c r="M7" s="26" t="s">
        <v>9</v>
      </c>
      <c r="N7" s="26"/>
      <c r="O7" s="13" t="s">
        <v>170</v>
      </c>
      <c r="P7" s="13" t="s">
        <v>170</v>
      </c>
      <c r="Q7" s="13" t="s">
        <v>170</v>
      </c>
      <c r="R7" s="138" t="s">
        <v>170</v>
      </c>
      <c r="S7" s="54"/>
      <c r="T7" s="82"/>
      <c r="U7" s="149"/>
      <c r="V7" s="54">
        <f t="shared" si="0"/>
        <v>0</v>
      </c>
      <c r="W7" s="158" cm="1">
        <f t="array" ref="W7">IF($V7&lt;&gt;0,
IF(AND(
                         S7&gt;=_xlfn.PERCENTILE.INC(_xlfn._xlws.FILTER($S$2:$S$148, ($K$2:$K$148=K7)*($V$2:$V$148=1)),0.1),
                         S7&lt;=_xlfn.PERCENTILE.INC(_xlfn._xlws.FILTER($S$2:$S$148, ($K$2:$K$148=K7)*($V$2:$V$148=1)),0.9)
               ),1,0),
0)</f>
        <v>0</v>
      </c>
      <c r="X7" s="165"/>
      <c r="Y7" s="12"/>
      <c r="Z7" s="70"/>
    </row>
    <row r="8" spans="1:26" s="11" customFormat="1" hidden="1" x14ac:dyDescent="0.25">
      <c r="A8" s="100" t="s">
        <v>352</v>
      </c>
      <c r="B8" s="104">
        <v>7</v>
      </c>
      <c r="C8" s="12" t="s">
        <v>25</v>
      </c>
      <c r="D8" s="13" t="s">
        <v>12</v>
      </c>
      <c r="E8" s="26" t="s">
        <v>170</v>
      </c>
      <c r="F8" s="26" t="s">
        <v>170</v>
      </c>
      <c r="G8" s="26" t="s">
        <v>54</v>
      </c>
      <c r="H8" s="111"/>
      <c r="I8" s="51" t="s">
        <v>337</v>
      </c>
      <c r="J8" s="12" t="s">
        <v>327</v>
      </c>
      <c r="K8" s="124" t="s">
        <v>328</v>
      </c>
      <c r="L8" s="12" t="s">
        <v>26</v>
      </c>
      <c r="M8" s="26" t="s">
        <v>30</v>
      </c>
      <c r="N8" s="26"/>
      <c r="O8" s="13" t="s">
        <v>170</v>
      </c>
      <c r="P8" s="13" t="s">
        <v>170</v>
      </c>
      <c r="Q8" s="13" t="s">
        <v>170</v>
      </c>
      <c r="R8" s="138" t="s">
        <v>170</v>
      </c>
      <c r="S8" s="54"/>
      <c r="T8" s="82"/>
      <c r="U8" s="149"/>
      <c r="V8" s="54">
        <f t="shared" si="0"/>
        <v>0</v>
      </c>
      <c r="W8" s="158" cm="1">
        <f t="array" ref="W8">IF($V8&lt;&gt;0,
IF(AND(
                         S8&gt;=_xlfn.PERCENTILE.INC(_xlfn._xlws.FILTER($S$2:$S$148, ($K$2:$K$148=K8)*($V$2:$V$148=1)),0.1),
                         S8&lt;=_xlfn.PERCENTILE.INC(_xlfn._xlws.FILTER($S$2:$S$148, ($K$2:$K$148=K8)*($V$2:$V$148=1)),0.9)
               ),1,0),
0)</f>
        <v>0</v>
      </c>
      <c r="X8" s="165"/>
      <c r="Y8" s="12"/>
      <c r="Z8" s="70"/>
    </row>
    <row r="9" spans="1:26" s="11" customFormat="1" hidden="1" x14ac:dyDescent="0.25">
      <c r="A9" s="100" t="s">
        <v>353</v>
      </c>
      <c r="B9" s="104">
        <v>8</v>
      </c>
      <c r="C9" s="12" t="s">
        <v>27</v>
      </c>
      <c r="D9" s="13" t="s">
        <v>12</v>
      </c>
      <c r="E9" s="26" t="s">
        <v>170</v>
      </c>
      <c r="F9" s="26" t="s">
        <v>170</v>
      </c>
      <c r="G9" s="26" t="s">
        <v>54</v>
      </c>
      <c r="H9" s="111"/>
      <c r="I9" s="51" t="s">
        <v>337</v>
      </c>
      <c r="J9" s="12" t="s">
        <v>327</v>
      </c>
      <c r="K9" s="124" t="s">
        <v>328</v>
      </c>
      <c r="L9" s="12" t="s">
        <v>15</v>
      </c>
      <c r="M9" s="26" t="s">
        <v>30</v>
      </c>
      <c r="N9" s="26"/>
      <c r="O9" s="13" t="s">
        <v>170</v>
      </c>
      <c r="P9" s="13" t="s">
        <v>170</v>
      </c>
      <c r="Q9" s="13" t="s">
        <v>170</v>
      </c>
      <c r="R9" s="138" t="s">
        <v>170</v>
      </c>
      <c r="S9" s="54"/>
      <c r="T9" s="82"/>
      <c r="U9" s="149"/>
      <c r="V9" s="54">
        <f t="shared" si="0"/>
        <v>0</v>
      </c>
      <c r="W9" s="158" cm="1">
        <f t="array" ref="W9">IF($V9&lt;&gt;0,
IF(AND(
                         S9&gt;=_xlfn.PERCENTILE.INC(_xlfn._xlws.FILTER($S$2:$S$148, ($K$2:$K$148=K9)*($V$2:$V$148=1)),0.1),
                         S9&lt;=_xlfn.PERCENTILE.INC(_xlfn._xlws.FILTER($S$2:$S$148, ($K$2:$K$148=K9)*($V$2:$V$148=1)),0.9)
               ),1,0),
0)</f>
        <v>0</v>
      </c>
      <c r="X9" s="165"/>
      <c r="Y9" s="12"/>
      <c r="Z9" s="70"/>
    </row>
    <row r="10" spans="1:26" s="11" customFormat="1" hidden="1" x14ac:dyDescent="0.25">
      <c r="A10" s="100" t="s">
        <v>354</v>
      </c>
      <c r="B10" s="104">
        <v>9</v>
      </c>
      <c r="C10" s="12" t="s">
        <v>28</v>
      </c>
      <c r="D10" s="13" t="s">
        <v>12</v>
      </c>
      <c r="E10" s="26" t="s">
        <v>170</v>
      </c>
      <c r="F10" s="26" t="s">
        <v>170</v>
      </c>
      <c r="G10" s="26" t="s">
        <v>54</v>
      </c>
      <c r="H10" s="111"/>
      <c r="I10" s="51" t="s">
        <v>337</v>
      </c>
      <c r="J10" s="12" t="s">
        <v>327</v>
      </c>
      <c r="K10" s="124" t="s">
        <v>328</v>
      </c>
      <c r="L10" s="12" t="s">
        <v>29</v>
      </c>
      <c r="M10" s="26" t="s">
        <v>30</v>
      </c>
      <c r="N10" s="26"/>
      <c r="O10" s="13" t="s">
        <v>170</v>
      </c>
      <c r="P10" s="13" t="s">
        <v>170</v>
      </c>
      <c r="Q10" s="13" t="s">
        <v>170</v>
      </c>
      <c r="R10" s="138" t="s">
        <v>170</v>
      </c>
      <c r="S10" s="54"/>
      <c r="T10" s="82"/>
      <c r="U10" s="149"/>
      <c r="V10" s="54">
        <f t="shared" si="0"/>
        <v>0</v>
      </c>
      <c r="W10" s="158" cm="1">
        <f t="array" ref="W10">IF($V10&lt;&gt;0,
IF(AND(
                         S10&gt;=_xlfn.PERCENTILE.INC(_xlfn._xlws.FILTER($S$2:$S$148, ($K$2:$K$148=K10)*($V$2:$V$148=1)),0.1),
                         S10&lt;=_xlfn.PERCENTILE.INC(_xlfn._xlws.FILTER($S$2:$S$148, ($K$2:$K$148=K10)*($V$2:$V$148=1)),0.9)
               ),1,0),
0)</f>
        <v>0</v>
      </c>
      <c r="X10" s="165"/>
      <c r="Y10" s="12"/>
      <c r="Z10" s="70"/>
    </row>
    <row r="11" spans="1:26" s="11" customFormat="1" hidden="1" x14ac:dyDescent="0.25">
      <c r="A11" s="100" t="s">
        <v>355</v>
      </c>
      <c r="B11" s="104">
        <v>10</v>
      </c>
      <c r="C11" s="12" t="s">
        <v>31</v>
      </c>
      <c r="D11" s="13" t="s">
        <v>12</v>
      </c>
      <c r="E11" s="26" t="s">
        <v>170</v>
      </c>
      <c r="F11" s="26" t="s">
        <v>170</v>
      </c>
      <c r="G11" s="26" t="s">
        <v>54</v>
      </c>
      <c r="H11" s="111"/>
      <c r="I11" s="51" t="s">
        <v>337</v>
      </c>
      <c r="J11" s="12" t="s">
        <v>327</v>
      </c>
      <c r="K11" s="124" t="s">
        <v>328</v>
      </c>
      <c r="L11" s="12" t="s">
        <v>32</v>
      </c>
      <c r="M11" s="26" t="s">
        <v>9</v>
      </c>
      <c r="N11" s="26"/>
      <c r="O11" s="13" t="s">
        <v>170</v>
      </c>
      <c r="P11" s="13" t="s">
        <v>170</v>
      </c>
      <c r="Q11" s="13" t="s">
        <v>170</v>
      </c>
      <c r="R11" s="138" t="s">
        <v>170</v>
      </c>
      <c r="S11" s="54"/>
      <c r="T11" s="82"/>
      <c r="U11" s="149"/>
      <c r="V11" s="54">
        <f t="shared" si="0"/>
        <v>0</v>
      </c>
      <c r="W11" s="158" cm="1">
        <f t="array" ref="W11">IF($V11&lt;&gt;0,
IF(AND(
                         S11&gt;=_xlfn.PERCENTILE.INC(_xlfn._xlws.FILTER($S$2:$S$148, ($K$2:$K$148=K11)*($V$2:$V$148=1)),0.1),
                         S11&lt;=_xlfn.PERCENTILE.INC(_xlfn._xlws.FILTER($S$2:$S$148, ($K$2:$K$148=K11)*($V$2:$V$148=1)),0.9)
               ),1,0),
0)</f>
        <v>0</v>
      </c>
      <c r="X11" s="165"/>
      <c r="Y11" s="12"/>
      <c r="Z11" s="70"/>
    </row>
    <row r="12" spans="1:26" s="11" customFormat="1" hidden="1" x14ac:dyDescent="0.25">
      <c r="A12" s="100" t="s">
        <v>356</v>
      </c>
      <c r="B12" s="104">
        <v>11</v>
      </c>
      <c r="C12" s="12" t="s">
        <v>42</v>
      </c>
      <c r="D12" s="13" t="s">
        <v>12</v>
      </c>
      <c r="E12" s="26" t="s">
        <v>170</v>
      </c>
      <c r="F12" s="26" t="s">
        <v>170</v>
      </c>
      <c r="G12" s="26" t="s">
        <v>54</v>
      </c>
      <c r="H12" s="111"/>
      <c r="I12" s="51" t="s">
        <v>337</v>
      </c>
      <c r="J12" s="12" t="s">
        <v>327</v>
      </c>
      <c r="K12" s="124" t="s">
        <v>328</v>
      </c>
      <c r="L12" s="12" t="s">
        <v>17</v>
      </c>
      <c r="M12" s="26" t="s">
        <v>14</v>
      </c>
      <c r="N12" s="26">
        <v>2400</v>
      </c>
      <c r="O12" s="13" t="s">
        <v>170</v>
      </c>
      <c r="P12" s="13" t="s">
        <v>170</v>
      </c>
      <c r="Q12" s="13" t="s">
        <v>170</v>
      </c>
      <c r="R12" s="138" t="s">
        <v>170</v>
      </c>
      <c r="S12" s="54">
        <f>SUM(Table2[[#This Row],[A1toA3_GWP]:[C1toC4_GWP]])</f>
        <v>89.583333333333329</v>
      </c>
      <c r="T12" s="23">
        <f>215/Table2[[#This Row],[DENSITY]]*1000</f>
        <v>89.583333333333329</v>
      </c>
      <c r="U12" s="149" t="s">
        <v>170</v>
      </c>
      <c r="V12" s="54">
        <f t="shared" si="0"/>
        <v>0</v>
      </c>
      <c r="W12" s="158" cm="1">
        <f t="array" ref="W12">IF($V12&lt;&gt;0,
IF(AND(
                         S12&gt;=_xlfn.PERCENTILE.INC(_xlfn._xlws.FILTER($S$2:$S$148, ($K$2:$K$148=K12)*($V$2:$V$148=1)),0.1),
                         S12&lt;=_xlfn.PERCENTILE.INC(_xlfn._xlws.FILTER($S$2:$S$148, ($K$2:$K$148=K12)*($V$2:$V$148=1)),0.9)
               ),1,0),
0)</f>
        <v>0</v>
      </c>
      <c r="X12" s="165"/>
      <c r="Y12" s="12"/>
      <c r="Z12" s="70"/>
    </row>
    <row r="13" spans="1:26" s="44" customFormat="1" hidden="1" x14ac:dyDescent="0.25">
      <c r="A13" s="102" t="s">
        <v>357</v>
      </c>
      <c r="B13" s="196">
        <v>12</v>
      </c>
      <c r="C13" s="41" t="s">
        <v>170</v>
      </c>
      <c r="D13" s="42" t="s">
        <v>3</v>
      </c>
      <c r="E13" s="43" t="s">
        <v>170</v>
      </c>
      <c r="F13" s="43" t="s">
        <v>170</v>
      </c>
      <c r="G13" s="43" t="s">
        <v>54</v>
      </c>
      <c r="H13" s="112" t="s">
        <v>33</v>
      </c>
      <c r="I13" s="52" t="s">
        <v>337</v>
      </c>
      <c r="J13" s="41" t="s">
        <v>327</v>
      </c>
      <c r="K13" s="125" t="s">
        <v>328</v>
      </c>
      <c r="L13" s="41" t="s">
        <v>17</v>
      </c>
      <c r="M13" s="43" t="s">
        <v>30</v>
      </c>
      <c r="N13" s="43">
        <v>2241</v>
      </c>
      <c r="O13" s="42" t="s">
        <v>170</v>
      </c>
      <c r="P13" s="42" t="s">
        <v>170</v>
      </c>
      <c r="Q13" s="42" t="s">
        <v>170</v>
      </c>
      <c r="R13" s="139" t="s">
        <v>170</v>
      </c>
      <c r="S13" s="69">
        <f>SUM(Table2[[#This Row],[A1toA3_GWP]:[C1toC4_GWP]])</f>
        <v>102.36501561802767</v>
      </c>
      <c r="T13" s="83">
        <f>201/Table2[[#This Row],[DENSITY]]*1000</f>
        <v>89.692101740294518</v>
      </c>
      <c r="U13" s="150">
        <f>28.4/Table2[[#This Row],[DENSITY]]*1000</f>
        <v>12.672913877733155</v>
      </c>
      <c r="V13" s="69">
        <f t="shared" si="0"/>
        <v>0</v>
      </c>
      <c r="W13" s="159" cm="1">
        <f t="array" ref="W13">IF($V13&lt;&gt;0,
IF(AND(
                         S13&gt;=_xlfn.PERCENTILE.INC(_xlfn._xlws.FILTER($S$2:$S$148, ($K$2:$K$148=K13)*($V$2:$V$148=1)),0.1),
                         S13&lt;=_xlfn.PERCENTILE.INC(_xlfn._xlws.FILTER($S$2:$S$148, ($K$2:$K$148=K13)*($V$2:$V$148=1)),0.9)
               ),1,0),
0)</f>
        <v>0</v>
      </c>
      <c r="X13" s="166"/>
      <c r="Y13" s="41"/>
      <c r="Z13" s="70"/>
    </row>
    <row r="14" spans="1:26" s="44" customFormat="1" hidden="1" x14ac:dyDescent="0.25">
      <c r="A14" s="102" t="s">
        <v>358</v>
      </c>
      <c r="B14" s="105">
        <v>13</v>
      </c>
      <c r="C14" s="41" t="s">
        <v>170</v>
      </c>
      <c r="D14" s="42" t="s">
        <v>3</v>
      </c>
      <c r="E14" s="43" t="s">
        <v>170</v>
      </c>
      <c r="F14" s="43" t="s">
        <v>170</v>
      </c>
      <c r="G14" s="43" t="s">
        <v>54</v>
      </c>
      <c r="H14" s="112" t="s">
        <v>33</v>
      </c>
      <c r="I14" s="52" t="s">
        <v>337</v>
      </c>
      <c r="J14" s="41" t="s">
        <v>327</v>
      </c>
      <c r="K14" s="125" t="s">
        <v>328</v>
      </c>
      <c r="L14" s="41" t="s">
        <v>2</v>
      </c>
      <c r="M14" s="43" t="s">
        <v>30</v>
      </c>
      <c r="N14" s="43">
        <v>2241</v>
      </c>
      <c r="O14" s="42" t="s">
        <v>170</v>
      </c>
      <c r="P14" s="42" t="s">
        <v>170</v>
      </c>
      <c r="Q14" s="42" t="s">
        <v>170</v>
      </c>
      <c r="R14" s="139" t="s">
        <v>170</v>
      </c>
      <c r="S14" s="69">
        <f>SUM(Table2[[#This Row],[A1toA3_GWP]:[C1toC4_GWP]])</f>
        <v>100.1338688085676</v>
      </c>
      <c r="T14" s="83">
        <f>196/Table2[[#This Row],[DENSITY]]*1000</f>
        <v>87.460954930834447</v>
      </c>
      <c r="U14" s="150">
        <f>28.4/Table2[[#This Row],[DENSITY]]*1000</f>
        <v>12.672913877733155</v>
      </c>
      <c r="V14" s="69">
        <f t="shared" si="0"/>
        <v>0</v>
      </c>
      <c r="W14" s="159" cm="1">
        <f t="array" ref="W14">IF($V14&lt;&gt;0,
IF(AND(
                         S14&gt;=_xlfn.PERCENTILE.INC(_xlfn._xlws.FILTER($S$2:$S$148, ($K$2:$K$148=K14)*($V$2:$V$148=1)),0.1),
                         S14&lt;=_xlfn.PERCENTILE.INC(_xlfn._xlws.FILTER($S$2:$S$148, ($K$2:$K$148=K14)*($V$2:$V$148=1)),0.9)
               ),1,0),
0)</f>
        <v>0</v>
      </c>
      <c r="X14" s="166"/>
      <c r="Y14" s="41"/>
      <c r="Z14" s="70"/>
    </row>
    <row r="15" spans="1:26" s="44" customFormat="1" hidden="1" x14ac:dyDescent="0.25">
      <c r="A15" s="102" t="s">
        <v>359</v>
      </c>
      <c r="B15" s="105">
        <v>14</v>
      </c>
      <c r="C15" s="41" t="s">
        <v>170</v>
      </c>
      <c r="D15" s="42" t="s">
        <v>3</v>
      </c>
      <c r="E15" s="43" t="s">
        <v>170</v>
      </c>
      <c r="F15" s="43" t="s">
        <v>170</v>
      </c>
      <c r="G15" s="43" t="s">
        <v>54</v>
      </c>
      <c r="H15" s="112" t="s">
        <v>39</v>
      </c>
      <c r="I15" s="52" t="s">
        <v>337</v>
      </c>
      <c r="J15" s="41" t="s">
        <v>327</v>
      </c>
      <c r="K15" s="125" t="s">
        <v>328</v>
      </c>
      <c r="L15" s="41" t="s">
        <v>2</v>
      </c>
      <c r="M15" s="43" t="s">
        <v>30</v>
      </c>
      <c r="N15" s="43">
        <v>2242</v>
      </c>
      <c r="O15" s="42" t="s">
        <v>170</v>
      </c>
      <c r="P15" s="42" t="s">
        <v>170</v>
      </c>
      <c r="Q15" s="42" t="s">
        <v>170</v>
      </c>
      <c r="R15" s="139" t="s">
        <v>170</v>
      </c>
      <c r="S15" s="69">
        <f>SUM(Table2[[#This Row],[A1toA3_GWP]:[C1toC4_GWP]])</f>
        <v>100.08920606601248</v>
      </c>
      <c r="T15" s="83">
        <f>196/Table2[[#This Row],[DENSITY]]*1000</f>
        <v>87.421944692239066</v>
      </c>
      <c r="U15" s="150">
        <f>28.4/Table2[[#This Row],[DENSITY]]*1000</f>
        <v>12.667261373773416</v>
      </c>
      <c r="V15" s="69">
        <f t="shared" si="0"/>
        <v>0</v>
      </c>
      <c r="W15" s="159" cm="1">
        <f t="array" ref="W15">IF($V15&lt;&gt;0,
IF(AND(
                         S15&gt;=_xlfn.PERCENTILE.INC(_xlfn._xlws.FILTER($S$2:$S$148, ($K$2:$K$148=K15)*($V$2:$V$148=1)),0.1),
                         S15&lt;=_xlfn.PERCENTILE.INC(_xlfn._xlws.FILTER($S$2:$S$148, ($K$2:$K$148=K15)*($V$2:$V$148=1)),0.9)
               ),1,0),
0)</f>
        <v>0</v>
      </c>
      <c r="X15" s="166"/>
      <c r="Y15" s="41"/>
      <c r="Z15" s="70"/>
    </row>
    <row r="16" spans="1:26" s="44" customFormat="1" hidden="1" x14ac:dyDescent="0.25">
      <c r="A16" s="102" t="s">
        <v>360</v>
      </c>
      <c r="B16" s="105">
        <v>15</v>
      </c>
      <c r="C16" s="41" t="s">
        <v>170</v>
      </c>
      <c r="D16" s="42" t="s">
        <v>3</v>
      </c>
      <c r="E16" s="43" t="s">
        <v>170</v>
      </c>
      <c r="F16" s="43" t="s">
        <v>170</v>
      </c>
      <c r="G16" s="43" t="s">
        <v>54</v>
      </c>
      <c r="H16" s="112" t="s">
        <v>40</v>
      </c>
      <c r="I16" s="52" t="s">
        <v>337</v>
      </c>
      <c r="J16" s="41" t="s">
        <v>327</v>
      </c>
      <c r="K16" s="125" t="s">
        <v>328</v>
      </c>
      <c r="L16" s="41" t="s">
        <v>2</v>
      </c>
      <c r="M16" s="43" t="s">
        <v>30</v>
      </c>
      <c r="N16" s="43">
        <v>2242</v>
      </c>
      <c r="O16" s="42" t="s">
        <v>170</v>
      </c>
      <c r="P16" s="42" t="s">
        <v>170</v>
      </c>
      <c r="Q16" s="42" t="s">
        <v>170</v>
      </c>
      <c r="R16" s="139" t="s">
        <v>170</v>
      </c>
      <c r="S16" s="69">
        <f>SUM(Table2[[#This Row],[A1toA3_GWP]:[C1toC4_GWP]])</f>
        <v>100.08920606601248</v>
      </c>
      <c r="T16" s="83">
        <f>196/Table2[[#This Row],[DENSITY]]*1000</f>
        <v>87.421944692239066</v>
      </c>
      <c r="U16" s="150">
        <f>28.4/Table2[[#This Row],[DENSITY]]*1000</f>
        <v>12.667261373773416</v>
      </c>
      <c r="V16" s="69">
        <f t="shared" si="0"/>
        <v>0</v>
      </c>
      <c r="W16" s="159" cm="1">
        <f t="array" ref="W16">IF($V16&lt;&gt;0,
IF(AND(
                         S16&gt;=_xlfn.PERCENTILE.INC(_xlfn._xlws.FILTER($S$2:$S$148, ($K$2:$K$148=K16)*($V$2:$V$148=1)),0.1),
                         S16&lt;=_xlfn.PERCENTILE.INC(_xlfn._xlws.FILTER($S$2:$S$148, ($K$2:$K$148=K16)*($V$2:$V$148=1)),0.9)
               ),1,0),
0)</f>
        <v>0</v>
      </c>
      <c r="X16" s="166"/>
      <c r="Y16" s="41"/>
      <c r="Z16" s="70"/>
    </row>
    <row r="17" spans="1:27" s="44" customFormat="1" hidden="1" x14ac:dyDescent="0.25">
      <c r="A17" s="102" t="s">
        <v>361</v>
      </c>
      <c r="B17" s="105">
        <v>16</v>
      </c>
      <c r="C17" s="41" t="s">
        <v>170</v>
      </c>
      <c r="D17" s="42" t="s">
        <v>3</v>
      </c>
      <c r="E17" s="43" t="s">
        <v>170</v>
      </c>
      <c r="F17" s="43" t="s">
        <v>170</v>
      </c>
      <c r="G17" s="43" t="s">
        <v>54</v>
      </c>
      <c r="H17" s="112" t="s">
        <v>33</v>
      </c>
      <c r="I17" s="52" t="s">
        <v>337</v>
      </c>
      <c r="J17" s="41" t="s">
        <v>327</v>
      </c>
      <c r="K17" s="125" t="s">
        <v>328</v>
      </c>
      <c r="L17" s="41" t="s">
        <v>44</v>
      </c>
      <c r="M17" s="43" t="s">
        <v>30</v>
      </c>
      <c r="N17" s="43">
        <v>2332</v>
      </c>
      <c r="O17" s="42" t="s">
        <v>170</v>
      </c>
      <c r="P17" s="42" t="s">
        <v>170</v>
      </c>
      <c r="Q17" s="42" t="s">
        <v>170</v>
      </c>
      <c r="R17" s="139" t="s">
        <v>170</v>
      </c>
      <c r="S17" s="69">
        <f>SUM(Table2[[#This Row],[A1toA3_GWP]:[C1toC4_GWP]])</f>
        <v>90.651801029159515</v>
      </c>
      <c r="T17" s="83">
        <f>183/Table2[[#This Row],[DENSITY]]*1000</f>
        <v>78.473413379073747</v>
      </c>
      <c r="U17" s="150">
        <f>28.4/Table2[[#This Row],[DENSITY]]*1000</f>
        <v>12.178387650085762</v>
      </c>
      <c r="V17" s="69">
        <f t="shared" si="0"/>
        <v>0</v>
      </c>
      <c r="W17" s="159" cm="1">
        <f t="array" ref="W17">IF($V17&lt;&gt;0,
IF(AND(
                         S17&gt;=_xlfn.PERCENTILE.INC(_xlfn._xlws.FILTER($S$2:$S$148, ($K$2:$K$148=K17)*($V$2:$V$148=1)),0.1),
                         S17&lt;=_xlfn.PERCENTILE.INC(_xlfn._xlws.FILTER($S$2:$S$148, ($K$2:$K$148=K17)*($V$2:$V$148=1)),0.9)
               ),1,0),
0)</f>
        <v>0</v>
      </c>
      <c r="X17" s="166"/>
      <c r="Y17" s="41"/>
      <c r="Z17" s="70"/>
    </row>
    <row r="18" spans="1:27" s="44" customFormat="1" hidden="1" x14ac:dyDescent="0.25">
      <c r="A18" s="102" t="s">
        <v>362</v>
      </c>
      <c r="B18" s="105">
        <v>17</v>
      </c>
      <c r="C18" s="41" t="s">
        <v>170</v>
      </c>
      <c r="D18" s="42" t="s">
        <v>3</v>
      </c>
      <c r="E18" s="43" t="s">
        <v>170</v>
      </c>
      <c r="F18" s="43" t="s">
        <v>170</v>
      </c>
      <c r="G18" s="43" t="s">
        <v>54</v>
      </c>
      <c r="H18" s="112" t="s">
        <v>36</v>
      </c>
      <c r="I18" s="52" t="s">
        <v>337</v>
      </c>
      <c r="J18" s="41" t="s">
        <v>327</v>
      </c>
      <c r="K18" s="125" t="s">
        <v>328</v>
      </c>
      <c r="L18" s="41" t="s">
        <v>2</v>
      </c>
      <c r="M18" s="43" t="s">
        <v>9</v>
      </c>
      <c r="N18" s="43">
        <v>2242</v>
      </c>
      <c r="O18" s="42" t="s">
        <v>170</v>
      </c>
      <c r="P18" s="42" t="s">
        <v>170</v>
      </c>
      <c r="Q18" s="42" t="s">
        <v>170</v>
      </c>
      <c r="R18" s="139" t="s">
        <v>170</v>
      </c>
      <c r="S18" s="69">
        <f>SUM(Table2[[#This Row],[A1toA3_GWP]:[C1toC4_GWP]])</f>
        <v>100.08920606601248</v>
      </c>
      <c r="T18" s="83">
        <f>196/Table2[[#This Row],[DENSITY]]*1000</f>
        <v>87.421944692239066</v>
      </c>
      <c r="U18" s="150">
        <f>28.4/Table2[[#This Row],[DENSITY]]*1000</f>
        <v>12.667261373773416</v>
      </c>
      <c r="V18" s="69">
        <f t="shared" si="0"/>
        <v>0</v>
      </c>
      <c r="W18" s="159" cm="1">
        <f t="array" ref="W18">IF($V18&lt;&gt;0,
IF(AND(
                         S18&gt;=_xlfn.PERCENTILE.INC(_xlfn._xlws.FILTER($S$2:$S$148, ($K$2:$K$148=K18)*($V$2:$V$148=1)),0.1),
                         S18&lt;=_xlfn.PERCENTILE.INC(_xlfn._xlws.FILTER($S$2:$S$148, ($K$2:$K$148=K18)*($V$2:$V$148=1)),0.9)
               ),1,0),
0)</f>
        <v>0</v>
      </c>
      <c r="X18" s="166"/>
      <c r="Y18" s="41"/>
      <c r="Z18" s="70"/>
    </row>
    <row r="19" spans="1:27" s="44" customFormat="1" hidden="1" x14ac:dyDescent="0.25">
      <c r="A19" s="102" t="s">
        <v>363</v>
      </c>
      <c r="B19" s="105">
        <v>18</v>
      </c>
      <c r="C19" s="41" t="s">
        <v>170</v>
      </c>
      <c r="D19" s="42" t="s">
        <v>3</v>
      </c>
      <c r="E19" s="43" t="s">
        <v>170</v>
      </c>
      <c r="F19" s="43" t="s">
        <v>170</v>
      </c>
      <c r="G19" s="43" t="s">
        <v>54</v>
      </c>
      <c r="H19" s="112" t="s">
        <v>43</v>
      </c>
      <c r="I19" s="52" t="s">
        <v>337</v>
      </c>
      <c r="J19" s="41" t="s">
        <v>327</v>
      </c>
      <c r="K19" s="125" t="s">
        <v>328</v>
      </c>
      <c r="L19" s="41" t="s">
        <v>2</v>
      </c>
      <c r="M19" s="43" t="s">
        <v>9</v>
      </c>
      <c r="N19" s="43">
        <v>2242</v>
      </c>
      <c r="O19" s="42" t="s">
        <v>170</v>
      </c>
      <c r="P19" s="42" t="s">
        <v>170</v>
      </c>
      <c r="Q19" s="42" t="s">
        <v>170</v>
      </c>
      <c r="R19" s="139" t="s">
        <v>170</v>
      </c>
      <c r="S19" s="69">
        <f>SUM(Table2[[#This Row],[A1toA3_GWP]:[C1toC4_GWP]])</f>
        <v>100.08920606601248</v>
      </c>
      <c r="T19" s="83">
        <f>196/Table2[[#This Row],[DENSITY]]*1000</f>
        <v>87.421944692239066</v>
      </c>
      <c r="U19" s="150">
        <f>28.4/Table2[[#This Row],[DENSITY]]*1000</f>
        <v>12.667261373773416</v>
      </c>
      <c r="V19" s="69">
        <f t="shared" si="0"/>
        <v>0</v>
      </c>
      <c r="W19" s="159" cm="1">
        <f t="array" ref="W19">IF($V19&lt;&gt;0,
IF(AND(
                         S19&gt;=_xlfn.PERCENTILE.INC(_xlfn._xlws.FILTER($S$2:$S$148, ($K$2:$K$148=K19)*($V$2:$V$148=1)),0.1),
                         S19&lt;=_xlfn.PERCENTILE.INC(_xlfn._xlws.FILTER($S$2:$S$148, ($K$2:$K$148=K19)*($V$2:$V$148=1)),0.9)
               ),1,0),
0)</f>
        <v>0</v>
      </c>
      <c r="X19" s="166"/>
      <c r="Y19" s="41"/>
      <c r="Z19" s="70"/>
    </row>
    <row r="20" spans="1:27" s="44" customFormat="1" hidden="1" x14ac:dyDescent="0.25">
      <c r="A20" s="102" t="s">
        <v>364</v>
      </c>
      <c r="B20" s="105">
        <v>19</v>
      </c>
      <c r="C20" s="41" t="s">
        <v>170</v>
      </c>
      <c r="D20" s="42" t="s">
        <v>3</v>
      </c>
      <c r="E20" s="43" t="s">
        <v>170</v>
      </c>
      <c r="F20" s="43" t="s">
        <v>170</v>
      </c>
      <c r="G20" s="43" t="s">
        <v>54</v>
      </c>
      <c r="H20" s="112" t="s">
        <v>7</v>
      </c>
      <c r="I20" s="52" t="s">
        <v>337</v>
      </c>
      <c r="J20" s="41" t="s">
        <v>327</v>
      </c>
      <c r="K20" s="125" t="s">
        <v>328</v>
      </c>
      <c r="L20" s="41" t="s">
        <v>2</v>
      </c>
      <c r="M20" s="43" t="s">
        <v>9</v>
      </c>
      <c r="N20" s="43">
        <v>2242</v>
      </c>
      <c r="O20" s="42" t="s">
        <v>170</v>
      </c>
      <c r="P20" s="42" t="s">
        <v>170</v>
      </c>
      <c r="Q20" s="42" t="s">
        <v>170</v>
      </c>
      <c r="R20" s="139" t="s">
        <v>170</v>
      </c>
      <c r="S20" s="69">
        <f>SUM(Table2[[#This Row],[A1toA3_GWP]:[C1toC4_GWP]])</f>
        <v>100.08920606601248</v>
      </c>
      <c r="T20" s="83">
        <f>196/Table2[[#This Row],[DENSITY]]*1000</f>
        <v>87.421944692239066</v>
      </c>
      <c r="U20" s="150">
        <f>28.4/Table2[[#This Row],[DENSITY]]*1000</f>
        <v>12.667261373773416</v>
      </c>
      <c r="V20" s="69">
        <f t="shared" si="0"/>
        <v>0</v>
      </c>
      <c r="W20" s="159" cm="1">
        <f t="array" ref="W20">IF($V20&lt;&gt;0,
IF(AND(
                         S20&gt;=_xlfn.PERCENTILE.INC(_xlfn._xlws.FILTER($S$2:$S$148, ($K$2:$K$148=K20)*($V$2:$V$148=1)),0.1),
                         S20&lt;=_xlfn.PERCENTILE.INC(_xlfn._xlws.FILTER($S$2:$S$148, ($K$2:$K$148=K20)*($V$2:$V$148=1)),0.9)
               ),1,0),
0)</f>
        <v>0</v>
      </c>
      <c r="X20" s="166"/>
      <c r="Y20" s="41"/>
      <c r="Z20" s="70"/>
    </row>
    <row r="21" spans="1:27" s="44" customFormat="1" hidden="1" x14ac:dyDescent="0.25">
      <c r="A21" s="102" t="s">
        <v>365</v>
      </c>
      <c r="B21" s="105">
        <v>20</v>
      </c>
      <c r="C21" s="41" t="s">
        <v>170</v>
      </c>
      <c r="D21" s="42" t="s">
        <v>3</v>
      </c>
      <c r="E21" s="43" t="s">
        <v>170</v>
      </c>
      <c r="F21" s="43" t="s">
        <v>170</v>
      </c>
      <c r="G21" s="43" t="s">
        <v>54</v>
      </c>
      <c r="H21" s="112" t="s">
        <v>36</v>
      </c>
      <c r="I21" s="52" t="s">
        <v>337</v>
      </c>
      <c r="J21" s="41" t="s">
        <v>327</v>
      </c>
      <c r="K21" s="125" t="s">
        <v>328</v>
      </c>
      <c r="L21" s="41" t="s">
        <v>44</v>
      </c>
      <c r="M21" s="43" t="s">
        <v>9</v>
      </c>
      <c r="N21" s="43">
        <v>2242</v>
      </c>
      <c r="O21" s="42" t="s">
        <v>170</v>
      </c>
      <c r="P21" s="42" t="s">
        <v>170</v>
      </c>
      <c r="Q21" s="42" t="s">
        <v>170</v>
      </c>
      <c r="R21" s="139" t="s">
        <v>170</v>
      </c>
      <c r="S21" s="69">
        <f>SUM(Table2[[#This Row],[A1toA3_GWP]:[C1toC4_GWP]])</f>
        <v>94.736842105263165</v>
      </c>
      <c r="T21" s="83">
        <f>184/Table2[[#This Row],[DENSITY]]*1000</f>
        <v>82.069580731489751</v>
      </c>
      <c r="U21" s="150">
        <f>28.4/Table2[[#This Row],[DENSITY]]*1000</f>
        <v>12.667261373773416</v>
      </c>
      <c r="V21" s="69">
        <f t="shared" si="0"/>
        <v>0</v>
      </c>
      <c r="W21" s="159" cm="1">
        <f t="array" ref="W21">IF($V21&lt;&gt;0,
IF(AND(
                         S21&gt;=_xlfn.PERCENTILE.INC(_xlfn._xlws.FILTER($S$2:$S$148, ($K$2:$K$148=K21)*($V$2:$V$148=1)),0.1),
                         S21&lt;=_xlfn.PERCENTILE.INC(_xlfn._xlws.FILTER($S$2:$S$148, ($K$2:$K$148=K21)*($V$2:$V$148=1)),0.9)
               ),1,0),
0)</f>
        <v>0</v>
      </c>
      <c r="X21" s="166"/>
      <c r="Y21" s="41"/>
      <c r="Z21" s="70"/>
      <c r="AA21"/>
    </row>
    <row r="22" spans="1:27" s="44" customFormat="1" hidden="1" x14ac:dyDescent="0.25">
      <c r="A22" s="102" t="s">
        <v>366</v>
      </c>
      <c r="B22" s="105">
        <v>21</v>
      </c>
      <c r="C22" s="41" t="s">
        <v>170</v>
      </c>
      <c r="D22" s="42" t="s">
        <v>3</v>
      </c>
      <c r="E22" s="43" t="s">
        <v>170</v>
      </c>
      <c r="F22" s="43" t="s">
        <v>170</v>
      </c>
      <c r="G22" s="43" t="s">
        <v>54</v>
      </c>
      <c r="H22" s="112" t="s">
        <v>38</v>
      </c>
      <c r="I22" s="52" t="s">
        <v>337</v>
      </c>
      <c r="J22" s="41" t="s">
        <v>327</v>
      </c>
      <c r="K22" s="125" t="s">
        <v>328</v>
      </c>
      <c r="L22" s="41" t="s">
        <v>2</v>
      </c>
      <c r="M22" s="43" t="s">
        <v>14</v>
      </c>
      <c r="N22" s="43">
        <v>2332</v>
      </c>
      <c r="O22" s="42" t="s">
        <v>170</v>
      </c>
      <c r="P22" s="42" t="s">
        <v>170</v>
      </c>
      <c r="Q22" s="42" t="s">
        <v>170</v>
      </c>
      <c r="R22" s="139" t="s">
        <v>170</v>
      </c>
      <c r="S22" s="69">
        <f>SUM(Table2[[#This Row],[A1toA3_GWP]:[C1toC4_GWP]])</f>
        <v>102.22984562607205</v>
      </c>
      <c r="T22" s="83">
        <f>210/Table2[[#This Row],[DENSITY]]*1000</f>
        <v>90.051457975986281</v>
      </c>
      <c r="U22" s="150">
        <f>28.4/Table2[[#This Row],[DENSITY]]*1000</f>
        <v>12.178387650085762</v>
      </c>
      <c r="V22" s="69">
        <f t="shared" si="0"/>
        <v>0</v>
      </c>
      <c r="W22" s="159" cm="1">
        <f t="array" ref="W22">IF($V22&lt;&gt;0,
IF(AND(
                         S22&gt;=_xlfn.PERCENTILE.INC(_xlfn._xlws.FILTER($S$2:$S$148, ($K$2:$K$148=K22)*($V$2:$V$148=1)),0.1),
                         S22&lt;=_xlfn.PERCENTILE.INC(_xlfn._xlws.FILTER($S$2:$S$148, ($K$2:$K$148=K22)*($V$2:$V$148=1)),0.9)
               ),1,0),
0)</f>
        <v>0</v>
      </c>
      <c r="X22" s="166"/>
      <c r="Y22" s="41"/>
      <c r="Z22" s="70"/>
    </row>
    <row r="23" spans="1:27" s="44" customFormat="1" hidden="1" x14ac:dyDescent="0.25">
      <c r="A23" s="102" t="s">
        <v>367</v>
      </c>
      <c r="B23" s="105">
        <v>22</v>
      </c>
      <c r="C23" s="41" t="s">
        <v>170</v>
      </c>
      <c r="D23" s="42" t="s">
        <v>3</v>
      </c>
      <c r="E23" s="43" t="s">
        <v>170</v>
      </c>
      <c r="F23" s="43" t="s">
        <v>170</v>
      </c>
      <c r="G23" s="43" t="s">
        <v>54</v>
      </c>
      <c r="H23" s="112" t="s">
        <v>38</v>
      </c>
      <c r="I23" s="52" t="s">
        <v>337</v>
      </c>
      <c r="J23" s="41" t="s">
        <v>327</v>
      </c>
      <c r="K23" s="125" t="s">
        <v>328</v>
      </c>
      <c r="L23" s="41" t="s">
        <v>44</v>
      </c>
      <c r="M23" s="43" t="s">
        <v>14</v>
      </c>
      <c r="N23" s="43">
        <v>2332</v>
      </c>
      <c r="O23" s="42" t="s">
        <v>170</v>
      </c>
      <c r="P23" s="42" t="s">
        <v>170</v>
      </c>
      <c r="Q23" s="42" t="s">
        <v>170</v>
      </c>
      <c r="R23" s="139" t="s">
        <v>170</v>
      </c>
      <c r="S23" s="69">
        <f>SUM(Table2[[#This Row],[A1toA3_GWP]:[C1toC4_GWP]])</f>
        <v>96.655231560891949</v>
      </c>
      <c r="T23" s="83">
        <f>197/Table2[[#This Row],[DENSITY]]*1000</f>
        <v>84.476843910806181</v>
      </c>
      <c r="U23" s="150">
        <f>28.4/Table2[[#This Row],[DENSITY]]*1000</f>
        <v>12.178387650085762</v>
      </c>
      <c r="V23" s="69">
        <f t="shared" si="0"/>
        <v>0</v>
      </c>
      <c r="W23" s="159" cm="1">
        <f t="array" ref="W23">IF($V23&lt;&gt;0,
IF(AND(
                         S23&gt;=_xlfn.PERCENTILE.INC(_xlfn._xlws.FILTER($S$2:$S$148, ($K$2:$K$148=K23)*($V$2:$V$148=1)),0.1),
                         S23&lt;=_xlfn.PERCENTILE.INC(_xlfn._xlws.FILTER($S$2:$S$148, ($K$2:$K$148=K23)*($V$2:$V$148=1)),0.9)
               ),1,0),
0)</f>
        <v>0</v>
      </c>
      <c r="X23" s="166"/>
      <c r="Y23" s="41"/>
      <c r="Z23" s="70"/>
    </row>
    <row r="24" spans="1:27" customFormat="1" hidden="1" x14ac:dyDescent="0.25">
      <c r="A24" s="9" t="s">
        <v>204</v>
      </c>
      <c r="B24" s="103">
        <v>23</v>
      </c>
      <c r="C24" s="2" t="s">
        <v>34</v>
      </c>
      <c r="D24" s="3" t="s">
        <v>45</v>
      </c>
      <c r="E24" s="34">
        <v>45068</v>
      </c>
      <c r="F24" s="34">
        <v>46894</v>
      </c>
      <c r="G24" s="27" t="s">
        <v>54</v>
      </c>
      <c r="H24" s="113" t="s">
        <v>33</v>
      </c>
      <c r="I24" s="53" t="s">
        <v>337</v>
      </c>
      <c r="J24" s="2" t="s">
        <v>327</v>
      </c>
      <c r="K24" s="126" t="s">
        <v>328</v>
      </c>
      <c r="L24" s="118" t="s">
        <v>170</v>
      </c>
      <c r="M24" s="27" t="s">
        <v>9</v>
      </c>
      <c r="N24" s="27">
        <v>2440</v>
      </c>
      <c r="O24" s="3" t="s">
        <v>46</v>
      </c>
      <c r="P24" s="3">
        <v>32</v>
      </c>
      <c r="Q24" s="3">
        <v>0.1</v>
      </c>
      <c r="R24" s="140" t="s">
        <v>47</v>
      </c>
      <c r="S24" s="101">
        <f>SUM(Table2[[#This Row],[A1toA3_GWP]:[C1toC4_GWP]])</f>
        <v>77.002049180327873</v>
      </c>
      <c r="T24" s="25">
        <f>170.624/Table2[[#This Row],[DENSITY]]*1000</f>
        <v>69.927868852459014</v>
      </c>
      <c r="U24" s="151">
        <f>(7.278+9.774+0.209)/Table2[[#This Row],[DENSITY]]*1000</f>
        <v>7.0741803278688522</v>
      </c>
      <c r="V24" s="101">
        <f t="shared" si="0"/>
        <v>1</v>
      </c>
      <c r="W24" s="160" cm="1">
        <f t="array" ref="W24">IF($V24&lt;&gt;0,
IF(AND(
                         S24&gt;=_xlfn.PERCENTILE.INC(_xlfn._xlws.FILTER($S$2:$S$148, ($K$2:$K$148=K24)*($V$2:$V$148=1)),0.1),
                         S24&lt;=_xlfn.PERCENTILE.INC(_xlfn._xlws.FILTER($S$2:$S$148, ($K$2:$K$148=K24)*($V$2:$V$148=1)),0.9)
               ),1,0),
0)</f>
        <v>1</v>
      </c>
      <c r="X24" s="167"/>
      <c r="Y24" s="2"/>
      <c r="Z24" s="70"/>
    </row>
    <row r="25" spans="1:27" customFormat="1" hidden="1" x14ac:dyDescent="0.25">
      <c r="A25" s="9" t="s">
        <v>205</v>
      </c>
      <c r="B25" s="104">
        <v>24</v>
      </c>
      <c r="C25" s="2" t="s">
        <v>35</v>
      </c>
      <c r="D25" s="3" t="s">
        <v>45</v>
      </c>
      <c r="E25" s="34">
        <v>45068</v>
      </c>
      <c r="F25" s="34">
        <v>46894</v>
      </c>
      <c r="G25" s="27" t="s">
        <v>54</v>
      </c>
      <c r="H25" s="113" t="s">
        <v>36</v>
      </c>
      <c r="I25" s="53" t="s">
        <v>337</v>
      </c>
      <c r="J25" s="2" t="s">
        <v>327</v>
      </c>
      <c r="K25" s="126" t="s">
        <v>328</v>
      </c>
      <c r="L25" s="118" t="s">
        <v>170</v>
      </c>
      <c r="M25" s="27" t="s">
        <v>9</v>
      </c>
      <c r="N25" s="27">
        <v>2439</v>
      </c>
      <c r="O25" s="3" t="s">
        <v>86</v>
      </c>
      <c r="P25" s="3">
        <v>32</v>
      </c>
      <c r="Q25" s="3">
        <v>0.1</v>
      </c>
      <c r="R25" s="140" t="s">
        <v>47</v>
      </c>
      <c r="S25" s="101">
        <f>SUM(Table2[[#This Row],[A1toA3_GWP]:[C1toC4_GWP]])</f>
        <v>78.746617466174669</v>
      </c>
      <c r="T25" s="25">
        <f>174.764/Table2[[#This Row],[DENSITY]]*1000</f>
        <v>71.653956539565399</v>
      </c>
      <c r="U25" s="151">
        <f>(7.278+9.812+0.209)/Table2[[#This Row],[DENSITY]]*1000</f>
        <v>7.0926609266092653</v>
      </c>
      <c r="V25" s="101">
        <f t="shared" si="0"/>
        <v>1</v>
      </c>
      <c r="W25" s="160" cm="1">
        <f t="array" ref="W25">IF($V25&lt;&gt;0,
IF(AND(
                         S25&gt;=_xlfn.PERCENTILE.INC(_xlfn._xlws.FILTER($S$2:$S$148, ($K$2:$K$148=K25)*($V$2:$V$148=1)),0.1),
                         S25&lt;=_xlfn.PERCENTILE.INC(_xlfn._xlws.FILTER($S$2:$S$148, ($K$2:$K$148=K25)*($V$2:$V$148=1)),0.9)
               ),1,0),
0)</f>
        <v>1</v>
      </c>
      <c r="X25" s="167"/>
      <c r="Y25" s="2"/>
      <c r="Z25" s="70"/>
    </row>
    <row r="26" spans="1:27" customFormat="1" hidden="1" x14ac:dyDescent="0.25">
      <c r="A26" s="9" t="s">
        <v>206</v>
      </c>
      <c r="B26" s="104">
        <v>25</v>
      </c>
      <c r="C26" s="2" t="s">
        <v>37</v>
      </c>
      <c r="D26" s="3" t="s">
        <v>45</v>
      </c>
      <c r="E26" s="34">
        <v>45068</v>
      </c>
      <c r="F26" s="34">
        <v>46894</v>
      </c>
      <c r="G26" s="27" t="s">
        <v>54</v>
      </c>
      <c r="H26" s="113" t="s">
        <v>38</v>
      </c>
      <c r="I26" s="53" t="s">
        <v>337</v>
      </c>
      <c r="J26" s="2" t="s">
        <v>327</v>
      </c>
      <c r="K26" s="126" t="s">
        <v>328</v>
      </c>
      <c r="L26" s="118" t="s">
        <v>170</v>
      </c>
      <c r="M26" s="27" t="s">
        <v>14</v>
      </c>
      <c r="N26" s="27">
        <v>2347</v>
      </c>
      <c r="O26" s="3" t="s">
        <v>87</v>
      </c>
      <c r="P26" s="3">
        <v>32</v>
      </c>
      <c r="Q26" s="3">
        <v>0.1</v>
      </c>
      <c r="R26" s="140" t="s">
        <v>88</v>
      </c>
      <c r="S26" s="101">
        <f>SUM(Table2[[#This Row],[A1toA3_GWP]:[C1toC4_GWP]])</f>
        <v>87.201533873029405</v>
      </c>
      <c r="T26" s="25">
        <f>187.792/Table2[[#This Row],[DENSITY]]*1000</f>
        <v>80.013634426927993</v>
      </c>
      <c r="U26" s="151">
        <f>(7.278+9.392+0.2)/Table2[[#This Row],[DENSITY]]*1000</f>
        <v>7.1878994461014054</v>
      </c>
      <c r="V26" s="101">
        <f t="shared" si="0"/>
        <v>1</v>
      </c>
      <c r="W26" s="160" cm="1">
        <f t="array" ref="W26">IF($V26&lt;&gt;0,
IF(AND(
                         S26&gt;=_xlfn.PERCENTILE.INC(_xlfn._xlws.FILTER($S$2:$S$148, ($K$2:$K$148=K26)*($V$2:$V$148=1)),0.1),
                         S26&lt;=_xlfn.PERCENTILE.INC(_xlfn._xlws.FILTER($S$2:$S$148, ($K$2:$K$148=K26)*($V$2:$V$148=1)),0.9)
               ),1,0),
0)</f>
        <v>1</v>
      </c>
      <c r="X26" s="167"/>
      <c r="Y26" s="2"/>
      <c r="Z26" s="70"/>
    </row>
    <row r="27" spans="1:27" customFormat="1" hidden="1" x14ac:dyDescent="0.25">
      <c r="A27" s="9" t="s">
        <v>207</v>
      </c>
      <c r="B27" s="104">
        <v>26</v>
      </c>
      <c r="C27" s="2" t="s">
        <v>89</v>
      </c>
      <c r="D27" s="3" t="s">
        <v>45</v>
      </c>
      <c r="E27" s="34">
        <v>45068</v>
      </c>
      <c r="F27" s="34">
        <v>46894</v>
      </c>
      <c r="G27" s="27" t="s">
        <v>54</v>
      </c>
      <c r="H27" s="113" t="s">
        <v>90</v>
      </c>
      <c r="I27" s="53" t="s">
        <v>337</v>
      </c>
      <c r="J27" s="2" t="s">
        <v>327</v>
      </c>
      <c r="K27" s="126" t="s">
        <v>328</v>
      </c>
      <c r="L27" s="118" t="s">
        <v>170</v>
      </c>
      <c r="M27" s="27" t="s">
        <v>9</v>
      </c>
      <c r="N27" s="27">
        <v>2437</v>
      </c>
      <c r="O27" s="3" t="s">
        <v>91</v>
      </c>
      <c r="P27" s="3">
        <v>32</v>
      </c>
      <c r="Q27" s="3">
        <v>0.1</v>
      </c>
      <c r="R27" s="140" t="s">
        <v>88</v>
      </c>
      <c r="S27" s="101">
        <f>SUM(Table2[[#This Row],[A1toA3_GWP]:[C1toC4_GWP]])</f>
        <v>84.09766105867871</v>
      </c>
      <c r="T27" s="25">
        <f>187.822/Table2[[#This Row],[DENSITY]]*1000</f>
        <v>77.070988920804268</v>
      </c>
      <c r="U27" s="151">
        <f>(7.278+9.64+0.206)/Table2[[#This Row],[DENSITY]]*1000</f>
        <v>7.026672137874435</v>
      </c>
      <c r="V27" s="101">
        <f t="shared" si="0"/>
        <v>1</v>
      </c>
      <c r="W27" s="160" cm="1">
        <f t="array" ref="W27">IF($V27&lt;&gt;0,
IF(AND(
                         S27&gt;=_xlfn.PERCENTILE.INC(_xlfn._xlws.FILTER($S$2:$S$148, ($K$2:$K$148=K27)*($V$2:$V$148=1)),0.1),
                         S27&lt;=_xlfn.PERCENTILE.INC(_xlfn._xlws.FILTER($S$2:$S$148, ($K$2:$K$148=K27)*($V$2:$V$148=1)),0.9)
               ),1,0),
0)</f>
        <v>1</v>
      </c>
      <c r="X27" s="167"/>
      <c r="Y27" s="2"/>
      <c r="Z27" s="70"/>
    </row>
    <row r="28" spans="1:27" customFormat="1" hidden="1" x14ac:dyDescent="0.25">
      <c r="A28" s="9" t="s">
        <v>208</v>
      </c>
      <c r="B28" s="104">
        <v>27</v>
      </c>
      <c r="C28" s="2" t="s">
        <v>92</v>
      </c>
      <c r="D28" s="3" t="s">
        <v>45</v>
      </c>
      <c r="E28" s="34">
        <v>45068</v>
      </c>
      <c r="F28" s="34">
        <v>46894</v>
      </c>
      <c r="G28" s="27" t="s">
        <v>54</v>
      </c>
      <c r="H28" s="113" t="s">
        <v>93</v>
      </c>
      <c r="I28" s="53" t="s">
        <v>337</v>
      </c>
      <c r="J28" s="2" t="s">
        <v>327</v>
      </c>
      <c r="K28" s="126" t="s">
        <v>328</v>
      </c>
      <c r="L28" s="118" t="s">
        <v>170</v>
      </c>
      <c r="M28" s="27" t="s">
        <v>9</v>
      </c>
      <c r="N28" s="27">
        <v>2400</v>
      </c>
      <c r="O28" s="3" t="s">
        <v>94</v>
      </c>
      <c r="P28" s="3">
        <v>32</v>
      </c>
      <c r="Q28" s="3">
        <v>0.1</v>
      </c>
      <c r="R28" s="140" t="s">
        <v>88</v>
      </c>
      <c r="S28" s="101">
        <f>SUM(Table2[[#This Row],[A1toA3_GWP]:[C1toC4_GWP]])</f>
        <v>87.324999999999989</v>
      </c>
      <c r="T28" s="25">
        <f>192.159/Table2[[#This Row],[DENSITY]]*1000</f>
        <v>80.066249999999997</v>
      </c>
      <c r="U28" s="151">
        <f>(7.278+9.931+0.212)/Table2[[#This Row],[DENSITY]]*1000</f>
        <v>7.2587499999999991</v>
      </c>
      <c r="V28" s="101">
        <f t="shared" si="0"/>
        <v>1</v>
      </c>
      <c r="W28" s="160" cm="1">
        <f t="array" ref="W28">IF($V28&lt;&gt;0,
IF(AND(
                         S28&gt;=_xlfn.PERCENTILE.INC(_xlfn._xlws.FILTER($S$2:$S$148, ($K$2:$K$148=K28)*($V$2:$V$148=1)),0.1),
                         S28&lt;=_xlfn.PERCENTILE.INC(_xlfn._xlws.FILTER($S$2:$S$148, ($K$2:$K$148=K28)*($V$2:$V$148=1)),0.9)
               ),1,0),
0)</f>
        <v>1</v>
      </c>
      <c r="X28" s="167"/>
      <c r="Y28" s="2"/>
      <c r="Z28" s="70"/>
    </row>
    <row r="29" spans="1:27" customFormat="1" hidden="1" x14ac:dyDescent="0.25">
      <c r="A29" s="9" t="s">
        <v>209</v>
      </c>
      <c r="B29" s="104">
        <v>28</v>
      </c>
      <c r="C29" s="2" t="s">
        <v>95</v>
      </c>
      <c r="D29" s="3" t="s">
        <v>45</v>
      </c>
      <c r="E29" s="34">
        <v>45068</v>
      </c>
      <c r="F29" s="34">
        <v>46894</v>
      </c>
      <c r="G29" s="27" t="s">
        <v>54</v>
      </c>
      <c r="H29" s="113" t="s">
        <v>96</v>
      </c>
      <c r="I29" s="53" t="s">
        <v>337</v>
      </c>
      <c r="J29" s="2" t="s">
        <v>327</v>
      </c>
      <c r="K29" s="126" t="s">
        <v>328</v>
      </c>
      <c r="L29" s="118" t="s">
        <v>170</v>
      </c>
      <c r="M29" s="27" t="s">
        <v>14</v>
      </c>
      <c r="N29" s="27">
        <v>2420</v>
      </c>
      <c r="O29" s="3" t="s">
        <v>97</v>
      </c>
      <c r="P29" s="3">
        <v>32</v>
      </c>
      <c r="Q29" s="3">
        <v>0.1</v>
      </c>
      <c r="R29" s="140" t="s">
        <v>88</v>
      </c>
      <c r="S29" s="101">
        <f>SUM(Table2[[#This Row],[A1toA3_GWP]:[C1toC4_GWP]])</f>
        <v>91.627272727272739</v>
      </c>
      <c r="T29" s="25">
        <f>204.59/Table2[[#This Row],[DENSITY]]*1000</f>
        <v>84.541322314049594</v>
      </c>
      <c r="U29" s="151">
        <f>(7.278+9.664+0.206)/Table2[[#This Row],[DENSITY]]*1000</f>
        <v>7.0859504132231406</v>
      </c>
      <c r="V29" s="101">
        <f t="shared" si="0"/>
        <v>1</v>
      </c>
      <c r="W29" s="160" cm="1">
        <f t="array" ref="W29">IF($V29&lt;&gt;0,
IF(AND(
                         S29&gt;=_xlfn.PERCENTILE.INC(_xlfn._xlws.FILTER($S$2:$S$148, ($K$2:$K$148=K29)*($V$2:$V$148=1)),0.1),
                         S29&lt;=_xlfn.PERCENTILE.INC(_xlfn._xlws.FILTER($S$2:$S$148, ($K$2:$K$148=K29)*($V$2:$V$148=1)),0.9)
               ),1,0),
0)</f>
        <v>1</v>
      </c>
      <c r="X29" s="167"/>
      <c r="Y29" s="2"/>
      <c r="Z29" s="70"/>
    </row>
    <row r="30" spans="1:27" customFormat="1" hidden="1" x14ac:dyDescent="0.25">
      <c r="A30" s="9" t="s">
        <v>210</v>
      </c>
      <c r="B30" s="104">
        <v>29</v>
      </c>
      <c r="C30" s="2" t="s">
        <v>98</v>
      </c>
      <c r="D30" s="3" t="s">
        <v>45</v>
      </c>
      <c r="E30" s="34">
        <v>45068</v>
      </c>
      <c r="F30" s="34">
        <v>46894</v>
      </c>
      <c r="G30" s="27" t="s">
        <v>54</v>
      </c>
      <c r="H30" s="113" t="s">
        <v>99</v>
      </c>
      <c r="I30" s="53" t="s">
        <v>337</v>
      </c>
      <c r="J30" s="2" t="s">
        <v>327</v>
      </c>
      <c r="K30" s="126" t="s">
        <v>328</v>
      </c>
      <c r="L30" s="118" t="s">
        <v>170</v>
      </c>
      <c r="M30" s="27" t="s">
        <v>14</v>
      </c>
      <c r="N30" s="27">
        <v>2430</v>
      </c>
      <c r="O30" s="3" t="s">
        <v>100</v>
      </c>
      <c r="P30" s="3">
        <v>32</v>
      </c>
      <c r="Q30" s="3">
        <v>0.1</v>
      </c>
      <c r="R30" s="140" t="s">
        <v>88</v>
      </c>
      <c r="S30" s="101">
        <f>SUM(Table2[[#This Row],[A1toA3_GWP]:[C1toC4_GWP]])</f>
        <v>76.722633744855969</v>
      </c>
      <c r="T30" s="25">
        <f>169.181/Table2[[#This Row],[DENSITY]]*1000</f>
        <v>69.62181069958848</v>
      </c>
      <c r="U30" s="151">
        <f>(7.278+9.768+0.209)/Table2[[#This Row],[DENSITY]]*1000</f>
        <v>7.1008230452674894</v>
      </c>
      <c r="V30" s="101">
        <f t="shared" si="0"/>
        <v>1</v>
      </c>
      <c r="W30" s="160" cm="1">
        <f t="array" ref="W30">IF($V30&lt;&gt;0,
IF(AND(
                         S30&gt;=_xlfn.PERCENTILE.INC(_xlfn._xlws.FILTER($S$2:$S$148, ($K$2:$K$148=K30)*($V$2:$V$148=1)),0.1),
                         S30&lt;=_xlfn.PERCENTILE.INC(_xlfn._xlws.FILTER($S$2:$S$148, ($K$2:$K$148=K30)*($V$2:$V$148=1)),0.9)
               ),1,0),
0)</f>
        <v>0</v>
      </c>
      <c r="X30" s="167"/>
      <c r="Y30" s="2"/>
      <c r="Z30" s="70"/>
    </row>
    <row r="31" spans="1:27" customFormat="1" hidden="1" x14ac:dyDescent="0.25">
      <c r="A31" s="172" t="s">
        <v>495</v>
      </c>
      <c r="B31" s="173">
        <v>30</v>
      </c>
      <c r="C31" s="17"/>
      <c r="D31" s="18" t="s">
        <v>488</v>
      </c>
      <c r="E31" s="39" t="s">
        <v>487</v>
      </c>
      <c r="F31" s="39"/>
      <c r="G31" s="32"/>
      <c r="H31" s="17" t="s">
        <v>486</v>
      </c>
      <c r="I31" s="190" t="s">
        <v>337</v>
      </c>
      <c r="J31" s="17" t="s">
        <v>327</v>
      </c>
      <c r="K31" s="128" t="s">
        <v>328</v>
      </c>
      <c r="L31" s="120" t="s">
        <v>494</v>
      </c>
      <c r="M31" s="32"/>
      <c r="N31" s="32">
        <v>2368</v>
      </c>
      <c r="O31" s="18"/>
      <c r="P31" s="18"/>
      <c r="Q31" s="18"/>
      <c r="R31" s="144"/>
      <c r="S31" s="137">
        <f>SUM(Table2[[#This Row],[A1toA3_GWP]:[C1toC4_GWP]])</f>
        <v>69</v>
      </c>
      <c r="T31" s="91">
        <v>56</v>
      </c>
      <c r="U31" s="155">
        <v>13</v>
      </c>
      <c r="V31" s="137">
        <v>0</v>
      </c>
      <c r="W31" s="174" cm="1">
        <f t="array" ref="W31">IF($V31&lt;&gt;0,
IF(AND(
                         S31&gt;=_xlfn.PERCENTILE.INC(_xlfn._xlws.FILTER($S$2:$S$148, ($K$2:$K$148=K31)*($V$2:$V$148=1)),0.1),
                         S31&lt;=_xlfn.PERCENTILE.INC(_xlfn._xlws.FILTER($S$2:$S$148, ($K$2:$K$148=K31)*($V$2:$V$148=1)),0.9)
               ),1,0),
0)</f>
        <v>0</v>
      </c>
      <c r="X31" s="171"/>
      <c r="Y31" s="2"/>
      <c r="Z31" s="70"/>
    </row>
    <row r="32" spans="1:27" customFormat="1" hidden="1" x14ac:dyDescent="0.25">
      <c r="A32" s="172" t="s">
        <v>496</v>
      </c>
      <c r="B32" s="173">
        <v>31</v>
      </c>
      <c r="C32" s="17"/>
      <c r="D32" s="18" t="s">
        <v>488</v>
      </c>
      <c r="E32" s="39"/>
      <c r="F32" s="39"/>
      <c r="G32" s="32"/>
      <c r="H32" s="115" t="s">
        <v>489</v>
      </c>
      <c r="I32" s="190" t="s">
        <v>337</v>
      </c>
      <c r="J32" s="17" t="s">
        <v>327</v>
      </c>
      <c r="K32" s="128" t="s">
        <v>328</v>
      </c>
      <c r="L32" s="120" t="s">
        <v>494</v>
      </c>
      <c r="M32" s="32"/>
      <c r="N32" s="32">
        <v>2378</v>
      </c>
      <c r="O32" s="18"/>
      <c r="P32" s="18"/>
      <c r="Q32" s="18"/>
      <c r="R32" s="144"/>
      <c r="S32" s="137">
        <f>SUM(Table2[[#This Row],[A1toA3_GWP]:[C1toC4_GWP]])</f>
        <v>71</v>
      </c>
      <c r="T32" s="91">
        <v>58</v>
      </c>
      <c r="U32" s="155">
        <v>13</v>
      </c>
      <c r="V32" s="137">
        <v>0</v>
      </c>
      <c r="W32" s="174" cm="1">
        <f t="array" ref="W32">IF($V32&lt;&gt;0,
IF(AND(
                         S32&gt;=_xlfn.PERCENTILE.INC(_xlfn._xlws.FILTER($S$2:$S$148, ($K$2:$K$148=K32)*($V$2:$V$148=1)),0.1),
                         S32&lt;=_xlfn.PERCENTILE.INC(_xlfn._xlws.FILTER($S$2:$S$148, ($K$2:$K$148=K32)*($V$2:$V$148=1)),0.9)
               ),1,0),
0)</f>
        <v>0</v>
      </c>
      <c r="X32" s="171"/>
      <c r="Y32" s="2"/>
      <c r="Z32" s="70"/>
    </row>
    <row r="33" spans="1:27" customFormat="1" hidden="1" x14ac:dyDescent="0.25">
      <c r="A33" s="172" t="s">
        <v>497</v>
      </c>
      <c r="B33" s="173">
        <v>32</v>
      </c>
      <c r="C33" s="17"/>
      <c r="D33" s="18" t="s">
        <v>488</v>
      </c>
      <c r="E33" s="39"/>
      <c r="F33" s="39"/>
      <c r="G33" s="32"/>
      <c r="H33" s="115" t="s">
        <v>490</v>
      </c>
      <c r="I33" s="190" t="s">
        <v>337</v>
      </c>
      <c r="J33" s="17" t="s">
        <v>327</v>
      </c>
      <c r="K33" s="128" t="s">
        <v>328</v>
      </c>
      <c r="L33" s="120" t="s">
        <v>494</v>
      </c>
      <c r="M33" s="32"/>
      <c r="N33" s="32">
        <v>2373</v>
      </c>
      <c r="O33" s="18"/>
      <c r="P33" s="18"/>
      <c r="Q33" s="18"/>
      <c r="R33" s="144"/>
      <c r="S33" s="137">
        <f>SUM(Table2[[#This Row],[A1toA3_GWP]:[C1toC4_GWP]])</f>
        <v>77</v>
      </c>
      <c r="T33" s="91">
        <v>64</v>
      </c>
      <c r="U33" s="155">
        <v>13</v>
      </c>
      <c r="V33" s="137">
        <v>0</v>
      </c>
      <c r="W33" s="174" cm="1">
        <f t="array" ref="W33">IF($V33&lt;&gt;0,
IF(AND(
                         S33&gt;=_xlfn.PERCENTILE.INC(_xlfn._xlws.FILTER($S$2:$S$148, ($K$2:$K$148=K33)*($V$2:$V$148=1)),0.1),
                         S33&lt;=_xlfn.PERCENTILE.INC(_xlfn._xlws.FILTER($S$2:$S$148, ($K$2:$K$148=K33)*($V$2:$V$148=1)),0.9)
               ),1,0),
0)</f>
        <v>0</v>
      </c>
      <c r="X33" s="171"/>
      <c r="Y33" s="2"/>
      <c r="Z33" s="70"/>
    </row>
    <row r="34" spans="1:27" customFormat="1" hidden="1" x14ac:dyDescent="0.25">
      <c r="A34" s="172" t="s">
        <v>498</v>
      </c>
      <c r="B34" s="173">
        <v>33</v>
      </c>
      <c r="C34" s="17"/>
      <c r="D34" s="18" t="s">
        <v>488</v>
      </c>
      <c r="E34" s="39"/>
      <c r="F34" s="39"/>
      <c r="G34" s="32"/>
      <c r="H34" s="115" t="s">
        <v>491</v>
      </c>
      <c r="I34" s="190" t="s">
        <v>337</v>
      </c>
      <c r="J34" s="17" t="s">
        <v>327</v>
      </c>
      <c r="K34" s="128" t="s">
        <v>328</v>
      </c>
      <c r="L34" s="120" t="s">
        <v>494</v>
      </c>
      <c r="M34" s="32"/>
      <c r="N34" s="32">
        <v>2388</v>
      </c>
      <c r="O34" s="18"/>
      <c r="P34" s="18"/>
      <c r="Q34" s="18"/>
      <c r="R34" s="144"/>
      <c r="S34" s="137">
        <f>SUM(Table2[[#This Row],[A1toA3_GWP]:[C1toC4_GWP]])</f>
        <v>79</v>
      </c>
      <c r="T34" s="91">
        <v>66</v>
      </c>
      <c r="U34" s="155">
        <v>13</v>
      </c>
      <c r="V34" s="137">
        <v>0</v>
      </c>
      <c r="W34" s="174" cm="1">
        <f t="array" ref="W34">IF($V34&lt;&gt;0,
IF(AND(
                         S34&gt;=_xlfn.PERCENTILE.INC(_xlfn._xlws.FILTER($S$2:$S$148, ($K$2:$K$148=K34)*($V$2:$V$148=1)),0.1),
                         S34&lt;=_xlfn.PERCENTILE.INC(_xlfn._xlws.FILTER($S$2:$S$148, ($K$2:$K$148=K34)*($V$2:$V$148=1)),0.9)
               ),1,0),
0)</f>
        <v>0</v>
      </c>
      <c r="X34" s="171"/>
      <c r="Y34" s="2"/>
      <c r="Z34" s="70"/>
    </row>
    <row r="35" spans="1:27" customFormat="1" hidden="1" x14ac:dyDescent="0.25">
      <c r="A35" s="172" t="s">
        <v>499</v>
      </c>
      <c r="B35" s="191">
        <v>34</v>
      </c>
      <c r="C35" s="17"/>
      <c r="D35" s="18" t="s">
        <v>488</v>
      </c>
      <c r="E35" s="39"/>
      <c r="F35" s="39"/>
      <c r="G35" s="32"/>
      <c r="H35" s="115" t="s">
        <v>492</v>
      </c>
      <c r="I35" s="190" t="s">
        <v>337</v>
      </c>
      <c r="J35" s="17" t="s">
        <v>327</v>
      </c>
      <c r="K35" s="128" t="s">
        <v>328</v>
      </c>
      <c r="L35" s="120" t="s">
        <v>494</v>
      </c>
      <c r="M35" s="32"/>
      <c r="N35" s="32">
        <v>2344</v>
      </c>
      <c r="O35" s="18"/>
      <c r="P35" s="18"/>
      <c r="Q35" s="18"/>
      <c r="R35" s="144"/>
      <c r="S35" s="137">
        <f>SUM(Table2[[#This Row],[A1toA3_GWP]:[C1toC4_GWP]])</f>
        <v>104</v>
      </c>
      <c r="T35" s="91">
        <v>91</v>
      </c>
      <c r="U35" s="155">
        <v>13</v>
      </c>
      <c r="V35" s="137">
        <v>0</v>
      </c>
      <c r="W35" s="174" cm="1">
        <f t="array" ref="W35">IF($V35&lt;&gt;0,
IF(AND(
                         S35&gt;=_xlfn.PERCENTILE.INC(_xlfn._xlws.FILTER($S$2:$S$148, ($K$2:$K$148=K35)*($V$2:$V$148=1)),0.1),
                         S35&lt;=_xlfn.PERCENTILE.INC(_xlfn._xlws.FILTER($S$2:$S$148, ($K$2:$K$148=K35)*($V$2:$V$148=1)),0.9)
               ),1,0),
0)</f>
        <v>0</v>
      </c>
      <c r="X35" s="171"/>
      <c r="Y35" s="2"/>
      <c r="Z35" s="70"/>
    </row>
    <row r="36" spans="1:27" customFormat="1" hidden="1" x14ac:dyDescent="0.25">
      <c r="A36" s="172" t="s">
        <v>500</v>
      </c>
      <c r="B36" s="173">
        <v>35</v>
      </c>
      <c r="C36" s="17"/>
      <c r="D36" s="18" t="s">
        <v>488</v>
      </c>
      <c r="E36" s="39"/>
      <c r="F36" s="39"/>
      <c r="G36" s="32"/>
      <c r="H36" s="115" t="s">
        <v>493</v>
      </c>
      <c r="I36" s="190" t="s">
        <v>337</v>
      </c>
      <c r="J36" s="17" t="s">
        <v>327</v>
      </c>
      <c r="K36" s="128" t="s">
        <v>328</v>
      </c>
      <c r="L36" s="120" t="s">
        <v>494</v>
      </c>
      <c r="M36" s="32"/>
      <c r="N36" s="32">
        <v>2334</v>
      </c>
      <c r="O36" s="18"/>
      <c r="P36" s="18"/>
      <c r="Q36" s="18"/>
      <c r="R36" s="144"/>
      <c r="S36" s="137">
        <f>SUM(Table2[[#This Row],[A1toA3_GWP]:[C1toC4_GWP]])</f>
        <v>108</v>
      </c>
      <c r="T36" s="91">
        <v>95</v>
      </c>
      <c r="U36" s="155">
        <v>13</v>
      </c>
      <c r="V36" s="137">
        <v>0</v>
      </c>
      <c r="W36" s="174" cm="1">
        <f t="array" ref="W36">IF($V36&lt;&gt;0,
IF(AND(
                         S36&gt;=_xlfn.PERCENTILE.INC(_xlfn._xlws.FILTER($S$2:$S$148, ($K$2:$K$148=K36)*($V$2:$V$148=1)),0.1),
                         S36&lt;=_xlfn.PERCENTILE.INC(_xlfn._xlws.FILTER($S$2:$S$148, ($K$2:$K$148=K36)*($V$2:$V$148=1)),0.9)
               ),1,0),
0)</f>
        <v>0</v>
      </c>
      <c r="X36" s="171"/>
      <c r="Y36" s="2"/>
      <c r="Z36" s="70"/>
    </row>
    <row r="37" spans="1:27" s="16" customFormat="1" ht="15.75" hidden="1" thickBot="1" x14ac:dyDescent="0.3">
      <c r="A37" s="192" t="s">
        <v>203</v>
      </c>
      <c r="B37" s="193">
        <v>36</v>
      </c>
      <c r="C37" s="14"/>
      <c r="D37" s="15" t="s">
        <v>488</v>
      </c>
      <c r="E37" s="35" t="s">
        <v>332</v>
      </c>
      <c r="F37" s="28" t="s">
        <v>306</v>
      </c>
      <c r="G37" s="28" t="s">
        <v>54</v>
      </c>
      <c r="H37" s="114" t="s">
        <v>41</v>
      </c>
      <c r="I37" s="109" t="s">
        <v>337</v>
      </c>
      <c r="J37" s="14" t="s">
        <v>327</v>
      </c>
      <c r="K37" s="194" t="s">
        <v>328</v>
      </c>
      <c r="L37" s="119" t="s">
        <v>170</v>
      </c>
      <c r="M37" s="28" t="s">
        <v>170</v>
      </c>
      <c r="N37" s="28">
        <v>2300</v>
      </c>
      <c r="O37" s="15" t="s">
        <v>170</v>
      </c>
      <c r="P37" s="15" t="s">
        <v>170</v>
      </c>
      <c r="Q37" s="15" t="s">
        <v>170</v>
      </c>
      <c r="R37" s="141" t="s">
        <v>170</v>
      </c>
      <c r="S37" s="132">
        <f>0.101*1000</f>
        <v>101</v>
      </c>
      <c r="T37" s="84">
        <v>89</v>
      </c>
      <c r="U37" s="152">
        <v>13</v>
      </c>
      <c r="V37" s="132">
        <f t="shared" si="0"/>
        <v>1</v>
      </c>
      <c r="W37" s="195" cm="1">
        <f t="array" ref="W37">IF($V37&lt;&gt;0,
IF(AND(
                         S37&gt;=_xlfn.PERCENTILE.INC(_xlfn._xlws.FILTER($S$2:$S$148, ($K$2:$K$148=K37)*($V$2:$V$148=1)),0.1),
                         S37&lt;=_xlfn.PERCENTILE.INC(_xlfn._xlws.FILTER($S$2:$S$148, ($K$2:$K$148=K37)*($V$2:$V$148=1)),0.9)
               ),1,0),
0)</f>
        <v>0</v>
      </c>
      <c r="X37" s="168"/>
      <c r="Y37" s="14"/>
      <c r="Z37" s="70"/>
    </row>
    <row r="38" spans="1:27" s="16" customFormat="1" hidden="1" x14ac:dyDescent="0.25">
      <c r="A38" s="172" t="s">
        <v>201</v>
      </c>
      <c r="B38" s="173">
        <v>37</v>
      </c>
      <c r="C38" s="17"/>
      <c r="D38" s="18" t="s">
        <v>4</v>
      </c>
      <c r="E38" s="36" t="s">
        <v>332</v>
      </c>
      <c r="F38" s="32" t="s">
        <v>306</v>
      </c>
      <c r="G38" s="32" t="s">
        <v>54</v>
      </c>
      <c r="H38" s="115" t="s">
        <v>5</v>
      </c>
      <c r="I38" s="21" t="s">
        <v>338</v>
      </c>
      <c r="J38" s="17" t="s">
        <v>329</v>
      </c>
      <c r="K38" s="128" t="s">
        <v>330</v>
      </c>
      <c r="L38" s="120" t="s">
        <v>170</v>
      </c>
      <c r="M38" s="29" t="s">
        <v>0</v>
      </c>
      <c r="N38" s="29">
        <v>7850</v>
      </c>
      <c r="O38" s="19" t="s">
        <v>435</v>
      </c>
      <c r="P38" s="19" t="s">
        <v>435</v>
      </c>
      <c r="Q38" s="19" t="s">
        <v>435</v>
      </c>
      <c r="R38" s="142" t="s">
        <v>435</v>
      </c>
      <c r="S38" s="133">
        <v>785</v>
      </c>
      <c r="T38" s="85">
        <v>773</v>
      </c>
      <c r="U38" s="153">
        <v>12</v>
      </c>
      <c r="V38" s="137">
        <f t="shared" si="0"/>
        <v>0</v>
      </c>
      <c r="W38" s="174" cm="1">
        <f t="array" ref="W38">IF($V38&lt;&gt;0,
IF(AND(
                         S38&gt;=_xlfn.PERCENTILE.INC(_xlfn._xlws.FILTER($S$2:$S$148, ($K$2:$K$148=K38)*($V$2:$V$148=1)),0.1),
                         S38&lt;=_xlfn.PERCENTILE.INC(_xlfn._xlws.FILTER($S$2:$S$148, ($K$2:$K$148=K38)*($V$2:$V$148=1)),0.9)
               ),1,0),
0)</f>
        <v>0</v>
      </c>
      <c r="X38" s="169"/>
      <c r="Y38" s="17"/>
      <c r="Z38" s="175"/>
    </row>
    <row r="39" spans="1:27" customFormat="1" hidden="1" x14ac:dyDescent="0.25">
      <c r="A39" s="9" t="s">
        <v>202</v>
      </c>
      <c r="B39" s="106">
        <v>38</v>
      </c>
      <c r="C39" s="2" t="s">
        <v>48</v>
      </c>
      <c r="D39" s="3" t="s">
        <v>49</v>
      </c>
      <c r="E39" s="34">
        <v>44627</v>
      </c>
      <c r="F39" s="34">
        <v>46404</v>
      </c>
      <c r="G39" s="34" t="s">
        <v>54</v>
      </c>
      <c r="H39" s="113" t="s">
        <v>50</v>
      </c>
      <c r="I39" s="6" t="s">
        <v>338</v>
      </c>
      <c r="J39" s="2" t="s">
        <v>329</v>
      </c>
      <c r="K39" s="129" t="s">
        <v>330</v>
      </c>
      <c r="L39" s="118" t="s">
        <v>170</v>
      </c>
      <c r="M39" s="45" t="s">
        <v>0</v>
      </c>
      <c r="N39" s="27">
        <v>7850</v>
      </c>
      <c r="O39" s="3" t="s">
        <v>435</v>
      </c>
      <c r="P39" s="3" t="s">
        <v>435</v>
      </c>
      <c r="Q39" s="3" t="s">
        <v>435</v>
      </c>
      <c r="R39" s="140" t="s">
        <v>435</v>
      </c>
      <c r="S39" s="134">
        <f>Table2[[#This Row],[A1toA3_GWP]]+Table2[[#This Row],[C1toC4_GWP]]</f>
        <v>460.23999999999995</v>
      </c>
      <c r="T39" s="25">
        <f>119+10.9+238</f>
        <v>367.9</v>
      </c>
      <c r="U39" s="151">
        <f t="shared" ref="U39" si="1">51.1+26+2.64+12.6</f>
        <v>92.339999999999989</v>
      </c>
      <c r="V39" s="101">
        <f t="shared" si="0"/>
        <v>1</v>
      </c>
      <c r="W39" s="160" cm="1">
        <f t="array" ref="W39">IF($V39&lt;&gt;0,
IF(AND(
                         S39&gt;=_xlfn.PERCENTILE.INC(_xlfn._xlws.FILTER($S$2:$S$148, ($K$2:$K$148=K39)*($V$2:$V$148=1)),0.1),
                         S39&lt;=_xlfn.PERCENTILE.INC(_xlfn._xlws.FILTER($S$2:$S$148, ($K$2:$K$148=K39)*($V$2:$V$148=1)),0.9)
               ),1,0),
0)</f>
        <v>1</v>
      </c>
      <c r="X39" s="167"/>
      <c r="Y39" s="2"/>
      <c r="Z39" s="70"/>
      <c r="AA39" s="47"/>
    </row>
    <row r="40" spans="1:27" customFormat="1" hidden="1" x14ac:dyDescent="0.25">
      <c r="A40" s="9" t="s">
        <v>215</v>
      </c>
      <c r="B40" s="106">
        <v>39</v>
      </c>
      <c r="C40" s="2" t="s">
        <v>51</v>
      </c>
      <c r="D40" s="3" t="s">
        <v>52</v>
      </c>
      <c r="E40" s="34">
        <v>44622</v>
      </c>
      <c r="F40" s="34">
        <v>46447</v>
      </c>
      <c r="G40" s="34" t="s">
        <v>276</v>
      </c>
      <c r="H40" s="113" t="s">
        <v>53</v>
      </c>
      <c r="I40" s="6" t="s">
        <v>338</v>
      </c>
      <c r="J40" s="2" t="s">
        <v>329</v>
      </c>
      <c r="K40" s="129" t="s">
        <v>330</v>
      </c>
      <c r="L40" s="118" t="s">
        <v>170</v>
      </c>
      <c r="M40" s="45" t="s">
        <v>0</v>
      </c>
      <c r="N40" s="27">
        <v>7850</v>
      </c>
      <c r="O40" s="3" t="s">
        <v>435</v>
      </c>
      <c r="P40" s="3" t="s">
        <v>435</v>
      </c>
      <c r="Q40" s="3" t="s">
        <v>435</v>
      </c>
      <c r="R40" s="140" t="s">
        <v>435</v>
      </c>
      <c r="S40" s="134">
        <f>Table2[[#This Row],[A1toA3_GWP]]+Table2[[#This Row],[C1toC4_GWP]]</f>
        <v>562.53</v>
      </c>
      <c r="T40" s="25">
        <v>474</v>
      </c>
      <c r="U40" s="151">
        <f>2.23+12.7+73.6</f>
        <v>88.53</v>
      </c>
      <c r="V40" s="101">
        <f t="shared" si="0"/>
        <v>1</v>
      </c>
      <c r="W40" s="160" cm="1">
        <f t="array" ref="W40">IF($V40&lt;&gt;0,
IF(AND(
                         S40&gt;=_xlfn.PERCENTILE.INC(_xlfn._xlws.FILTER($S$2:$S$148, ($K$2:$K$148=K40)*($V$2:$V$148=1)),0.1),
                         S40&lt;=_xlfn.PERCENTILE.INC(_xlfn._xlws.FILTER($S$2:$S$148, ($K$2:$K$148=K40)*($V$2:$V$148=1)),0.9)
               ),1,0),
0)</f>
        <v>1</v>
      </c>
      <c r="X40" s="167"/>
      <c r="Y40" s="2"/>
      <c r="Z40" s="70"/>
    </row>
    <row r="41" spans="1:27" customFormat="1" hidden="1" x14ac:dyDescent="0.25">
      <c r="A41" s="9" t="s">
        <v>211</v>
      </c>
      <c r="B41" s="106">
        <v>40</v>
      </c>
      <c r="C41" s="2" t="s">
        <v>77</v>
      </c>
      <c r="D41" s="3" t="s">
        <v>56</v>
      </c>
      <c r="E41" s="34">
        <v>40624</v>
      </c>
      <c r="F41" s="34">
        <v>46044</v>
      </c>
      <c r="G41" s="27" t="s">
        <v>304</v>
      </c>
      <c r="H41" s="113" t="s">
        <v>53</v>
      </c>
      <c r="I41" s="6" t="s">
        <v>338</v>
      </c>
      <c r="J41" s="2" t="s">
        <v>329</v>
      </c>
      <c r="K41" s="129" t="s">
        <v>330</v>
      </c>
      <c r="L41" s="118" t="s">
        <v>170</v>
      </c>
      <c r="M41" s="45" t="s">
        <v>0</v>
      </c>
      <c r="N41" s="27">
        <v>7850</v>
      </c>
      <c r="O41" s="3" t="s">
        <v>435</v>
      </c>
      <c r="P41" s="3" t="s">
        <v>435</v>
      </c>
      <c r="Q41" s="3" t="s">
        <v>435</v>
      </c>
      <c r="R41" s="140" t="s">
        <v>435</v>
      </c>
      <c r="S41" s="134">
        <f>Table2[[#This Row],[A1toA3_GWP]]+Table2[[#This Row],[C1toC4_GWP]]</f>
        <v>724.73</v>
      </c>
      <c r="T41" s="25">
        <f>348+119+120</f>
        <v>587</v>
      </c>
      <c r="U41" s="151">
        <f>38.2+24.4+1.93+73.2</f>
        <v>137.73000000000002</v>
      </c>
      <c r="V41" s="101">
        <f t="shared" si="0"/>
        <v>1</v>
      </c>
      <c r="W41" s="160" cm="1">
        <f t="array" ref="W41">IF($V41&lt;&gt;0,
IF(AND(
                         S41&gt;=_xlfn.PERCENTILE.INC(_xlfn._xlws.FILTER($S$2:$S$148, ($K$2:$K$148=K41)*($V$2:$V$148=1)),0.1),
                         S41&lt;=_xlfn.PERCENTILE.INC(_xlfn._xlws.FILTER($S$2:$S$148, ($K$2:$K$148=K41)*($V$2:$V$148=1)),0.9)
               ),1,0),
0)</f>
        <v>0</v>
      </c>
      <c r="X41" s="167"/>
      <c r="Y41" s="2"/>
      <c r="Z41" s="70"/>
    </row>
    <row r="42" spans="1:27" customFormat="1" hidden="1" x14ac:dyDescent="0.25">
      <c r="A42" s="9" t="s">
        <v>222</v>
      </c>
      <c r="B42" s="106">
        <v>41</v>
      </c>
      <c r="C42" s="2" t="s">
        <v>58</v>
      </c>
      <c r="D42" s="3" t="s">
        <v>59</v>
      </c>
      <c r="E42" s="34">
        <v>43810</v>
      </c>
      <c r="F42" s="34">
        <v>46012</v>
      </c>
      <c r="G42" s="27" t="s">
        <v>304</v>
      </c>
      <c r="H42" s="113" t="s">
        <v>53</v>
      </c>
      <c r="I42" s="6" t="s">
        <v>338</v>
      </c>
      <c r="J42" s="2" t="s">
        <v>329</v>
      </c>
      <c r="K42" s="129" t="s">
        <v>330</v>
      </c>
      <c r="L42" s="118" t="s">
        <v>170</v>
      </c>
      <c r="M42" s="45" t="s">
        <v>0</v>
      </c>
      <c r="N42" s="27">
        <v>7850</v>
      </c>
      <c r="O42" s="3" t="s">
        <v>435</v>
      </c>
      <c r="P42" s="3" t="s">
        <v>435</v>
      </c>
      <c r="Q42" s="3" t="s">
        <v>435</v>
      </c>
      <c r="R42" s="140" t="s">
        <v>435</v>
      </c>
      <c r="S42" s="134">
        <f>Table2[[#This Row],[A1toA3_GWP]]+Table2[[#This Row],[C1toC4_GWP]]</f>
        <v>715.3</v>
      </c>
      <c r="T42" s="25">
        <f>532.5+40+117</f>
        <v>689.5</v>
      </c>
      <c r="U42" s="151">
        <f>6.4+16.7+1.7+1</f>
        <v>25.8</v>
      </c>
      <c r="V42" s="101">
        <f t="shared" si="0"/>
        <v>1</v>
      </c>
      <c r="W42" s="160" cm="1">
        <f t="array" ref="W42">IF($V42&lt;&gt;0,
IF(AND(
                         S42&gt;=_xlfn.PERCENTILE.INC(_xlfn._xlws.FILTER($S$2:$S$148, ($K$2:$K$148=K42)*($V$2:$V$148=1)),0.1),
                         S42&lt;=_xlfn.PERCENTILE.INC(_xlfn._xlws.FILTER($S$2:$S$148, ($K$2:$K$148=K42)*($V$2:$V$148=1)),0.9)
               ),1,0),
0)</f>
        <v>1</v>
      </c>
      <c r="X42" s="167"/>
      <c r="Y42" s="2"/>
      <c r="Z42" s="70"/>
    </row>
    <row r="43" spans="1:27" customFormat="1" hidden="1" x14ac:dyDescent="0.25">
      <c r="A43" s="9" t="s">
        <v>212</v>
      </c>
      <c r="B43" s="106">
        <v>42</v>
      </c>
      <c r="C43" s="2" t="s">
        <v>61</v>
      </c>
      <c r="D43" s="3" t="s">
        <v>60</v>
      </c>
      <c r="E43" s="34">
        <v>45278</v>
      </c>
      <c r="F43" s="34">
        <v>47105</v>
      </c>
      <c r="G43" s="27" t="s">
        <v>303</v>
      </c>
      <c r="H43" s="113" t="s">
        <v>53</v>
      </c>
      <c r="I43" s="6" t="s">
        <v>338</v>
      </c>
      <c r="J43" s="2" t="s">
        <v>329</v>
      </c>
      <c r="K43" s="129" t="s">
        <v>330</v>
      </c>
      <c r="L43" s="118" t="s">
        <v>170</v>
      </c>
      <c r="M43" s="45" t="s">
        <v>0</v>
      </c>
      <c r="N43" s="27">
        <v>7850</v>
      </c>
      <c r="O43" s="3" t="s">
        <v>435</v>
      </c>
      <c r="P43" s="3" t="s">
        <v>435</v>
      </c>
      <c r="Q43" s="3" t="s">
        <v>435</v>
      </c>
      <c r="R43" s="140" t="s">
        <v>435</v>
      </c>
      <c r="S43" s="134">
        <f>Table2[[#This Row],[A1toA3_GWP]]+Table2[[#This Row],[C1toC4_GWP]]</f>
        <v>618.16999999999996</v>
      </c>
      <c r="T43" s="25">
        <v>506</v>
      </c>
      <c r="U43" s="151">
        <f>6.37+16.5+1.6+87.7</f>
        <v>112.17</v>
      </c>
      <c r="V43" s="101">
        <f t="shared" si="0"/>
        <v>1</v>
      </c>
      <c r="W43" s="160" cm="1">
        <f t="array" ref="W43">IF($V43&lt;&gt;0,
IF(AND(
                         S43&gt;=_xlfn.PERCENTILE.INC(_xlfn._xlws.FILTER($S$2:$S$148, ($K$2:$K$148=K43)*($V$2:$V$148=1)),0.1),
                         S43&lt;=_xlfn.PERCENTILE.INC(_xlfn._xlws.FILTER($S$2:$S$148, ($K$2:$K$148=K43)*($V$2:$V$148=1)),0.9)
               ),1,0),
0)</f>
        <v>1</v>
      </c>
      <c r="X43" s="167"/>
      <c r="Y43" s="2"/>
      <c r="Z43" s="70"/>
    </row>
    <row r="44" spans="1:27" customFormat="1" hidden="1" x14ac:dyDescent="0.25">
      <c r="A44" s="9" t="s">
        <v>213</v>
      </c>
      <c r="B44" s="106">
        <v>43</v>
      </c>
      <c r="C44" s="2" t="s">
        <v>62</v>
      </c>
      <c r="D44" s="3" t="s">
        <v>63</v>
      </c>
      <c r="E44" s="34">
        <v>42825</v>
      </c>
      <c r="F44" s="34">
        <v>46000</v>
      </c>
      <c r="G44" s="27" t="s">
        <v>304</v>
      </c>
      <c r="H44" s="113" t="s">
        <v>53</v>
      </c>
      <c r="I44" s="6" t="s">
        <v>338</v>
      </c>
      <c r="J44" s="2" t="s">
        <v>329</v>
      </c>
      <c r="K44" s="129" t="s">
        <v>330</v>
      </c>
      <c r="L44" s="118" t="s">
        <v>170</v>
      </c>
      <c r="M44" s="45" t="s">
        <v>0</v>
      </c>
      <c r="N44" s="27">
        <v>7850</v>
      </c>
      <c r="O44" s="3" t="s">
        <v>435</v>
      </c>
      <c r="P44" s="3" t="s">
        <v>435</v>
      </c>
      <c r="Q44" s="3" t="s">
        <v>435</v>
      </c>
      <c r="R44" s="140" t="s">
        <v>435</v>
      </c>
      <c r="S44" s="134">
        <f>Table2[[#This Row],[A1toA3_GWP]]+Table2[[#This Row],[C1toC4_GWP]]</f>
        <v>922.71</v>
      </c>
      <c r="T44" s="25">
        <f>592+40.1+153</f>
        <v>785.1</v>
      </c>
      <c r="U44" s="151">
        <f>38.1+24.4+2.01+73.1</f>
        <v>137.61000000000001</v>
      </c>
      <c r="V44" s="101">
        <f t="shared" si="0"/>
        <v>1</v>
      </c>
      <c r="W44" s="160" cm="1">
        <f t="array" ref="W44">IF($V44&lt;&gt;0,
IF(AND(
                         S44&gt;=_xlfn.PERCENTILE.INC(_xlfn._xlws.FILTER($S$2:$S$148, ($K$2:$K$148=K44)*($V$2:$V$148=1)),0.1),
                         S44&lt;=_xlfn.PERCENTILE.INC(_xlfn._xlws.FILTER($S$2:$S$148, ($K$2:$K$148=K44)*($V$2:$V$148=1)),0.9)
               ),1,0),
0)</f>
        <v>0</v>
      </c>
      <c r="X44" s="167"/>
      <c r="Y44" s="2"/>
      <c r="Z44" s="70"/>
    </row>
    <row r="45" spans="1:27" customFormat="1" hidden="1" x14ac:dyDescent="0.25">
      <c r="A45" s="9" t="s">
        <v>214</v>
      </c>
      <c r="B45" s="106">
        <v>44</v>
      </c>
      <c r="C45" s="2" t="s">
        <v>64</v>
      </c>
      <c r="D45" s="3" t="s">
        <v>65</v>
      </c>
      <c r="E45" s="34">
        <v>44770</v>
      </c>
      <c r="F45" s="34">
        <v>46596</v>
      </c>
      <c r="G45" s="27" t="s">
        <v>276</v>
      </c>
      <c r="H45" s="113" t="s">
        <v>53</v>
      </c>
      <c r="I45" s="6" t="s">
        <v>338</v>
      </c>
      <c r="J45" s="2" t="s">
        <v>329</v>
      </c>
      <c r="K45" s="129" t="s">
        <v>330</v>
      </c>
      <c r="L45" s="118" t="s">
        <v>170</v>
      </c>
      <c r="M45" s="45" t="s">
        <v>0</v>
      </c>
      <c r="N45" s="27">
        <v>7850</v>
      </c>
      <c r="O45" s="3" t="s">
        <v>435</v>
      </c>
      <c r="P45" s="3" t="s">
        <v>435</v>
      </c>
      <c r="Q45" s="3" t="s">
        <v>435</v>
      </c>
      <c r="R45" s="140" t="s">
        <v>435</v>
      </c>
      <c r="S45" s="134">
        <f>Table2[[#This Row],[A1toA3_GWP]]+Table2[[#This Row],[C1toC4_GWP]]</f>
        <v>632.27200000000005</v>
      </c>
      <c r="T45" s="25">
        <f>81.9+22.3+521</f>
        <v>625.20000000000005</v>
      </c>
      <c r="U45" s="151">
        <f>6.57+0.197+0.305</f>
        <v>7.0720000000000001</v>
      </c>
      <c r="V45" s="101">
        <f t="shared" si="0"/>
        <v>1</v>
      </c>
      <c r="W45" s="160" cm="1">
        <f t="array" ref="W45">IF($V45&lt;&gt;0,
IF(AND(
                         S45&gt;=_xlfn.PERCENTILE.INC(_xlfn._xlws.FILTER($S$2:$S$148, ($K$2:$K$148=K45)*($V$2:$V$148=1)),0.1),
                         S45&lt;=_xlfn.PERCENTILE.INC(_xlfn._xlws.FILTER($S$2:$S$148, ($K$2:$K$148=K45)*($V$2:$V$148=1)),0.9)
               ),1,0),
0)</f>
        <v>1</v>
      </c>
      <c r="X45" s="167"/>
      <c r="Y45" s="2"/>
      <c r="Z45" s="70"/>
    </row>
    <row r="46" spans="1:27" customFormat="1" hidden="1" x14ac:dyDescent="0.25">
      <c r="A46" s="9" t="s">
        <v>216</v>
      </c>
      <c r="B46" s="106">
        <v>45</v>
      </c>
      <c r="C46" s="2" t="s">
        <v>66</v>
      </c>
      <c r="D46" s="3" t="s">
        <v>68</v>
      </c>
      <c r="E46" s="34">
        <v>41025</v>
      </c>
      <c r="F46" s="34">
        <v>45556</v>
      </c>
      <c r="G46" s="27" t="s">
        <v>305</v>
      </c>
      <c r="H46" s="113" t="s">
        <v>53</v>
      </c>
      <c r="I46" s="6" t="s">
        <v>338</v>
      </c>
      <c r="J46" s="2" t="s">
        <v>329</v>
      </c>
      <c r="K46" s="129" t="s">
        <v>330</v>
      </c>
      <c r="L46" s="118" t="s">
        <v>170</v>
      </c>
      <c r="M46" s="45" t="s">
        <v>0</v>
      </c>
      <c r="N46" s="27">
        <v>7850</v>
      </c>
      <c r="O46" s="3" t="s">
        <v>435</v>
      </c>
      <c r="P46" s="3" t="s">
        <v>435</v>
      </c>
      <c r="Q46" s="3" t="s">
        <v>435</v>
      </c>
      <c r="R46" s="140" t="s">
        <v>435</v>
      </c>
      <c r="S46" s="134">
        <f>Table2[[#This Row],[A1toA3_GWP]]+Table2[[#This Row],[C1toC4_GWP]]</f>
        <v>367.12099999999998</v>
      </c>
      <c r="T46" s="25">
        <v>358</v>
      </c>
      <c r="U46" s="151">
        <f>0.351+8.77</f>
        <v>9.1209999999999987</v>
      </c>
      <c r="V46" s="101">
        <f t="shared" si="0"/>
        <v>1</v>
      </c>
      <c r="W46" s="160" cm="1">
        <f t="array" ref="W46">IF($V46&lt;&gt;0,
IF(AND(
                         S46&gt;=_xlfn.PERCENTILE.INC(_xlfn._xlws.FILTER($S$2:$S$148, ($K$2:$K$148=K46)*($V$2:$V$148=1)),0.1),
                         S46&lt;=_xlfn.PERCENTILE.INC(_xlfn._xlws.FILTER($S$2:$S$148, ($K$2:$K$148=K46)*($V$2:$V$148=1)),0.9)
               ),1,0),
0)</f>
        <v>0</v>
      </c>
      <c r="X46" s="167"/>
      <c r="Y46" s="2"/>
      <c r="Z46" s="70"/>
    </row>
    <row r="47" spans="1:27" customFormat="1" hidden="1" x14ac:dyDescent="0.25">
      <c r="A47" s="9" t="s">
        <v>217</v>
      </c>
      <c r="B47" s="106">
        <v>46</v>
      </c>
      <c r="C47" s="2" t="s">
        <v>69</v>
      </c>
      <c r="D47" s="3" t="s">
        <v>70</v>
      </c>
      <c r="E47" s="34">
        <v>44896</v>
      </c>
      <c r="F47" s="34">
        <v>46714</v>
      </c>
      <c r="G47" s="27" t="s">
        <v>71</v>
      </c>
      <c r="H47" s="113" t="s">
        <v>53</v>
      </c>
      <c r="I47" s="6" t="s">
        <v>338</v>
      </c>
      <c r="J47" s="2" t="s">
        <v>329</v>
      </c>
      <c r="K47" s="129" t="s">
        <v>330</v>
      </c>
      <c r="L47" s="118" t="s">
        <v>170</v>
      </c>
      <c r="M47" s="45" t="s">
        <v>0</v>
      </c>
      <c r="N47" s="27">
        <v>7850</v>
      </c>
      <c r="O47" s="3" t="s">
        <v>435</v>
      </c>
      <c r="P47" s="3" t="s">
        <v>435</v>
      </c>
      <c r="Q47" s="3" t="s">
        <v>435</v>
      </c>
      <c r="R47" s="140" t="s">
        <v>435</v>
      </c>
      <c r="S47" s="134">
        <f>Table2[[#This Row],[A1toA3_GWP]]+Table2[[#This Row],[C1toC4_GWP]]</f>
        <v>461.08</v>
      </c>
      <c r="T47" s="86">
        <v>330</v>
      </c>
      <c r="U47" s="151">
        <f>57.3+19.6+1.38+52.8</f>
        <v>131.07999999999998</v>
      </c>
      <c r="V47" s="101">
        <f t="shared" si="0"/>
        <v>1</v>
      </c>
      <c r="W47" s="160" cm="1">
        <f t="array" ref="W47">IF($V47&lt;&gt;0,
IF(AND(
                         S47&gt;=_xlfn.PERCENTILE.INC(_xlfn._xlws.FILTER($S$2:$S$148, ($K$2:$K$148=K47)*($V$2:$V$148=1)),0.1),
                         S47&lt;=_xlfn.PERCENTILE.INC(_xlfn._xlws.FILTER($S$2:$S$148, ($K$2:$K$148=K47)*($V$2:$V$148=1)),0.9)
               ),1,0),
0)</f>
        <v>1</v>
      </c>
      <c r="X47" s="167"/>
      <c r="Y47" s="2"/>
      <c r="Z47" s="70"/>
    </row>
    <row r="48" spans="1:27" customFormat="1" hidden="1" x14ac:dyDescent="0.25">
      <c r="A48" s="9" t="s">
        <v>218</v>
      </c>
      <c r="B48" s="106">
        <v>47</v>
      </c>
      <c r="C48" s="2" t="s">
        <v>73</v>
      </c>
      <c r="D48" s="3" t="s">
        <v>72</v>
      </c>
      <c r="E48" s="34">
        <v>45016</v>
      </c>
      <c r="F48" s="34">
        <v>46840</v>
      </c>
      <c r="G48" s="27" t="s">
        <v>181</v>
      </c>
      <c r="H48" s="113" t="s">
        <v>53</v>
      </c>
      <c r="I48" s="6" t="s">
        <v>338</v>
      </c>
      <c r="J48" s="2" t="s">
        <v>329</v>
      </c>
      <c r="K48" s="129" t="s">
        <v>330</v>
      </c>
      <c r="L48" s="118" t="s">
        <v>170</v>
      </c>
      <c r="M48" s="45" t="s">
        <v>0</v>
      </c>
      <c r="N48" s="27">
        <v>7850</v>
      </c>
      <c r="O48" s="3" t="s">
        <v>435</v>
      </c>
      <c r="P48" s="3" t="s">
        <v>435</v>
      </c>
      <c r="Q48" s="3" t="s">
        <v>435</v>
      </c>
      <c r="R48" s="140" t="s">
        <v>435</v>
      </c>
      <c r="S48" s="134">
        <f>Table2[[#This Row],[A1toA3_GWP]]+Table2[[#This Row],[C1toC4_GWP]]</f>
        <v>544.25</v>
      </c>
      <c r="T48" s="25">
        <v>413</v>
      </c>
      <c r="U48" s="151">
        <f>57.3+19.6+1.55+52.8</f>
        <v>131.25</v>
      </c>
      <c r="V48" s="101">
        <f t="shared" si="0"/>
        <v>1</v>
      </c>
      <c r="W48" s="160" cm="1">
        <f t="array" ref="W48">IF($V48&lt;&gt;0,
IF(AND(
                         S48&gt;=_xlfn.PERCENTILE.INC(_xlfn._xlws.FILTER($S$2:$S$148, ($K$2:$K$148=K48)*($V$2:$V$148=1)),0.1),
                         S48&lt;=_xlfn.PERCENTILE.INC(_xlfn._xlws.FILTER($S$2:$S$148, ($K$2:$K$148=K48)*($V$2:$V$148=1)),0.9)
               ),1,0),
0)</f>
        <v>1</v>
      </c>
      <c r="X48" s="167"/>
      <c r="Y48" s="2"/>
      <c r="Z48" s="70"/>
    </row>
    <row r="49" spans="1:27" customFormat="1" hidden="1" x14ac:dyDescent="0.25">
      <c r="A49" s="9" t="s">
        <v>219</v>
      </c>
      <c r="B49" s="106">
        <v>48</v>
      </c>
      <c r="C49" s="2" t="s">
        <v>74</v>
      </c>
      <c r="D49" s="3" t="s">
        <v>75</v>
      </c>
      <c r="E49" s="34">
        <v>45097</v>
      </c>
      <c r="F49" s="34">
        <v>46924</v>
      </c>
      <c r="G49" s="27" t="s">
        <v>276</v>
      </c>
      <c r="H49" s="113" t="s">
        <v>53</v>
      </c>
      <c r="I49" s="6" t="s">
        <v>338</v>
      </c>
      <c r="J49" s="2" t="s">
        <v>329</v>
      </c>
      <c r="K49" s="129" t="s">
        <v>330</v>
      </c>
      <c r="L49" s="118" t="s">
        <v>170</v>
      </c>
      <c r="M49" s="45" t="s">
        <v>0</v>
      </c>
      <c r="N49" s="27">
        <v>7850</v>
      </c>
      <c r="O49" s="3" t="s">
        <v>435</v>
      </c>
      <c r="P49" s="3" t="s">
        <v>435</v>
      </c>
      <c r="Q49" s="3" t="s">
        <v>435</v>
      </c>
      <c r="R49" s="140" t="s">
        <v>435</v>
      </c>
      <c r="S49" s="134">
        <f>Table2[[#This Row],[A1toA3_GWP]]+Table2[[#This Row],[C1toC4_GWP]]</f>
        <v>606.36399999999992</v>
      </c>
      <c r="T49" s="25">
        <f>56.4+18.4+524</f>
        <v>598.79999999999995</v>
      </c>
      <c r="U49" s="151">
        <f>7.12+0.149+0.295</f>
        <v>7.5640000000000001</v>
      </c>
      <c r="V49" s="101">
        <f t="shared" si="0"/>
        <v>1</v>
      </c>
      <c r="W49" s="160" cm="1">
        <f t="array" ref="W49">IF($V49&lt;&gt;0,
IF(AND(
                         S49&gt;=_xlfn.PERCENTILE.INC(_xlfn._xlws.FILTER($S$2:$S$148, ($K$2:$K$148=K49)*($V$2:$V$148=1)),0.1),
                         S49&lt;=_xlfn.PERCENTILE.INC(_xlfn._xlws.FILTER($S$2:$S$148, ($K$2:$K$148=K49)*($V$2:$V$148=1)),0.9)
               ),1,0),
0)</f>
        <v>1</v>
      </c>
      <c r="X49" s="167"/>
      <c r="Y49" s="2"/>
      <c r="Z49" s="70"/>
    </row>
    <row r="50" spans="1:27" customFormat="1" hidden="1" x14ac:dyDescent="0.25">
      <c r="A50" s="9" t="s">
        <v>220</v>
      </c>
      <c r="B50" s="106">
        <v>49</v>
      </c>
      <c r="C50" s="2" t="s">
        <v>76</v>
      </c>
      <c r="D50" s="3" t="s">
        <v>75</v>
      </c>
      <c r="E50" s="34">
        <v>45097</v>
      </c>
      <c r="F50" s="34">
        <v>46924</v>
      </c>
      <c r="G50" s="27" t="s">
        <v>276</v>
      </c>
      <c r="H50" s="113" t="s">
        <v>53</v>
      </c>
      <c r="I50" s="6" t="s">
        <v>338</v>
      </c>
      <c r="J50" s="2" t="s">
        <v>329</v>
      </c>
      <c r="K50" s="129" t="s">
        <v>330</v>
      </c>
      <c r="L50" s="118" t="s">
        <v>170</v>
      </c>
      <c r="M50" s="45" t="s">
        <v>0</v>
      </c>
      <c r="N50" s="27">
        <v>7850</v>
      </c>
      <c r="O50" s="3" t="s">
        <v>435</v>
      </c>
      <c r="P50" s="3" t="s">
        <v>435</v>
      </c>
      <c r="Q50" s="3" t="s">
        <v>435</v>
      </c>
      <c r="R50" s="140" t="s">
        <v>435</v>
      </c>
      <c r="S50" s="134">
        <f>Table2[[#This Row],[A1toA3_GWP]]+Table2[[#This Row],[C1toC4_GWP]]</f>
        <v>600.49</v>
      </c>
      <c r="T50" s="25">
        <f>55.8+18.2+519</f>
        <v>593</v>
      </c>
      <c r="U50" s="151">
        <f>7.05+0.148+0.292</f>
        <v>7.4899999999999993</v>
      </c>
      <c r="V50" s="101">
        <f t="shared" si="0"/>
        <v>1</v>
      </c>
      <c r="W50" s="160" cm="1">
        <f t="array" ref="W50">IF($V50&lt;&gt;0,
IF(AND(
                         S50&gt;=_xlfn.PERCENTILE.INC(_xlfn._xlws.FILTER($S$2:$S$148, ($K$2:$K$148=K50)*($V$2:$V$148=1)),0.1),
                         S50&lt;=_xlfn.PERCENTILE.INC(_xlfn._xlws.FILTER($S$2:$S$148, ($K$2:$K$148=K50)*($V$2:$V$148=1)),0.9)
               ),1,0),
0)</f>
        <v>1</v>
      </c>
      <c r="X50" s="167"/>
      <c r="Y50" s="2"/>
      <c r="Z50" s="70"/>
    </row>
    <row r="51" spans="1:27" customFormat="1" hidden="1" x14ac:dyDescent="0.25">
      <c r="A51" s="9" t="s">
        <v>225</v>
      </c>
      <c r="B51" s="106">
        <v>50</v>
      </c>
      <c r="C51" s="2" t="s">
        <v>78</v>
      </c>
      <c r="D51" s="3" t="s">
        <v>79</v>
      </c>
      <c r="E51" s="34">
        <v>44588</v>
      </c>
      <c r="F51" s="34">
        <v>46414</v>
      </c>
      <c r="G51" s="27" t="s">
        <v>303</v>
      </c>
      <c r="H51" s="113" t="s">
        <v>53</v>
      </c>
      <c r="I51" s="6" t="s">
        <v>338</v>
      </c>
      <c r="J51" s="2" t="s">
        <v>329</v>
      </c>
      <c r="K51" s="129" t="s">
        <v>330</v>
      </c>
      <c r="L51" s="118" t="s">
        <v>170</v>
      </c>
      <c r="M51" s="45" t="s">
        <v>0</v>
      </c>
      <c r="N51" s="27">
        <v>7850</v>
      </c>
      <c r="O51" s="3" t="s">
        <v>435</v>
      </c>
      <c r="P51" s="3" t="s">
        <v>435</v>
      </c>
      <c r="Q51" s="3" t="s">
        <v>435</v>
      </c>
      <c r="R51" s="140" t="s">
        <v>435</v>
      </c>
      <c r="S51" s="134">
        <f>Table2[[#This Row],[A1toA3_GWP]]+Table2[[#This Row],[C1toC4_GWP]]</f>
        <v>418.73599999999999</v>
      </c>
      <c r="T51" s="25">
        <f>52.9+24.3+333</f>
        <v>410.2</v>
      </c>
      <c r="U51" s="151">
        <f>8.23+0.306</f>
        <v>8.5359999999999996</v>
      </c>
      <c r="V51" s="101">
        <f t="shared" si="0"/>
        <v>1</v>
      </c>
      <c r="W51" s="160" cm="1">
        <f t="array" ref="W51">IF($V51&lt;&gt;0,
IF(AND(
                         S51&gt;=_xlfn.PERCENTILE.INC(_xlfn._xlws.FILTER($S$2:$S$148, ($K$2:$K$148=K51)*($V$2:$V$148=1)),0.1),
                         S51&lt;=_xlfn.PERCENTILE.INC(_xlfn._xlws.FILTER($S$2:$S$148, ($K$2:$K$148=K51)*($V$2:$V$148=1)),0.9)
               ),1,0),
0)</f>
        <v>1</v>
      </c>
      <c r="X51" s="167"/>
      <c r="Y51" s="2"/>
      <c r="Z51" s="70"/>
    </row>
    <row r="52" spans="1:27" customFormat="1" hidden="1" x14ac:dyDescent="0.25">
      <c r="A52" s="9" t="s">
        <v>223</v>
      </c>
      <c r="B52" s="106">
        <v>51</v>
      </c>
      <c r="C52" s="2" t="s">
        <v>80</v>
      </c>
      <c r="D52" s="3" t="s">
        <v>81</v>
      </c>
      <c r="E52" s="34">
        <v>44306</v>
      </c>
      <c r="F52" s="34">
        <v>46131</v>
      </c>
      <c r="G52" s="27" t="s">
        <v>276</v>
      </c>
      <c r="H52" s="113" t="s">
        <v>53</v>
      </c>
      <c r="I52" s="6" t="s">
        <v>338</v>
      </c>
      <c r="J52" s="2" t="s">
        <v>329</v>
      </c>
      <c r="K52" s="129" t="s">
        <v>330</v>
      </c>
      <c r="L52" s="118" t="s">
        <v>170</v>
      </c>
      <c r="M52" s="45" t="s">
        <v>0</v>
      </c>
      <c r="N52" s="27">
        <v>7850</v>
      </c>
      <c r="O52" s="3" t="s">
        <v>435</v>
      </c>
      <c r="P52" s="3" t="s">
        <v>435</v>
      </c>
      <c r="Q52" s="3" t="s">
        <v>435</v>
      </c>
      <c r="R52" s="140" t="s">
        <v>435</v>
      </c>
      <c r="S52" s="134">
        <f>Table2[[#This Row],[A1toA3_GWP]]+Table2[[#This Row],[C1toC4_GWP]]</f>
        <v>468.90499999999997</v>
      </c>
      <c r="T52" s="25">
        <f>79.5+38+343</f>
        <v>460.5</v>
      </c>
      <c r="U52" s="151">
        <f>8.09+0+0.315</f>
        <v>8.4049999999999994</v>
      </c>
      <c r="V52" s="101">
        <f t="shared" si="0"/>
        <v>1</v>
      </c>
      <c r="W52" s="160" cm="1">
        <f t="array" ref="W52">IF($V52&lt;&gt;0,
IF(AND(
                         S52&gt;=_xlfn.PERCENTILE.INC(_xlfn._xlws.FILTER($S$2:$S$148, ($K$2:$K$148=K52)*($V$2:$V$148=1)),0.1),
                         S52&lt;=_xlfn.PERCENTILE.INC(_xlfn._xlws.FILTER($S$2:$S$148, ($K$2:$K$148=K52)*($V$2:$V$148=1)),0.9)
               ),1,0),
0)</f>
        <v>1</v>
      </c>
      <c r="X52" s="167"/>
      <c r="Y52" s="2"/>
      <c r="Z52" s="70"/>
    </row>
    <row r="53" spans="1:27" customFormat="1" hidden="1" x14ac:dyDescent="0.25">
      <c r="A53" s="9" t="s">
        <v>224</v>
      </c>
      <c r="B53" s="106">
        <v>52</v>
      </c>
      <c r="C53" s="6" t="s">
        <v>82</v>
      </c>
      <c r="D53" s="3" t="s">
        <v>83</v>
      </c>
      <c r="E53" s="34">
        <v>43803</v>
      </c>
      <c r="F53" s="34">
        <v>46150</v>
      </c>
      <c r="G53" s="27" t="s">
        <v>303</v>
      </c>
      <c r="H53" s="113" t="s">
        <v>53</v>
      </c>
      <c r="I53" s="6" t="s">
        <v>338</v>
      </c>
      <c r="J53" s="2" t="s">
        <v>329</v>
      </c>
      <c r="K53" s="129" t="s">
        <v>330</v>
      </c>
      <c r="L53" s="118" t="s">
        <v>170</v>
      </c>
      <c r="M53" s="45" t="s">
        <v>0</v>
      </c>
      <c r="N53" s="27">
        <v>7850</v>
      </c>
      <c r="O53" s="3" t="s">
        <v>435</v>
      </c>
      <c r="P53" s="3" t="s">
        <v>435</v>
      </c>
      <c r="Q53" s="3" t="s">
        <v>435</v>
      </c>
      <c r="R53" s="140" t="s">
        <v>435</v>
      </c>
      <c r="S53" s="134">
        <f>Table2[[#This Row],[A1toA3_GWP]]+Table2[[#This Row],[C1toC4_GWP]]</f>
        <v>352.93</v>
      </c>
      <c r="T53" s="86">
        <v>309</v>
      </c>
      <c r="U53" s="151">
        <f>2.15+40.6+1.18</f>
        <v>43.93</v>
      </c>
      <c r="V53" s="101">
        <f t="shared" si="0"/>
        <v>1</v>
      </c>
      <c r="W53" s="160" cm="1">
        <f t="array" ref="W53">IF($V53&lt;&gt;0,
IF(AND(
                         S53&gt;=_xlfn.PERCENTILE.INC(_xlfn._xlws.FILTER($S$2:$S$148, ($K$2:$K$148=K53)*($V$2:$V$148=1)),0.1),
                         S53&lt;=_xlfn.PERCENTILE.INC(_xlfn._xlws.FILTER($S$2:$S$148, ($K$2:$K$148=K53)*($V$2:$V$148=1)),0.9)
               ),1,0),
0)</f>
        <v>0</v>
      </c>
      <c r="X53" s="167"/>
      <c r="Y53" s="2"/>
      <c r="Z53" s="70"/>
    </row>
    <row r="54" spans="1:27" customFormat="1" hidden="1" x14ac:dyDescent="0.25">
      <c r="A54" s="9" t="s">
        <v>221</v>
      </c>
      <c r="B54" s="106">
        <v>53</v>
      </c>
      <c r="C54" s="6" t="s">
        <v>84</v>
      </c>
      <c r="D54" s="3" t="s">
        <v>85</v>
      </c>
      <c r="E54" s="34">
        <v>43759</v>
      </c>
      <c r="F54" s="34">
        <v>46150</v>
      </c>
      <c r="G54" s="27" t="s">
        <v>181</v>
      </c>
      <c r="H54" s="113" t="s">
        <v>53</v>
      </c>
      <c r="I54" s="6" t="s">
        <v>338</v>
      </c>
      <c r="J54" s="2" t="s">
        <v>329</v>
      </c>
      <c r="K54" s="129" t="s">
        <v>330</v>
      </c>
      <c r="L54" s="118" t="s">
        <v>170</v>
      </c>
      <c r="M54" s="45" t="s">
        <v>0</v>
      </c>
      <c r="N54" s="27">
        <v>7850</v>
      </c>
      <c r="O54" s="3" t="s">
        <v>435</v>
      </c>
      <c r="P54" s="3" t="s">
        <v>435</v>
      </c>
      <c r="Q54" s="3" t="s">
        <v>435</v>
      </c>
      <c r="R54" s="140" t="s">
        <v>435</v>
      </c>
      <c r="S54" s="134">
        <f>Table2[[#This Row],[A1toA3_GWP]]+Table2[[#This Row],[C1toC4_GWP]]</f>
        <v>658.93</v>
      </c>
      <c r="T54" s="86">
        <v>615</v>
      </c>
      <c r="U54" s="151">
        <f>2.15+40.6+1.18</f>
        <v>43.93</v>
      </c>
      <c r="V54" s="101">
        <f t="shared" si="0"/>
        <v>1</v>
      </c>
      <c r="W54" s="160" cm="1">
        <f t="array" ref="W54">IF($V54&lt;&gt;0,
IF(AND(
                         S54&gt;=_xlfn.PERCENTILE.INC(_xlfn._xlws.FILTER($S$2:$S$148, ($K$2:$K$148=K54)*($V$2:$V$148=1)),0.1),
                         S54&lt;=_xlfn.PERCENTILE.INC(_xlfn._xlws.FILTER($S$2:$S$148, ($K$2:$K$148=K54)*($V$2:$V$148=1)),0.9)
               ),1,0),
0)</f>
        <v>1</v>
      </c>
      <c r="X54" s="167"/>
      <c r="Y54" s="2"/>
      <c r="Z54" s="70"/>
    </row>
    <row r="55" spans="1:27" customFormat="1" ht="15.75" hidden="1" thickBot="1" x14ac:dyDescent="0.3">
      <c r="A55" s="10" t="s">
        <v>226</v>
      </c>
      <c r="B55" s="107">
        <v>54</v>
      </c>
      <c r="C55" s="7" t="s">
        <v>227</v>
      </c>
      <c r="D55" s="5" t="s">
        <v>228</v>
      </c>
      <c r="E55" s="37">
        <v>43420</v>
      </c>
      <c r="F55" s="37">
        <v>45245</v>
      </c>
      <c r="G55" s="30" t="s">
        <v>304</v>
      </c>
      <c r="H55" s="116" t="s">
        <v>53</v>
      </c>
      <c r="I55" s="7" t="s">
        <v>338</v>
      </c>
      <c r="J55" s="4" t="s">
        <v>329</v>
      </c>
      <c r="K55" s="130" t="s">
        <v>330</v>
      </c>
      <c r="L55" s="121" t="s">
        <v>170</v>
      </c>
      <c r="M55" s="46" t="s">
        <v>0</v>
      </c>
      <c r="N55" s="30">
        <v>7850</v>
      </c>
      <c r="O55" s="5" t="s">
        <v>435</v>
      </c>
      <c r="P55" s="5" t="s">
        <v>435</v>
      </c>
      <c r="Q55" s="5" t="s">
        <v>435</v>
      </c>
      <c r="R55" s="143" t="s">
        <v>435</v>
      </c>
      <c r="S55" s="87">
        <f>SUM(Table2[[#This Row],[A1toA3_GWP]:[C1toC4_GWP]])+U41</f>
        <v>664.73</v>
      </c>
      <c r="T55" s="88">
        <f>403+39+85</f>
        <v>527</v>
      </c>
      <c r="U55" s="154" t="s">
        <v>170</v>
      </c>
      <c r="V55" s="146">
        <f t="shared" si="0"/>
        <v>1</v>
      </c>
      <c r="W55" s="161" cm="1">
        <f t="array" ref="W55">IF($V55&lt;&gt;0,
IF(AND(
                         S55&gt;=_xlfn.PERCENTILE.INC(_xlfn._xlws.FILTER($S$2:$S$148, ($K$2:$K$148=K55)*($V$2:$V$148=1)),0.1),
                         S55&lt;=_xlfn.PERCENTILE.INC(_xlfn._xlws.FILTER($S$2:$S$148, ($K$2:$K$148=K55)*($V$2:$V$148=1)),0.9)
               ),1,0),
0)</f>
        <v>1</v>
      </c>
      <c r="X55" s="170"/>
      <c r="Y55" s="4"/>
      <c r="Z55" s="70"/>
    </row>
    <row r="56" spans="1:27" s="11" customFormat="1" hidden="1" x14ac:dyDescent="0.25">
      <c r="A56" s="100" t="s">
        <v>368</v>
      </c>
      <c r="B56" s="104">
        <v>55</v>
      </c>
      <c r="C56" s="20" t="s">
        <v>151</v>
      </c>
      <c r="D56" s="13" t="s">
        <v>12</v>
      </c>
      <c r="E56" s="38" t="s">
        <v>170</v>
      </c>
      <c r="F56" s="38" t="s">
        <v>170</v>
      </c>
      <c r="G56" s="26" t="s">
        <v>54</v>
      </c>
      <c r="H56" s="111" t="s">
        <v>152</v>
      </c>
      <c r="I56" s="20" t="s">
        <v>342</v>
      </c>
      <c r="J56" s="12" t="s">
        <v>326</v>
      </c>
      <c r="K56" s="124" t="s">
        <v>333</v>
      </c>
      <c r="L56" s="122" t="s">
        <v>170</v>
      </c>
      <c r="M56" s="26" t="s">
        <v>1</v>
      </c>
      <c r="N56" s="31">
        <v>440</v>
      </c>
      <c r="O56" s="13" t="s">
        <v>435</v>
      </c>
      <c r="P56" s="13" t="s">
        <v>435</v>
      </c>
      <c r="Q56" s="13" t="s">
        <v>435</v>
      </c>
      <c r="R56" s="138" t="s">
        <v>435</v>
      </c>
      <c r="S56" s="54">
        <f>SUM(Table2[[#This Row],[A1toA3_GWP]:[C1toC4_GWP]])</f>
        <v>275</v>
      </c>
      <c r="T56" s="89">
        <f>85.8/Table2[[#This Row],[DENSITY]]*1000</f>
        <v>195</v>
      </c>
      <c r="U56" s="149">
        <v>80</v>
      </c>
      <c r="V56" s="54">
        <f t="shared" si="0"/>
        <v>0</v>
      </c>
      <c r="W56" s="158" cm="1">
        <f t="array" ref="W56">IF($V56&lt;&gt;0,
IF(AND(
                         S56&gt;=_xlfn.PERCENTILE.INC(_xlfn._xlws.FILTER($S$2:$S$148, ($J$2:$J$148=J56)*($V$2:$V$148=1)),0.1),
                         S56&lt;=_xlfn.PERCENTILE.INC(_xlfn._xlws.FILTER($S$2:$S$148, ($J$3:$J$149=J56)*($V$2:$V$148=1)),0.9)
               ),1,0),
0)</f>
        <v>0</v>
      </c>
      <c r="X56" s="165"/>
      <c r="Y56" s="12"/>
      <c r="Z56" s="176"/>
      <c r="AA56"/>
    </row>
    <row r="57" spans="1:27" s="11" customFormat="1" hidden="1" x14ac:dyDescent="0.25">
      <c r="A57" s="100" t="s">
        <v>369</v>
      </c>
      <c r="B57" s="104">
        <v>56</v>
      </c>
      <c r="C57" s="20" t="s">
        <v>154</v>
      </c>
      <c r="D57" s="13" t="s">
        <v>12</v>
      </c>
      <c r="E57" s="38" t="s">
        <v>170</v>
      </c>
      <c r="F57" s="38" t="s">
        <v>170</v>
      </c>
      <c r="G57" s="26" t="s">
        <v>54</v>
      </c>
      <c r="H57" s="111" t="s">
        <v>153</v>
      </c>
      <c r="I57" s="20" t="s">
        <v>342</v>
      </c>
      <c r="J57" s="12" t="s">
        <v>326</v>
      </c>
      <c r="K57" s="124" t="s">
        <v>333</v>
      </c>
      <c r="L57" s="122" t="s">
        <v>170</v>
      </c>
      <c r="M57" s="26" t="s">
        <v>1</v>
      </c>
      <c r="N57" s="31">
        <v>440</v>
      </c>
      <c r="O57" s="13" t="s">
        <v>435</v>
      </c>
      <c r="P57" s="13" t="s">
        <v>435</v>
      </c>
      <c r="Q57" s="13" t="s">
        <v>435</v>
      </c>
      <c r="R57" s="138" t="s">
        <v>435</v>
      </c>
      <c r="S57" s="54">
        <f>SUM(Table2[[#This Row],[A1toA3_GWP]:[C1toC4_GWP]])</f>
        <v>279.31818181818181</v>
      </c>
      <c r="T57" s="23">
        <f>87.7/Table2[[#This Row],[DENSITY]]*1000</f>
        <v>199.31818181818181</v>
      </c>
      <c r="U57" s="149">
        <v>80</v>
      </c>
      <c r="V57" s="54">
        <f t="shared" si="0"/>
        <v>0</v>
      </c>
      <c r="W57" s="158" cm="1">
        <f t="array" ref="W57">IF($V57&lt;&gt;0,
IF(AND(
                         S57&gt;=_xlfn.PERCENTILE.INC(_xlfn._xlws.FILTER($S$2:$S$148, ($J$2:$J$148=J57)*($V$2:$V$148=1)),0.1),
                         S57&lt;=_xlfn.PERCENTILE.INC(_xlfn._xlws.FILTER($S$2:$S$148, ($J$3:$J$149=J57)*($V$2:$V$148=1)),0.9)
               ),1,0),
0)</f>
        <v>0</v>
      </c>
      <c r="X57" s="165"/>
      <c r="Y57" s="12"/>
      <c r="Z57" s="176"/>
    </row>
    <row r="58" spans="1:27" s="11" customFormat="1" x14ac:dyDescent="0.25">
      <c r="A58" s="100" t="s">
        <v>370</v>
      </c>
      <c r="B58" s="104">
        <v>57</v>
      </c>
      <c r="C58" s="20" t="s">
        <v>155</v>
      </c>
      <c r="D58" s="13" t="s">
        <v>12</v>
      </c>
      <c r="E58" s="38" t="s">
        <v>170</v>
      </c>
      <c r="F58" s="38" t="s">
        <v>170</v>
      </c>
      <c r="G58" s="26" t="s">
        <v>156</v>
      </c>
      <c r="H58" s="111" t="s">
        <v>105</v>
      </c>
      <c r="I58" s="20" t="s">
        <v>342</v>
      </c>
      <c r="J58" s="12" t="s">
        <v>326</v>
      </c>
      <c r="K58" s="124" t="s">
        <v>333</v>
      </c>
      <c r="L58" s="122" t="s">
        <v>170</v>
      </c>
      <c r="M58" s="26" t="s">
        <v>1</v>
      </c>
      <c r="N58" s="31">
        <v>440</v>
      </c>
      <c r="O58" s="13" t="s">
        <v>435</v>
      </c>
      <c r="P58" s="13" t="s">
        <v>435</v>
      </c>
      <c r="Q58" s="13" t="s">
        <v>435</v>
      </c>
      <c r="R58" s="138" t="s">
        <v>435</v>
      </c>
      <c r="S58" s="54">
        <f>SUM(Table2[[#This Row],[A1toA3_GWP]:[C1toC4_GWP]])</f>
        <v>400.45454545454544</v>
      </c>
      <c r="T58" s="23">
        <f>141/Table2[[#This Row],[DENSITY]]*1000</f>
        <v>320.45454545454544</v>
      </c>
      <c r="U58" s="149">
        <v>80</v>
      </c>
      <c r="V58" s="54">
        <f t="shared" si="0"/>
        <v>0</v>
      </c>
      <c r="W58" s="158" cm="1">
        <f t="array" ref="W58">IF($V58&lt;&gt;0,
IF(AND(
                         S58&gt;=_xlfn.PERCENTILE.INC(_xlfn._xlws.FILTER($S$2:$S$148, ($J$2:$J$148=J58)*($V$2:$V$148=1)),0.1),
                         S58&lt;=_xlfn.PERCENTILE.INC(_xlfn._xlws.FILTER($S$2:$S$148, ($J$3:$J$149=J58)*($V$2:$V$148=1)),0.9)
               ),1,0),
0)</f>
        <v>0</v>
      </c>
      <c r="X58" s="165"/>
      <c r="Y58" s="12"/>
      <c r="Z58" s="176"/>
    </row>
    <row r="59" spans="1:27" s="11" customFormat="1" hidden="1" x14ac:dyDescent="0.25">
      <c r="A59" s="100" t="s">
        <v>371</v>
      </c>
      <c r="B59" s="104">
        <v>58</v>
      </c>
      <c r="C59" s="20" t="s">
        <v>157</v>
      </c>
      <c r="D59" s="13" t="s">
        <v>12</v>
      </c>
      <c r="E59" s="38" t="s">
        <v>170</v>
      </c>
      <c r="F59" s="38" t="s">
        <v>170</v>
      </c>
      <c r="G59" s="26" t="s">
        <v>158</v>
      </c>
      <c r="H59" s="111" t="s">
        <v>121</v>
      </c>
      <c r="I59" s="20" t="s">
        <v>341</v>
      </c>
      <c r="J59" s="12" t="s">
        <v>326</v>
      </c>
      <c r="K59" s="124" t="s">
        <v>334</v>
      </c>
      <c r="L59" s="122" t="s">
        <v>170</v>
      </c>
      <c r="M59" s="26" t="s">
        <v>1</v>
      </c>
      <c r="N59" s="31">
        <v>435</v>
      </c>
      <c r="O59" s="13" t="s">
        <v>435</v>
      </c>
      <c r="P59" s="13" t="s">
        <v>435</v>
      </c>
      <c r="Q59" s="13" t="s">
        <v>435</v>
      </c>
      <c r="R59" s="138" t="s">
        <v>435</v>
      </c>
      <c r="S59" s="54">
        <f>SUM(Table2[[#This Row],[A1toA3_GWP]:[C1toC4_GWP]])</f>
        <v>415.63218390804599</v>
      </c>
      <c r="T59" s="23">
        <f>146/Table2[[#This Row],[DENSITY]]*1000</f>
        <v>335.63218390804599</v>
      </c>
      <c r="U59" s="149">
        <v>80</v>
      </c>
      <c r="V59" s="54">
        <f t="shared" si="0"/>
        <v>0</v>
      </c>
      <c r="W59" s="158" cm="1">
        <f t="array" ref="W59">IF($V59&lt;&gt;0,
IF(AND(
                         S59&gt;=_xlfn.PERCENTILE.INC(_xlfn._xlws.FILTER($S$2:$S$148, ($J$2:$J$148=J59)*($V$2:$V$148=1)),0.1),
                         S59&lt;=_xlfn.PERCENTILE.INC(_xlfn._xlws.FILTER($S$2:$S$148, ($J$3:$J$149=J59)*($V$2:$V$148=1)),0.9)
               ),1,0),
0)</f>
        <v>0</v>
      </c>
      <c r="X59" s="165"/>
      <c r="Y59" s="12"/>
      <c r="Z59" s="176"/>
    </row>
    <row r="60" spans="1:27" s="11" customFormat="1" x14ac:dyDescent="0.25">
      <c r="A60" s="100" t="s">
        <v>372</v>
      </c>
      <c r="B60" s="104">
        <v>59</v>
      </c>
      <c r="C60" s="20" t="s">
        <v>161</v>
      </c>
      <c r="D60" s="13" t="s">
        <v>12</v>
      </c>
      <c r="E60" s="38" t="s">
        <v>170</v>
      </c>
      <c r="F60" s="38" t="s">
        <v>170</v>
      </c>
      <c r="G60" s="26" t="s">
        <v>158</v>
      </c>
      <c r="H60" s="111" t="s">
        <v>117</v>
      </c>
      <c r="I60" s="20" t="s">
        <v>343</v>
      </c>
      <c r="J60" s="12" t="s">
        <v>326</v>
      </c>
      <c r="K60" s="124" t="s">
        <v>335</v>
      </c>
      <c r="L60" s="122" t="s">
        <v>170</v>
      </c>
      <c r="M60" s="26" t="s">
        <v>122</v>
      </c>
      <c r="N60" s="31">
        <v>470</v>
      </c>
      <c r="O60" s="13" t="s">
        <v>435</v>
      </c>
      <c r="P60" s="13" t="s">
        <v>435</v>
      </c>
      <c r="Q60" s="13" t="s">
        <v>435</v>
      </c>
      <c r="R60" s="138" t="s">
        <v>435</v>
      </c>
      <c r="S60" s="54">
        <f>SUM(Table2[[#This Row],[A1toA3_GWP]:[C1toC4_GWP]])</f>
        <v>362.97872340425533</v>
      </c>
      <c r="T60" s="23">
        <f>133/Table2[[#This Row],[DENSITY]]*1000</f>
        <v>282.97872340425533</v>
      </c>
      <c r="U60" s="149">
        <v>80</v>
      </c>
      <c r="V60" s="54">
        <f t="shared" si="0"/>
        <v>0</v>
      </c>
      <c r="W60" s="158" cm="1">
        <f t="array" ref="W60">IF($V60&lt;&gt;0,
IF(AND(
                         S60&gt;=_xlfn.PERCENTILE.INC(_xlfn._xlws.FILTER($S$2:$S$148, ($J$2:$J$148=J60)*($V$2:$V$148=1)),0.1),
                         S60&lt;=_xlfn.PERCENTILE.INC(_xlfn._xlws.FILTER($S$2:$S$148, ($J$3:$J$149=J60)*($V$2:$V$148=1)),0.9)
               ),1,0),
0)</f>
        <v>0</v>
      </c>
      <c r="X60" s="165"/>
      <c r="Y60" s="12"/>
      <c r="Z60" s="176"/>
    </row>
    <row r="61" spans="1:27" s="11" customFormat="1" hidden="1" x14ac:dyDescent="0.25">
      <c r="A61" s="100" t="s">
        <v>373</v>
      </c>
      <c r="B61" s="104">
        <v>60</v>
      </c>
      <c r="C61" s="20" t="s">
        <v>162</v>
      </c>
      <c r="D61" s="13" t="s">
        <v>12</v>
      </c>
      <c r="E61" s="38" t="s">
        <v>170</v>
      </c>
      <c r="F61" s="38" t="s">
        <v>170</v>
      </c>
      <c r="G61" s="26" t="s">
        <v>158</v>
      </c>
      <c r="H61" s="111" t="s">
        <v>163</v>
      </c>
      <c r="I61" s="20" t="s">
        <v>343</v>
      </c>
      <c r="J61" s="12" t="s">
        <v>326</v>
      </c>
      <c r="K61" s="124" t="s">
        <v>335</v>
      </c>
      <c r="L61" s="122" t="s">
        <v>170</v>
      </c>
      <c r="M61" s="26" t="s">
        <v>122</v>
      </c>
      <c r="N61" s="31">
        <v>470</v>
      </c>
      <c r="O61" s="13" t="s">
        <v>435</v>
      </c>
      <c r="P61" s="13" t="s">
        <v>435</v>
      </c>
      <c r="Q61" s="13" t="s">
        <v>435</v>
      </c>
      <c r="R61" s="138" t="s">
        <v>435</v>
      </c>
      <c r="S61" s="54">
        <f>SUM(Table2[[#This Row],[A1toA3_GWP]:[C1toC4_GWP]])</f>
        <v>280.21276595744678</v>
      </c>
      <c r="T61" s="23">
        <f>94.1/Table2[[#This Row],[DENSITY]]*1000</f>
        <v>200.21276595744681</v>
      </c>
      <c r="U61" s="149">
        <v>80</v>
      </c>
      <c r="V61" s="54">
        <f t="shared" si="0"/>
        <v>0</v>
      </c>
      <c r="W61" s="158" cm="1">
        <f t="array" ref="W61">IF($V61&lt;&gt;0,
IF(AND(
                         S61&gt;=_xlfn.PERCENTILE.INC(_xlfn._xlws.FILTER($S$2:$S$148, ($J$2:$J$148=J61)*($V$2:$V$148=1)),0.1),
                         S61&lt;=_xlfn.PERCENTILE.INC(_xlfn._xlws.FILTER($S$2:$S$148, ($J$3:$J$149=J61)*($V$2:$V$148=1)),0.9)
               ),1,0),
0)</f>
        <v>0</v>
      </c>
      <c r="X61" s="165"/>
      <c r="Y61" s="12"/>
      <c r="Z61" s="176"/>
    </row>
    <row r="62" spans="1:27" s="16" customFormat="1" hidden="1" x14ac:dyDescent="0.25">
      <c r="A62" s="172" t="s">
        <v>383</v>
      </c>
      <c r="B62" s="173">
        <v>61</v>
      </c>
      <c r="C62" s="21" t="s">
        <v>170</v>
      </c>
      <c r="D62" s="18" t="s">
        <v>4</v>
      </c>
      <c r="E62" s="36" t="s">
        <v>332</v>
      </c>
      <c r="F62" s="39"/>
      <c r="G62" s="32" t="s">
        <v>54</v>
      </c>
      <c r="H62" s="115" t="s">
        <v>6</v>
      </c>
      <c r="I62" s="21" t="s">
        <v>342</v>
      </c>
      <c r="J62" s="17" t="s">
        <v>326</v>
      </c>
      <c r="K62" s="128" t="s">
        <v>333</v>
      </c>
      <c r="L62" s="120" t="s">
        <v>170</v>
      </c>
      <c r="M62" s="32" t="s">
        <v>1</v>
      </c>
      <c r="N62" s="32">
        <v>439</v>
      </c>
      <c r="O62" s="18" t="s">
        <v>435</v>
      </c>
      <c r="P62" s="18" t="s">
        <v>435</v>
      </c>
      <c r="Q62" s="18" t="s">
        <v>435</v>
      </c>
      <c r="R62" s="144" t="s">
        <v>435</v>
      </c>
      <c r="S62" s="135">
        <v>253</v>
      </c>
      <c r="T62" s="90">
        <v>204</v>
      </c>
      <c r="U62" s="155">
        <f>0.049*1000</f>
        <v>49</v>
      </c>
      <c r="V62" s="137">
        <f t="shared" si="0"/>
        <v>0</v>
      </c>
      <c r="W62" s="174" cm="1">
        <f t="array" ref="W62">IF($V62&lt;&gt;0,
IF(AND(
                         S62&gt;=_xlfn.PERCENTILE.INC(_xlfn._xlws.FILTER($S$2:$S$148, ($J$2:$J$148=J62)*($V$2:$V$148=1)),0.1),
                         S62&lt;=_xlfn.PERCENTILE.INC(_xlfn._xlws.FILTER($S$2:$S$148, ($J$3:$J$149=J62)*($V$2:$V$148=1)),0.9)
               ),1,0),
0)</f>
        <v>0</v>
      </c>
      <c r="X62" s="171"/>
      <c r="Y62" s="17"/>
      <c r="Z62" s="175"/>
    </row>
    <row r="63" spans="1:27" s="16" customFormat="1" x14ac:dyDescent="0.25">
      <c r="A63" s="172" t="s">
        <v>233</v>
      </c>
      <c r="B63" s="173">
        <v>62</v>
      </c>
      <c r="C63" s="21" t="s">
        <v>170</v>
      </c>
      <c r="D63" s="18" t="s">
        <v>4</v>
      </c>
      <c r="E63" s="36" t="s">
        <v>332</v>
      </c>
      <c r="F63" s="39"/>
      <c r="G63" s="32"/>
      <c r="H63" s="115" t="s">
        <v>109</v>
      </c>
      <c r="I63" s="21" t="s">
        <v>342</v>
      </c>
      <c r="J63" s="17" t="s">
        <v>326</v>
      </c>
      <c r="K63" s="128" t="s">
        <v>333</v>
      </c>
      <c r="L63" s="120" t="s">
        <v>170</v>
      </c>
      <c r="M63" s="32" t="s">
        <v>1</v>
      </c>
      <c r="N63" s="32">
        <v>439</v>
      </c>
      <c r="O63" s="18" t="s">
        <v>435</v>
      </c>
      <c r="P63" s="18" t="s">
        <v>435</v>
      </c>
      <c r="Q63" s="18" t="s">
        <v>435</v>
      </c>
      <c r="R63" s="144" t="s">
        <v>435</v>
      </c>
      <c r="S63" s="135">
        <v>335</v>
      </c>
      <c r="T63" s="90">
        <v>286</v>
      </c>
      <c r="U63" s="155">
        <v>49</v>
      </c>
      <c r="V63" s="137">
        <f t="shared" si="0"/>
        <v>0</v>
      </c>
      <c r="W63" s="174" cm="1">
        <f t="array" ref="W63">IF($V63&lt;&gt;0,
IF(AND(
                         S63&gt;=_xlfn.PERCENTILE.INC(_xlfn._xlws.FILTER($S$2:$S$148, ($J$2:$J$148=J63)*($V$2:$V$148=1)),0.1),
                         S63&lt;=_xlfn.PERCENTILE.INC(_xlfn._xlws.FILTER($S$2:$S$148, ($J$3:$J$149=J63)*($V$2:$V$148=1)),0.9)
               ),1,0),
0)</f>
        <v>0</v>
      </c>
      <c r="X63" s="171"/>
      <c r="Y63" s="17"/>
      <c r="Z63" s="175"/>
    </row>
    <row r="64" spans="1:27" s="16" customFormat="1" hidden="1" x14ac:dyDescent="0.25">
      <c r="A64" s="172" t="s">
        <v>232</v>
      </c>
      <c r="B64" s="173">
        <v>63</v>
      </c>
      <c r="C64" s="21" t="s">
        <v>170</v>
      </c>
      <c r="D64" s="18" t="s">
        <v>4</v>
      </c>
      <c r="E64" s="36" t="s">
        <v>332</v>
      </c>
      <c r="F64" s="39"/>
      <c r="G64" s="32" t="s">
        <v>54</v>
      </c>
      <c r="H64" s="115" t="s">
        <v>159</v>
      </c>
      <c r="I64" s="21" t="s">
        <v>341</v>
      </c>
      <c r="J64" s="17" t="s">
        <v>326</v>
      </c>
      <c r="K64" s="128" t="s">
        <v>334</v>
      </c>
      <c r="L64" s="120" t="s">
        <v>170</v>
      </c>
      <c r="M64" s="32" t="s">
        <v>1</v>
      </c>
      <c r="N64" s="32">
        <v>436</v>
      </c>
      <c r="O64" s="18" t="s">
        <v>435</v>
      </c>
      <c r="P64" s="18" t="s">
        <v>435</v>
      </c>
      <c r="Q64" s="18" t="s">
        <v>435</v>
      </c>
      <c r="R64" s="144" t="s">
        <v>435</v>
      </c>
      <c r="S64" s="135">
        <v>281</v>
      </c>
      <c r="T64" s="90">
        <v>201</v>
      </c>
      <c r="U64" s="155">
        <v>80</v>
      </c>
      <c r="V64" s="137">
        <f t="shared" si="0"/>
        <v>0</v>
      </c>
      <c r="W64" s="174" cm="1">
        <f t="array" ref="W64">IF($V64&lt;&gt;0,
IF(AND(
                         S64&gt;=_xlfn.PERCENTILE.INC(_xlfn._xlws.FILTER($S$2:$S$148, ($J$2:$J$148=J64)*($V$2:$V$148=1)),0.1),
                         S64&lt;=_xlfn.PERCENTILE.INC(_xlfn._xlws.FILTER($S$2:$S$148, ($J$3:$J$149=J64)*($V$2:$V$148=1)),0.9)
               ),1,0),
0)</f>
        <v>0</v>
      </c>
      <c r="X64" s="171"/>
      <c r="Y64" s="17"/>
      <c r="Z64" s="175"/>
    </row>
    <row r="65" spans="1:26" s="16" customFormat="1" x14ac:dyDescent="0.25">
      <c r="A65" s="172" t="s">
        <v>231</v>
      </c>
      <c r="B65" s="173">
        <v>64</v>
      </c>
      <c r="C65" s="21" t="s">
        <v>170</v>
      </c>
      <c r="D65" s="18" t="s">
        <v>4</v>
      </c>
      <c r="E65" s="36" t="s">
        <v>332</v>
      </c>
      <c r="F65" s="39"/>
      <c r="G65" s="32"/>
      <c r="H65" s="115" t="s">
        <v>160</v>
      </c>
      <c r="I65" s="21" t="s">
        <v>341</v>
      </c>
      <c r="J65" s="17" t="s">
        <v>326</v>
      </c>
      <c r="K65" s="128" t="s">
        <v>334</v>
      </c>
      <c r="L65" s="120" t="s">
        <v>170</v>
      </c>
      <c r="M65" s="32" t="s">
        <v>1</v>
      </c>
      <c r="N65" s="32">
        <v>424</v>
      </c>
      <c r="O65" s="18" t="s">
        <v>435</v>
      </c>
      <c r="P65" s="18" t="s">
        <v>435</v>
      </c>
      <c r="Q65" s="18" t="s">
        <v>435</v>
      </c>
      <c r="R65" s="144" t="s">
        <v>435</v>
      </c>
      <c r="S65" s="135">
        <v>395</v>
      </c>
      <c r="T65" s="90">
        <v>316</v>
      </c>
      <c r="U65" s="155">
        <v>80</v>
      </c>
      <c r="V65" s="137">
        <f t="shared" si="0"/>
        <v>0</v>
      </c>
      <c r="W65" s="174" cm="1">
        <f t="array" ref="W65">IF($V65&lt;&gt;0,
IF(AND(
                         S65&gt;=_xlfn.PERCENTILE.INC(_xlfn._xlws.FILTER($S$2:$S$148, ($J$2:$J$148=J65)*($V$2:$V$148=1)),0.1),
                         S65&lt;=_xlfn.PERCENTILE.INC(_xlfn._xlws.FILTER($S$2:$S$148, ($J$3:$J$149=J65)*($V$2:$V$148=1)),0.9)
               ),1,0),
0)</f>
        <v>0</v>
      </c>
      <c r="X65" s="171"/>
      <c r="Y65" s="17"/>
      <c r="Z65" s="175"/>
    </row>
    <row r="66" spans="1:26" s="16" customFormat="1" x14ac:dyDescent="0.25">
      <c r="A66" s="172" t="s">
        <v>230</v>
      </c>
      <c r="B66" s="173">
        <v>65</v>
      </c>
      <c r="C66" s="21" t="s">
        <v>170</v>
      </c>
      <c r="D66" s="18" t="s">
        <v>4</v>
      </c>
      <c r="E66" s="36" t="s">
        <v>332</v>
      </c>
      <c r="F66" s="39"/>
      <c r="G66" s="32"/>
      <c r="H66" s="115" t="s">
        <v>384</v>
      </c>
      <c r="I66" s="21" t="s">
        <v>343</v>
      </c>
      <c r="J66" s="17" t="s">
        <v>326</v>
      </c>
      <c r="K66" s="128" t="s">
        <v>335</v>
      </c>
      <c r="L66" s="120" t="s">
        <v>170</v>
      </c>
      <c r="M66" s="32" t="s">
        <v>122</v>
      </c>
      <c r="N66" s="32">
        <v>436</v>
      </c>
      <c r="O66" s="18" t="s">
        <v>435</v>
      </c>
      <c r="P66" s="18" t="s">
        <v>435</v>
      </c>
      <c r="Q66" s="18" t="s">
        <v>435</v>
      </c>
      <c r="R66" s="144" t="s">
        <v>435</v>
      </c>
      <c r="S66" s="135">
        <v>288</v>
      </c>
      <c r="T66" s="90">
        <v>244</v>
      </c>
      <c r="U66" s="155">
        <v>44</v>
      </c>
      <c r="V66" s="137">
        <f t="shared" si="0"/>
        <v>0</v>
      </c>
      <c r="W66" s="174" cm="1">
        <f t="array" ref="W66">IF($V66&lt;&gt;0,
IF(AND(
                         S66&gt;=_xlfn.PERCENTILE.INC(_xlfn._xlws.FILTER($S$2:$S$148, ($J$2:$J$148=J66)*($V$2:$V$148=1)),0.1),
                         S66&lt;=_xlfn.PERCENTILE.INC(_xlfn._xlws.FILTER($S$2:$S$148, ($J$3:$J$149=J66)*($V$2:$V$148=1)),0.9)
               ),1,0),
0)</f>
        <v>0</v>
      </c>
      <c r="X66" s="171"/>
      <c r="Y66" s="17"/>
      <c r="Z66" s="175"/>
    </row>
    <row r="67" spans="1:26" customFormat="1" x14ac:dyDescent="0.25">
      <c r="A67" s="9" t="s">
        <v>241</v>
      </c>
      <c r="B67" s="106">
        <v>66</v>
      </c>
      <c r="C67" s="2" t="s">
        <v>101</v>
      </c>
      <c r="D67" s="3" t="s">
        <v>102</v>
      </c>
      <c r="E67" s="34">
        <v>43248</v>
      </c>
      <c r="F67" s="34">
        <v>45439</v>
      </c>
      <c r="G67" s="27" t="s">
        <v>54</v>
      </c>
      <c r="H67" s="113" t="s">
        <v>105</v>
      </c>
      <c r="I67" s="6" t="s">
        <v>342</v>
      </c>
      <c r="J67" s="2" t="s">
        <v>326</v>
      </c>
      <c r="K67" s="126" t="s">
        <v>333</v>
      </c>
      <c r="L67" s="118" t="s">
        <v>170</v>
      </c>
      <c r="M67" s="27" t="s">
        <v>1</v>
      </c>
      <c r="N67" s="27">
        <v>427</v>
      </c>
      <c r="O67" s="3" t="s">
        <v>435</v>
      </c>
      <c r="P67" s="3" t="s">
        <v>435</v>
      </c>
      <c r="Q67" s="3" t="s">
        <v>435</v>
      </c>
      <c r="R67" s="140" t="s">
        <v>435</v>
      </c>
      <c r="S67" s="134">
        <f>SUM(Table2[[#This Row],[A1toA3_GWP]:[C1toC4_GWP]])</f>
        <v>169.48477751756423</v>
      </c>
      <c r="T67" s="25">
        <f>-615/Table2[[#This Row],[DENSITY]]*1000</f>
        <v>-1440.2810304449649</v>
      </c>
      <c r="U67" s="151">
        <f>(1.37+686)/Table2[[#This Row],[DENSITY]]*1000</f>
        <v>1609.7658079625292</v>
      </c>
      <c r="V67" s="101">
        <f t="shared" si="0"/>
        <v>1</v>
      </c>
      <c r="W67" s="160" cm="1">
        <f t="array" ref="W67">IF($V67&lt;&gt;0,
IF(AND(
                         S67&gt;=_xlfn.PERCENTILE.INC(_xlfn._xlws.FILTER($S$2:$S$148, ($J$2:$J$148=J67)*($V$2:$V$148=1)),0.1),
                         S67&lt;=_xlfn.PERCENTILE.INC(_xlfn._xlws.FILTER($S$2:$S$148, ($J$3:$J$149=J67)*($V$2:$V$148=1)),0.9)
               ),1,0),
0)</f>
        <v>1</v>
      </c>
      <c r="X67" s="167"/>
      <c r="Y67" s="2" t="s">
        <v>436</v>
      </c>
      <c r="Z67" s="70"/>
    </row>
    <row r="68" spans="1:26" customFormat="1" hidden="1" x14ac:dyDescent="0.25">
      <c r="A68" s="9" t="s">
        <v>240</v>
      </c>
      <c r="B68" s="106">
        <v>67</v>
      </c>
      <c r="C68" s="2" t="s">
        <v>103</v>
      </c>
      <c r="D68" s="3" t="s">
        <v>102</v>
      </c>
      <c r="E68" s="34">
        <v>45358</v>
      </c>
      <c r="F68" s="34">
        <v>47183</v>
      </c>
      <c r="G68" s="27" t="s">
        <v>54</v>
      </c>
      <c r="H68" s="113" t="s">
        <v>104</v>
      </c>
      <c r="I68" s="6" t="s">
        <v>342</v>
      </c>
      <c r="J68" s="2" t="s">
        <v>326</v>
      </c>
      <c r="K68" s="126" t="s">
        <v>333</v>
      </c>
      <c r="L68" s="118" t="s">
        <v>170</v>
      </c>
      <c r="M68" s="27" t="s">
        <v>1</v>
      </c>
      <c r="N68" s="27">
        <v>424</v>
      </c>
      <c r="O68" s="3" t="s">
        <v>435</v>
      </c>
      <c r="P68" s="3" t="s">
        <v>435</v>
      </c>
      <c r="Q68" s="3" t="s">
        <v>435</v>
      </c>
      <c r="R68" s="140" t="s">
        <v>435</v>
      </c>
      <c r="S68" s="134">
        <f>SUM(Table2[[#This Row],[A1toA3_GWP]:[C1toC4_GWP]])</f>
        <v>305.09433962264143</v>
      </c>
      <c r="T68" s="25">
        <f>-559/Table2[[#This Row],[DENSITY]]*1000</f>
        <v>-1318.3962264150944</v>
      </c>
      <c r="U68" s="151">
        <f>(2.36+686)/Table2[[#This Row],[DENSITY]]*1000</f>
        <v>1623.4905660377358</v>
      </c>
      <c r="V68" s="101">
        <f t="shared" si="0"/>
        <v>1</v>
      </c>
      <c r="W68" s="160" cm="1">
        <f t="array" ref="W68">IF($V68&lt;&gt;0,
IF(AND(
                         S68&gt;=_xlfn.PERCENTILE.INC(_xlfn._xlws.FILTER($S$2:$S$148, ($J$2:$J$148=J68)*($V$2:$V$148=1)),0.1),
                         S68&lt;=_xlfn.PERCENTILE.INC(_xlfn._xlws.FILTER($S$2:$S$148, ($J$3:$J$149=J68)*($V$2:$V$148=1)),0.9)
               ),1,0),
0)</f>
        <v>1</v>
      </c>
      <c r="X68" s="167"/>
      <c r="Y68" s="2" t="s">
        <v>437</v>
      </c>
      <c r="Z68" s="70"/>
    </row>
    <row r="69" spans="1:26" customFormat="1" hidden="1" x14ac:dyDescent="0.25">
      <c r="A69" s="9" t="s">
        <v>234</v>
      </c>
      <c r="B69" s="106">
        <v>68</v>
      </c>
      <c r="C69" s="2" t="s">
        <v>123</v>
      </c>
      <c r="D69" s="3" t="s">
        <v>102</v>
      </c>
      <c r="E69" s="34">
        <v>44005</v>
      </c>
      <c r="F69" s="34">
        <v>45830</v>
      </c>
      <c r="G69" s="27" t="s">
        <v>54</v>
      </c>
      <c r="H69" s="113" t="s">
        <v>121</v>
      </c>
      <c r="I69" s="6" t="s">
        <v>341</v>
      </c>
      <c r="J69" s="2" t="s">
        <v>326</v>
      </c>
      <c r="K69" s="126" t="s">
        <v>334</v>
      </c>
      <c r="L69" s="118" t="s">
        <v>170</v>
      </c>
      <c r="M69" s="27" t="s">
        <v>122</v>
      </c>
      <c r="N69" s="27">
        <v>424</v>
      </c>
      <c r="O69" s="3" t="s">
        <v>435</v>
      </c>
      <c r="P69" s="3" t="s">
        <v>435</v>
      </c>
      <c r="Q69" s="3" t="s">
        <v>435</v>
      </c>
      <c r="R69" s="140" t="s">
        <v>435</v>
      </c>
      <c r="S69" s="134">
        <f>SUM(Table2[[#This Row],[A1toA3_GWP]:[C1toC4_GWP]])</f>
        <v>185.49528301886789</v>
      </c>
      <c r="T69" s="25">
        <f>-623/Table2[[#This Row],[DENSITY]]*1000</f>
        <v>-1469.3396226415093</v>
      </c>
      <c r="U69" s="151">
        <f>(1.65+700)/Table2[[#This Row],[DENSITY]]*1000</f>
        <v>1654.8349056603772</v>
      </c>
      <c r="V69" s="101">
        <f t="shared" si="0"/>
        <v>1</v>
      </c>
      <c r="W69" s="160" cm="1">
        <f t="array" ref="W69">IF($V69&lt;&gt;0,
IF(AND(
                         S69&gt;=_xlfn.PERCENTILE.INC(_xlfn._xlws.FILTER($S$2:$S$148, ($J$2:$J$148=J69)*($V$2:$V$148=1)),0.1),
                         S69&lt;=_xlfn.PERCENTILE.INC(_xlfn._xlws.FILTER($S$2:$S$148, ($J$3:$J$149=J69)*($V$2:$V$148=1)),0.9)
               ),1,0),
0)</f>
        <v>1</v>
      </c>
      <c r="X69" s="167"/>
      <c r="Y69" s="2"/>
      <c r="Z69" s="70"/>
    </row>
    <row r="70" spans="1:26" customFormat="1" x14ac:dyDescent="0.25">
      <c r="A70" s="9" t="s">
        <v>235</v>
      </c>
      <c r="B70" s="106">
        <v>69</v>
      </c>
      <c r="C70" s="8" t="s">
        <v>106</v>
      </c>
      <c r="D70" s="3" t="s">
        <v>107</v>
      </c>
      <c r="E70" s="34">
        <v>45387</v>
      </c>
      <c r="F70" s="34">
        <v>47212</v>
      </c>
      <c r="G70" s="27" t="s">
        <v>108</v>
      </c>
      <c r="H70" s="113" t="s">
        <v>105</v>
      </c>
      <c r="I70" s="6" t="s">
        <v>342</v>
      </c>
      <c r="J70" s="2" t="s">
        <v>326</v>
      </c>
      <c r="K70" s="126" t="s">
        <v>333</v>
      </c>
      <c r="L70" s="118" t="s">
        <v>170</v>
      </c>
      <c r="M70" s="27" t="s">
        <v>1</v>
      </c>
      <c r="N70" s="27">
        <v>466</v>
      </c>
      <c r="O70" s="3" t="s">
        <v>435</v>
      </c>
      <c r="P70" s="3" t="s">
        <v>435</v>
      </c>
      <c r="Q70" s="3" t="s">
        <v>435</v>
      </c>
      <c r="R70" s="140" t="s">
        <v>435</v>
      </c>
      <c r="S70" s="134">
        <f>SUM(Table2[[#This Row],[A1toA3_GWP]:[C1toC4_GWP]])</f>
        <v>190.53648068669531</v>
      </c>
      <c r="T70" s="25">
        <f>-677/Table2[[#This Row],[DENSITY]]*1000</f>
        <v>-1452.7896995708154</v>
      </c>
      <c r="U70" s="151">
        <f>(1.79+764)/Table2[[#This Row],[DENSITY]]*1000</f>
        <v>1643.3261802575107</v>
      </c>
      <c r="V70" s="101">
        <f t="shared" si="0"/>
        <v>1</v>
      </c>
      <c r="W70" s="160" cm="1">
        <f t="array" ref="W70">IF($V70&lt;&gt;0,
IF(AND(
                         S70&gt;=_xlfn.PERCENTILE.INC(_xlfn._xlws.FILTER($S$2:$S$148, ($J$2:$J$148=J70)*($V$2:$V$148=1)),0.1),
                         S70&lt;=_xlfn.PERCENTILE.INC(_xlfn._xlws.FILTER($S$2:$S$148, ($J$3:$J$149=J70)*($V$2:$V$148=1)),0.9)
               ),1,0),
0)</f>
        <v>1</v>
      </c>
      <c r="X70" s="167"/>
      <c r="Y70" s="2" t="s">
        <v>439</v>
      </c>
      <c r="Z70" s="70"/>
    </row>
    <row r="71" spans="1:26" customFormat="1" x14ac:dyDescent="0.25">
      <c r="A71" s="9" t="s">
        <v>272</v>
      </c>
      <c r="B71" s="106">
        <v>70</v>
      </c>
      <c r="C71" s="8" t="s">
        <v>110</v>
      </c>
      <c r="D71" s="3" t="s">
        <v>111</v>
      </c>
      <c r="E71" s="34">
        <v>44411</v>
      </c>
      <c r="F71" s="34">
        <v>46236</v>
      </c>
      <c r="G71" s="27" t="s">
        <v>108</v>
      </c>
      <c r="H71" s="113" t="s">
        <v>105</v>
      </c>
      <c r="I71" s="6" t="s">
        <v>342</v>
      </c>
      <c r="J71" s="2" t="s">
        <v>326</v>
      </c>
      <c r="K71" s="126" t="s">
        <v>333</v>
      </c>
      <c r="L71" s="118" t="s">
        <v>170</v>
      </c>
      <c r="M71" s="27" t="s">
        <v>1</v>
      </c>
      <c r="N71" s="27">
        <v>470</v>
      </c>
      <c r="O71" s="3" t="s">
        <v>435</v>
      </c>
      <c r="P71" s="3" t="s">
        <v>435</v>
      </c>
      <c r="Q71" s="3" t="s">
        <v>435</v>
      </c>
      <c r="R71" s="140" t="s">
        <v>435</v>
      </c>
      <c r="S71" s="134">
        <f>SUM(Table2[[#This Row],[A1toA3_GWP]:[C1toC4_GWP]])</f>
        <v>311.53191489361689</v>
      </c>
      <c r="T71" s="25">
        <f>-608/Table2[[#This Row],[DENSITY]]*1000</f>
        <v>-1293.6170212765958</v>
      </c>
      <c r="U71" s="151">
        <f>(1.42+753)/Table2[[#This Row],[DENSITY]]*1000</f>
        <v>1605.1489361702127</v>
      </c>
      <c r="V71" s="101">
        <f t="shared" si="0"/>
        <v>1</v>
      </c>
      <c r="W71" s="160" cm="1">
        <f t="array" ref="W71">IF($V71&lt;&gt;0,
IF(AND(
                         S71&gt;=_xlfn.PERCENTILE.INC(_xlfn._xlws.FILTER($S$2:$S$148, ($J$2:$J$148=J71)*($V$2:$V$148=1)),0.1),
                         S71&lt;=_xlfn.PERCENTILE.INC(_xlfn._xlws.FILTER($S$2:$S$148, ($J$3:$J$149=J71)*($V$2:$V$148=1)),0.9)
               ),1,0),
0)</f>
        <v>1</v>
      </c>
      <c r="X71" s="167"/>
      <c r="Y71" s="2" t="s">
        <v>438</v>
      </c>
      <c r="Z71" s="70"/>
    </row>
    <row r="72" spans="1:26" customFormat="1" x14ac:dyDescent="0.25">
      <c r="A72" s="9" t="s">
        <v>236</v>
      </c>
      <c r="B72" s="106">
        <v>71</v>
      </c>
      <c r="C72" s="8" t="s">
        <v>112</v>
      </c>
      <c r="D72" s="3" t="s">
        <v>113</v>
      </c>
      <c r="E72" s="34">
        <v>45104</v>
      </c>
      <c r="F72" s="34">
        <v>46930</v>
      </c>
      <c r="G72" s="27" t="s">
        <v>57</v>
      </c>
      <c r="H72" s="113" t="s">
        <v>105</v>
      </c>
      <c r="I72" s="6" t="s">
        <v>342</v>
      </c>
      <c r="J72" s="2" t="s">
        <v>326</v>
      </c>
      <c r="K72" s="126" t="s">
        <v>333</v>
      </c>
      <c r="L72" s="118" t="s">
        <v>170</v>
      </c>
      <c r="M72" s="27" t="s">
        <v>1</v>
      </c>
      <c r="N72" s="27">
        <v>464</v>
      </c>
      <c r="O72" s="3" t="s">
        <v>435</v>
      </c>
      <c r="P72" s="3" t="s">
        <v>435</v>
      </c>
      <c r="Q72" s="3" t="s">
        <v>435</v>
      </c>
      <c r="R72" s="140" t="s">
        <v>435</v>
      </c>
      <c r="S72" s="134">
        <f>SUM(Table2[[#This Row],[A1toA3_GWP]:[C1toC4_GWP]])</f>
        <v>184.20258620689651</v>
      </c>
      <c r="T72" s="25">
        <f>-687/Table2[[#This Row],[DENSITY]]*1000</f>
        <v>-1480.6034482758621</v>
      </c>
      <c r="U72" s="151">
        <f>(1.47+771)/Table2[[#This Row],[DENSITY]]*1000</f>
        <v>1664.8060344827586</v>
      </c>
      <c r="V72" s="101">
        <f t="shared" ref="V72:V132" si="2">IF(OR($D72="Ecoinvent",$D72="Betonsortenrechner",$D72="KBOB",$S72&lt;=0),0,1)</f>
        <v>1</v>
      </c>
      <c r="W72" s="160" cm="1">
        <f t="array" ref="W72">IF($V72&lt;&gt;0,
IF(AND(
                         S72&gt;=_xlfn.PERCENTILE.INC(_xlfn._xlws.FILTER($S$2:$S$148, ($J$2:$J$148=J72)*($V$2:$V$148=1)),0.1),
                         S72&lt;=_xlfn.PERCENTILE.INC(_xlfn._xlws.FILTER($S$2:$S$148, ($J$3:$J$149=J72)*($V$2:$V$148=1)),0.9)
               ),1,0),
0)</f>
        <v>1</v>
      </c>
      <c r="X72" s="167"/>
      <c r="Y72" s="2" t="s">
        <v>439</v>
      </c>
      <c r="Z72" s="70"/>
    </row>
    <row r="73" spans="1:26" customFormat="1" x14ac:dyDescent="0.25">
      <c r="A73" s="9" t="s">
        <v>271</v>
      </c>
      <c r="B73" s="106">
        <v>72</v>
      </c>
      <c r="C73" s="8" t="s">
        <v>115</v>
      </c>
      <c r="D73" s="3" t="s">
        <v>114</v>
      </c>
      <c r="E73" s="34">
        <v>43798</v>
      </c>
      <c r="F73" s="34">
        <v>45624</v>
      </c>
      <c r="G73" s="27" t="s">
        <v>108</v>
      </c>
      <c r="H73" s="113" t="s">
        <v>105</v>
      </c>
      <c r="I73" s="6" t="s">
        <v>342</v>
      </c>
      <c r="J73" s="2" t="s">
        <v>326</v>
      </c>
      <c r="K73" s="126" t="s">
        <v>333</v>
      </c>
      <c r="L73" s="118" t="s">
        <v>170</v>
      </c>
      <c r="M73" s="27" t="s">
        <v>1</v>
      </c>
      <c r="N73" s="33">
        <v>459.2</v>
      </c>
      <c r="O73" s="3" t="s">
        <v>435</v>
      </c>
      <c r="P73" s="3" t="s">
        <v>435</v>
      </c>
      <c r="Q73" s="3" t="s">
        <v>435</v>
      </c>
      <c r="R73" s="140" t="s">
        <v>435</v>
      </c>
      <c r="S73" s="134">
        <f>SUM(Table2[[#This Row],[A1toA3_GWP]:[C1toC4_GWP]])</f>
        <v>239.97386759581855</v>
      </c>
      <c r="T73" s="25">
        <f>(-660+6.26+14.4)/Table2[[#This Row],[DENSITY]]*1000</f>
        <v>-1392.2909407665506</v>
      </c>
      <c r="U73" s="151">
        <f>(0.536+749)/Table2[[#This Row],[DENSITY]]*1000</f>
        <v>1632.2648083623692</v>
      </c>
      <c r="V73" s="101">
        <f t="shared" si="2"/>
        <v>1</v>
      </c>
      <c r="W73" s="160" cm="1">
        <f t="array" ref="W73">IF($V73&lt;&gt;0,
IF(AND(
                         S73&gt;=_xlfn.PERCENTILE.INC(_xlfn._xlws.FILTER($S$2:$S$148, ($J$2:$J$148=J73)*($V$2:$V$148=1)),0.1),
                         S73&lt;=_xlfn.PERCENTILE.INC(_xlfn._xlws.FILTER($S$2:$S$148, ($J$3:$J$149=J73)*($V$2:$V$148=1)),0.9)
               ),1,0),
0)</f>
        <v>1</v>
      </c>
      <c r="X73" s="167"/>
      <c r="Y73" s="2"/>
      <c r="Z73" s="70"/>
    </row>
    <row r="74" spans="1:26" customFormat="1" ht="14.25" customHeight="1" x14ac:dyDescent="0.25">
      <c r="A74" s="9" t="s">
        <v>374</v>
      </c>
      <c r="B74" s="106">
        <v>73</v>
      </c>
      <c r="C74" s="8" t="s">
        <v>116</v>
      </c>
      <c r="D74" s="3" t="s">
        <v>111</v>
      </c>
      <c r="E74" s="34">
        <v>44411</v>
      </c>
      <c r="F74" s="34">
        <v>46236</v>
      </c>
      <c r="G74" s="27" t="s">
        <v>108</v>
      </c>
      <c r="H74" s="113" t="s">
        <v>117</v>
      </c>
      <c r="I74" s="6" t="s">
        <v>344</v>
      </c>
      <c r="J74" s="2" t="s">
        <v>326</v>
      </c>
      <c r="K74" s="126" t="s">
        <v>336</v>
      </c>
      <c r="L74" s="118" t="s">
        <v>170</v>
      </c>
      <c r="M74" s="27" t="s">
        <v>122</v>
      </c>
      <c r="N74" s="27">
        <v>470</v>
      </c>
      <c r="O74" s="3" t="s">
        <v>435</v>
      </c>
      <c r="P74" s="3" t="s">
        <v>435</v>
      </c>
      <c r="Q74" s="3" t="s">
        <v>435</v>
      </c>
      <c r="R74" s="140" t="s">
        <v>435</v>
      </c>
      <c r="S74" s="134">
        <f>SUM(Table2[[#This Row],[A1toA3_GWP]:[C1toC4_GWP]])</f>
        <v>137.063829787234</v>
      </c>
      <c r="T74" s="25">
        <f>(-696)/Table2[[#This Row],[DENSITY]]*1000</f>
        <v>-1480.8510638297871</v>
      </c>
      <c r="U74" s="151">
        <f>(1.42+759)/Table2[[#This Row],[DENSITY]]*1000</f>
        <v>1617.9148936170211</v>
      </c>
      <c r="V74" s="101">
        <f t="shared" si="2"/>
        <v>1</v>
      </c>
      <c r="W74" s="160" cm="1">
        <f t="array" ref="W74">IF($V74&lt;&gt;0,
IF(AND(
                         S74&gt;=_xlfn.PERCENTILE.INC(_xlfn._xlws.FILTER($S$2:$S$148, ($J$2:$J$148=J74)*($V$2:$V$148=1)),0.1),
                         S74&lt;=_xlfn.PERCENTILE.INC(_xlfn._xlws.FILTER($S$2:$S$148, ($J$3:$J$149=J74)*($V$2:$V$148=1)),0.9)
               ),1,0),
0)</f>
        <v>1</v>
      </c>
      <c r="X74" s="167"/>
      <c r="Y74" s="68" t="s">
        <v>423</v>
      </c>
      <c r="Z74" s="70" t="s">
        <v>427</v>
      </c>
    </row>
    <row r="75" spans="1:26" customFormat="1" x14ac:dyDescent="0.25">
      <c r="A75" s="9" t="s">
        <v>237</v>
      </c>
      <c r="B75" s="106">
        <v>74</v>
      </c>
      <c r="C75" s="8" t="s">
        <v>119</v>
      </c>
      <c r="D75" s="3" t="s">
        <v>118</v>
      </c>
      <c r="E75" s="34">
        <v>45386</v>
      </c>
      <c r="F75" s="34">
        <v>47211</v>
      </c>
      <c r="G75" s="27" t="s">
        <v>55</v>
      </c>
      <c r="H75" s="113" t="s">
        <v>105</v>
      </c>
      <c r="I75" s="6" t="s">
        <v>342</v>
      </c>
      <c r="J75" s="2" t="s">
        <v>326</v>
      </c>
      <c r="K75" s="126" t="s">
        <v>333</v>
      </c>
      <c r="L75" s="118" t="s">
        <v>170</v>
      </c>
      <c r="M75" s="27" t="s">
        <v>1</v>
      </c>
      <c r="N75" s="27">
        <v>430</v>
      </c>
      <c r="O75" s="3" t="s">
        <v>435</v>
      </c>
      <c r="P75" s="3" t="s">
        <v>435</v>
      </c>
      <c r="Q75" s="3" t="s">
        <v>435</v>
      </c>
      <c r="R75" s="140" t="s">
        <v>435</v>
      </c>
      <c r="S75" s="134">
        <f>SUM(Table2[[#This Row],[A1toA3_GWP]:[C1toC4_GWP]])</f>
        <v>442.09302325581416</v>
      </c>
      <c r="T75" s="25">
        <f>(-554)/Table2[[#This Row],[DENSITY]]*1000</f>
        <v>-1288.3720930232557</v>
      </c>
      <c r="U75" s="151">
        <f>(19.1+725)/Table2[[#This Row],[DENSITY]]*1000</f>
        <v>1730.4651162790699</v>
      </c>
      <c r="V75" s="101">
        <f t="shared" si="2"/>
        <v>1</v>
      </c>
      <c r="W75" s="160" cm="1">
        <f t="array" ref="W75">IF($V75&lt;&gt;0,
IF(AND(
                         S75&gt;=_xlfn.PERCENTILE.INC(_xlfn._xlws.FILTER($S$2:$S$148, ($J$2:$J$148=J75)*($V$2:$V$148=1)),0.1),
                         S75&lt;=_xlfn.PERCENTILE.INC(_xlfn._xlws.FILTER($S$2:$S$148, ($J$3:$J$149=J75)*($V$2:$V$148=1)),0.9)
               ),1,0),
0)</f>
        <v>0</v>
      </c>
      <c r="X75" s="167"/>
      <c r="Y75" s="2" t="s">
        <v>441</v>
      </c>
      <c r="Z75" s="70"/>
    </row>
    <row r="76" spans="1:26" customFormat="1" hidden="1" x14ac:dyDescent="0.25">
      <c r="A76" s="9" t="s">
        <v>238</v>
      </c>
      <c r="B76" s="106">
        <v>75</v>
      </c>
      <c r="C76" s="2" t="s">
        <v>120</v>
      </c>
      <c r="D76" s="3" t="s">
        <v>118</v>
      </c>
      <c r="E76" s="34">
        <v>45386</v>
      </c>
      <c r="F76" s="34">
        <v>47211</v>
      </c>
      <c r="G76" s="27" t="s">
        <v>55</v>
      </c>
      <c r="H76" s="113" t="s">
        <v>121</v>
      </c>
      <c r="I76" s="6" t="s">
        <v>341</v>
      </c>
      <c r="J76" s="2" t="s">
        <v>326</v>
      </c>
      <c r="K76" s="126" t="s">
        <v>334</v>
      </c>
      <c r="L76" s="118" t="s">
        <v>170</v>
      </c>
      <c r="M76" s="27" t="s">
        <v>122</v>
      </c>
      <c r="N76" s="27">
        <v>430</v>
      </c>
      <c r="O76" s="3" t="s">
        <v>435</v>
      </c>
      <c r="P76" s="3" t="s">
        <v>435</v>
      </c>
      <c r="Q76" s="3" t="s">
        <v>435</v>
      </c>
      <c r="R76" s="140" t="s">
        <v>435</v>
      </c>
      <c r="S76" s="134">
        <f>SUM(Table2[[#This Row],[A1toA3_GWP]:[C1toC4_GWP]])</f>
        <v>556.04651162790697</v>
      </c>
      <c r="T76" s="25">
        <f>(-505)/Table2[[#This Row],[DENSITY]]*1000</f>
        <v>-1174.4186046511629</v>
      </c>
      <c r="U76" s="151">
        <f>(19.1+725)/Table2[[#This Row],[DENSITY]]*1000</f>
        <v>1730.4651162790699</v>
      </c>
      <c r="V76" s="101">
        <f t="shared" si="2"/>
        <v>1</v>
      </c>
      <c r="W76" s="160" cm="1">
        <f t="array" ref="W76">IF($V76&lt;&gt;0,
IF(AND(
                         S76&gt;=_xlfn.PERCENTILE.INC(_xlfn._xlws.FILTER($S$2:$S$148, ($J$2:$J$148=J76)*($V$2:$V$148=1)),0.1),
                         S76&lt;=_xlfn.PERCENTILE.INC(_xlfn._xlws.FILTER($S$2:$S$148, ($J$3:$J$149=J76)*($V$2:$V$148=1)),0.9)
               ),1,0),
0)</f>
        <v>0</v>
      </c>
      <c r="X76" s="167"/>
      <c r="Y76" s="2" t="s">
        <v>441</v>
      </c>
      <c r="Z76" s="70"/>
    </row>
    <row r="77" spans="1:26" customFormat="1" hidden="1" x14ac:dyDescent="0.25">
      <c r="A77" s="9" t="s">
        <v>375</v>
      </c>
      <c r="B77" s="106">
        <v>76</v>
      </c>
      <c r="C77" s="182" t="s">
        <v>126</v>
      </c>
      <c r="D77" s="183" t="s">
        <v>124</v>
      </c>
      <c r="E77" s="184" t="s">
        <v>126</v>
      </c>
      <c r="F77" s="184" t="s">
        <v>126</v>
      </c>
      <c r="G77" s="180" t="s">
        <v>55</v>
      </c>
      <c r="H77" s="181" t="s">
        <v>125</v>
      </c>
      <c r="I77" s="6" t="s">
        <v>344</v>
      </c>
      <c r="J77" s="2" t="s">
        <v>326</v>
      </c>
      <c r="K77" s="126" t="s">
        <v>336</v>
      </c>
      <c r="L77" s="118" t="s">
        <v>170</v>
      </c>
      <c r="M77" s="27" t="s">
        <v>122</v>
      </c>
      <c r="N77" s="27">
        <v>435</v>
      </c>
      <c r="O77" s="3" t="s">
        <v>435</v>
      </c>
      <c r="P77" s="3" t="s">
        <v>435</v>
      </c>
      <c r="Q77" s="3" t="s">
        <v>435</v>
      </c>
      <c r="R77" s="140" t="s">
        <v>435</v>
      </c>
      <c r="S77" s="177">
        <f>SUM(Table2[[#This Row],[A1toA3_GWP]:[C1toC4_GWP]])</f>
        <v>3056.7816091954023</v>
      </c>
      <c r="T77" s="185">
        <f>(-1220-1400+3250)/Table2[[#This Row],[DENSITY]]*1000</f>
        <v>1448.2758620689656</v>
      </c>
      <c r="U77" s="179">
        <f>(0.7+699)/Table2[[#This Row],[DENSITY]]*1000</f>
        <v>1608.5057471264367</v>
      </c>
      <c r="V77" s="177">
        <v>0</v>
      </c>
      <c r="W77" s="160" cm="1">
        <f t="array" ref="W77">IF($V77&lt;&gt;0,
IF(AND(
                         S77&gt;=_xlfn.PERCENTILE.INC(_xlfn._xlws.FILTER($S$2:$S$148, ($J$2:$J$148=J77)*($V$2:$V$148=1)),0.1),
                         S77&lt;=_xlfn.PERCENTILE.INC(_xlfn._xlws.FILTER($S$2:$S$148, ($J$3:$J$149=J77)*($V$2:$V$148=1)),0.9)
               ),1,0),
0)</f>
        <v>0</v>
      </c>
      <c r="X77" s="167"/>
      <c r="Y77" s="2"/>
      <c r="Z77" s="70"/>
    </row>
    <row r="78" spans="1:26" customFormat="1" hidden="1" x14ac:dyDescent="0.25">
      <c r="A78" s="9" t="s">
        <v>239</v>
      </c>
      <c r="B78" s="106">
        <v>77</v>
      </c>
      <c r="C78" s="2" t="s">
        <v>127</v>
      </c>
      <c r="D78" s="3" t="s">
        <v>128</v>
      </c>
      <c r="E78" s="34">
        <v>45106</v>
      </c>
      <c r="F78" s="34">
        <v>46933</v>
      </c>
      <c r="G78" s="27" t="s">
        <v>252</v>
      </c>
      <c r="H78" s="113" t="s">
        <v>121</v>
      </c>
      <c r="I78" s="6" t="s">
        <v>341</v>
      </c>
      <c r="J78" s="2" t="s">
        <v>326</v>
      </c>
      <c r="K78" s="126" t="s">
        <v>334</v>
      </c>
      <c r="L78" s="118" t="s">
        <v>170</v>
      </c>
      <c r="M78" s="27" t="s">
        <v>122</v>
      </c>
      <c r="N78" s="27">
        <v>470</v>
      </c>
      <c r="O78" s="3" t="s">
        <v>435</v>
      </c>
      <c r="P78" s="3" t="s">
        <v>435</v>
      </c>
      <c r="Q78" s="3" t="s">
        <v>435</v>
      </c>
      <c r="R78" s="140" t="s">
        <v>435</v>
      </c>
      <c r="S78" s="134">
        <f>SUM(Table2[[#This Row],[A1toA3_GWP]:[C1toC4_GWP]])</f>
        <v>243.38297872340422</v>
      </c>
      <c r="T78" s="25">
        <f>(-675)/Table2[[#This Row],[DENSITY]]*1000</f>
        <v>-1436.1702127659576</v>
      </c>
      <c r="U78" s="151">
        <f>(9.42+3.97+776)/Table2[[#This Row],[DENSITY]]*1000</f>
        <v>1679.5531914893618</v>
      </c>
      <c r="V78" s="101">
        <f t="shared" si="2"/>
        <v>1</v>
      </c>
      <c r="W78" s="160" cm="1">
        <f t="array" ref="W78">IF($V78&lt;&gt;0,
IF(AND(
                         S78&gt;=_xlfn.PERCENTILE.INC(_xlfn._xlws.FILTER($S$2:$S$148, ($J$2:$J$148=J78)*($V$2:$V$148=1)),0.1),
                         S78&lt;=_xlfn.PERCENTILE.INC(_xlfn._xlws.FILTER($S$2:$S$148, ($J$3:$J$149=J78)*($V$2:$V$148=1)),0.9)
               ),1,0),
0)</f>
        <v>1</v>
      </c>
      <c r="X78" s="167"/>
      <c r="Y78" s="2"/>
      <c r="Z78" s="70"/>
    </row>
    <row r="79" spans="1:26" customFormat="1" hidden="1" x14ac:dyDescent="0.25">
      <c r="A79" s="9" t="s">
        <v>243</v>
      </c>
      <c r="B79" s="106">
        <v>78</v>
      </c>
      <c r="C79" s="2" t="s">
        <v>242</v>
      </c>
      <c r="D79" s="3" t="s">
        <v>244</v>
      </c>
      <c r="E79" s="34">
        <v>44179</v>
      </c>
      <c r="F79" s="34">
        <v>46003</v>
      </c>
      <c r="G79" s="27" t="s">
        <v>250</v>
      </c>
      <c r="H79" s="113" t="s">
        <v>121</v>
      </c>
      <c r="I79" s="6" t="s">
        <v>341</v>
      </c>
      <c r="J79" s="2" t="s">
        <v>326</v>
      </c>
      <c r="K79" s="126" t="s">
        <v>334</v>
      </c>
      <c r="L79" s="118" t="s">
        <v>170</v>
      </c>
      <c r="M79" s="27" t="s">
        <v>122</v>
      </c>
      <c r="N79" s="27">
        <v>430</v>
      </c>
      <c r="O79" s="3" t="s">
        <v>435</v>
      </c>
      <c r="P79" s="3" t="s">
        <v>435</v>
      </c>
      <c r="Q79" s="3" t="s">
        <v>435</v>
      </c>
      <c r="R79" s="140" t="s">
        <v>435</v>
      </c>
      <c r="S79" s="134">
        <f>SUM(Table2[[#This Row],[A1toA3_GWP]:[C1toC4_GWP]])</f>
        <v>92.325581395348763</v>
      </c>
      <c r="T79" s="25">
        <f>-670/Table2[[#This Row],[DENSITY]]*1000</f>
        <v>-1558.1395348837211</v>
      </c>
      <c r="U79" s="151">
        <f>(0.8+4.9+704)/Table2[[#This Row],[DENSITY]]*1000</f>
        <v>1650.4651162790699</v>
      </c>
      <c r="V79" s="101">
        <f t="shared" si="2"/>
        <v>1</v>
      </c>
      <c r="W79" s="160" cm="1">
        <f t="array" ref="W79">IF($V79&lt;&gt;0,
IF(AND(
                         S79&gt;=_xlfn.PERCENTILE.INC(_xlfn._xlws.FILTER($S$2:$S$148, ($J$2:$J$148=J79)*($V$2:$V$148=1)),0.1),
                         S79&lt;=_xlfn.PERCENTILE.INC(_xlfn._xlws.FILTER($S$2:$S$148, ($J$3:$J$149=J79)*($V$2:$V$148=1)),0.9)
               ),1,0),
0)</f>
        <v>0</v>
      </c>
      <c r="X79" s="167"/>
      <c r="Y79" s="2" t="s">
        <v>446</v>
      </c>
      <c r="Z79" s="70"/>
    </row>
    <row r="80" spans="1:26" customFormat="1" hidden="1" x14ac:dyDescent="0.25">
      <c r="A80" s="9" t="s">
        <v>247</v>
      </c>
      <c r="B80" s="106">
        <v>79</v>
      </c>
      <c r="C80" s="2" t="s">
        <v>245</v>
      </c>
      <c r="D80" s="3" t="s">
        <v>246</v>
      </c>
      <c r="E80" s="34">
        <v>44593</v>
      </c>
      <c r="F80" s="34">
        <v>46419</v>
      </c>
      <c r="G80" s="27" t="s">
        <v>250</v>
      </c>
      <c r="H80" s="113" t="s">
        <v>121</v>
      </c>
      <c r="I80" s="6" t="s">
        <v>341</v>
      </c>
      <c r="J80" s="2" t="s">
        <v>326</v>
      </c>
      <c r="K80" s="126" t="s">
        <v>334</v>
      </c>
      <c r="L80" s="118" t="s">
        <v>170</v>
      </c>
      <c r="M80" s="27" t="s">
        <v>122</v>
      </c>
      <c r="N80" s="27">
        <v>430</v>
      </c>
      <c r="O80" s="3" t="s">
        <v>435</v>
      </c>
      <c r="P80" s="3" t="s">
        <v>435</v>
      </c>
      <c r="Q80" s="3" t="s">
        <v>435</v>
      </c>
      <c r="R80" s="140" t="s">
        <v>435</v>
      </c>
      <c r="S80" s="177">
        <f>SUM(Table2[[#This Row],[A1toA3_GWP]:[C1toC4_GWP]])</f>
        <v>-66.186046511627865</v>
      </c>
      <c r="T80" s="178">
        <f>-780/Table2[[#This Row],[DENSITY]]*1000</f>
        <v>-1813.9534883720928</v>
      </c>
      <c r="U80" s="179">
        <f>(0.24+1.3+750)/Table2[[#This Row],[DENSITY]]*1000</f>
        <v>1747.7674418604649</v>
      </c>
      <c r="V80" s="177">
        <f t="shared" si="2"/>
        <v>0</v>
      </c>
      <c r="W80" s="160" cm="1">
        <f t="array" ref="W80">IF($V80&lt;&gt;0,
IF(AND(
                         S80&gt;=_xlfn.PERCENTILE.INC(_xlfn._xlws.FILTER($S$2:$S$148, ($J$2:$J$148=J80)*($V$2:$V$148=1)),0.1),
                         S80&lt;=_xlfn.PERCENTILE.INC(_xlfn._xlws.FILTER($S$2:$S$148, ($J$3:$J$149=J80)*($V$2:$V$148=1)),0.9)
               ),1,0),
0)</f>
        <v>0</v>
      </c>
      <c r="X80" s="167"/>
      <c r="Y80" s="2" t="s">
        <v>447</v>
      </c>
      <c r="Z80" s="70"/>
    </row>
    <row r="81" spans="1:26" customFormat="1" hidden="1" x14ac:dyDescent="0.25">
      <c r="A81" s="9" t="s">
        <v>253</v>
      </c>
      <c r="B81" s="106">
        <v>80</v>
      </c>
      <c r="C81" s="2" t="s">
        <v>249</v>
      </c>
      <c r="D81" s="3" t="s">
        <v>248</v>
      </c>
      <c r="E81" s="34">
        <v>45205</v>
      </c>
      <c r="F81" s="34">
        <v>47032</v>
      </c>
      <c r="G81" s="27" t="s">
        <v>251</v>
      </c>
      <c r="H81" s="113" t="s">
        <v>121</v>
      </c>
      <c r="I81" s="6" t="s">
        <v>341</v>
      </c>
      <c r="J81" s="2" t="s">
        <v>326</v>
      </c>
      <c r="K81" s="126" t="s">
        <v>334</v>
      </c>
      <c r="L81" s="118" t="s">
        <v>170</v>
      </c>
      <c r="M81" s="27" t="s">
        <v>122</v>
      </c>
      <c r="N81" s="27">
        <v>470</v>
      </c>
      <c r="O81" s="3" t="s">
        <v>435</v>
      </c>
      <c r="P81" s="3" t="s">
        <v>435</v>
      </c>
      <c r="Q81" s="3" t="s">
        <v>435</v>
      </c>
      <c r="R81" s="140" t="s">
        <v>435</v>
      </c>
      <c r="S81" s="134">
        <f>SUM(Table2[[#This Row],[A1toA3_GWP]:[C1toC4_GWP]])</f>
        <v>170.34042553191466</v>
      </c>
      <c r="T81" s="25">
        <f>-708/Table2[[#This Row],[DENSITY]]*1000</f>
        <v>-1506.3829787234042</v>
      </c>
      <c r="U81" s="151">
        <f>(4.01+2.05+782)/Table2[[#This Row],[DENSITY]]*1000</f>
        <v>1676.7234042553189</v>
      </c>
      <c r="V81" s="101">
        <f t="shared" si="2"/>
        <v>1</v>
      </c>
      <c r="W81" s="160" cm="1">
        <f t="array" ref="W81">IF($V81&lt;&gt;0,
IF(AND(
                         S81&gt;=_xlfn.PERCENTILE.INC(_xlfn._xlws.FILTER($S$2:$S$148, ($J$2:$J$148=J81)*($V$2:$V$148=1)),0.1),
                         S81&lt;=_xlfn.PERCENTILE.INC(_xlfn._xlws.FILTER($S$2:$S$148, ($J$3:$J$149=J81)*($V$2:$V$148=1)),0.9)
               ),1,0),
0)</f>
        <v>1</v>
      </c>
      <c r="X81" s="167"/>
      <c r="Y81" s="2" t="s">
        <v>448</v>
      </c>
      <c r="Z81" s="70" t="s">
        <v>431</v>
      </c>
    </row>
    <row r="82" spans="1:26" customFormat="1" hidden="1" x14ac:dyDescent="0.25">
      <c r="A82" s="9" t="s">
        <v>254</v>
      </c>
      <c r="B82" s="106">
        <v>81</v>
      </c>
      <c r="C82" s="2" t="s">
        <v>255</v>
      </c>
      <c r="D82" s="3" t="s">
        <v>114</v>
      </c>
      <c r="E82" s="34">
        <v>43544</v>
      </c>
      <c r="F82" s="34">
        <v>45370</v>
      </c>
      <c r="G82" s="27" t="s">
        <v>256</v>
      </c>
      <c r="H82" s="113" t="s">
        <v>257</v>
      </c>
      <c r="I82" s="6" t="s">
        <v>341</v>
      </c>
      <c r="J82" s="2" t="s">
        <v>326</v>
      </c>
      <c r="K82" s="126" t="s">
        <v>334</v>
      </c>
      <c r="L82" s="118" t="s">
        <v>170</v>
      </c>
      <c r="M82" s="27" t="s">
        <v>122</v>
      </c>
      <c r="N82" s="27">
        <v>470</v>
      </c>
      <c r="O82" s="3" t="s">
        <v>435</v>
      </c>
      <c r="P82" s="3" t="s">
        <v>435</v>
      </c>
      <c r="Q82" s="3" t="s">
        <v>435</v>
      </c>
      <c r="R82" s="140" t="s">
        <v>435</v>
      </c>
      <c r="S82" s="134">
        <f>SUM(Table2[[#This Row],[A1toA3_GWP]:[C1toC4_GWP]])</f>
        <v>232.9957446808512</v>
      </c>
      <c r="T82" s="25">
        <f>(-683+7.56+18.4)/Table2[[#This Row],[DENSITY]]*1000</f>
        <v>-1397.9574468085107</v>
      </c>
      <c r="U82" s="151">
        <f>(0.548+766)/Table2[[#This Row],[DENSITY]]*1000</f>
        <v>1630.9531914893619</v>
      </c>
      <c r="V82" s="101">
        <f t="shared" si="2"/>
        <v>1</v>
      </c>
      <c r="W82" s="160" cm="1">
        <f t="array" ref="W82">IF($V82&lt;&gt;0,
IF(AND(
                         S82&gt;=_xlfn.PERCENTILE.INC(_xlfn._xlws.FILTER($S$2:$S$148, ($J$2:$J$148=J82)*($V$2:$V$148=1)),0.1),
                         S82&lt;=_xlfn.PERCENTILE.INC(_xlfn._xlws.FILTER($S$2:$S$148, ($J$3:$J$149=J82)*($V$2:$V$148=1)),0.9)
               ),1,0),
0)</f>
        <v>1</v>
      </c>
      <c r="X82" s="167"/>
      <c r="Y82" s="2"/>
      <c r="Z82" s="70"/>
    </row>
    <row r="83" spans="1:26" customFormat="1" hidden="1" x14ac:dyDescent="0.25">
      <c r="A83" s="9" t="s">
        <v>259</v>
      </c>
      <c r="B83" s="106">
        <v>82</v>
      </c>
      <c r="C83" s="2" t="s">
        <v>258</v>
      </c>
      <c r="D83" s="3" t="s">
        <v>111</v>
      </c>
      <c r="E83" s="34">
        <v>44449</v>
      </c>
      <c r="F83" s="34">
        <v>46236</v>
      </c>
      <c r="G83" s="27" t="s">
        <v>252</v>
      </c>
      <c r="H83" s="113" t="s">
        <v>121</v>
      </c>
      <c r="I83" s="6" t="s">
        <v>341</v>
      </c>
      <c r="J83" s="2" t="s">
        <v>326</v>
      </c>
      <c r="K83" s="126" t="s">
        <v>334</v>
      </c>
      <c r="L83" s="118" t="s">
        <v>170</v>
      </c>
      <c r="M83" s="27" t="s">
        <v>122</v>
      </c>
      <c r="N83" s="27">
        <v>470</v>
      </c>
      <c r="O83" s="3" t="s">
        <v>435</v>
      </c>
      <c r="P83" s="3" t="s">
        <v>435</v>
      </c>
      <c r="Q83" s="3" t="s">
        <v>435</v>
      </c>
      <c r="R83" s="140" t="s">
        <v>435</v>
      </c>
      <c r="S83" s="134">
        <f>SUM(Table2[[#This Row],[A1toA3_GWP]:[C1toC4_GWP]])</f>
        <v>200.89361702127644</v>
      </c>
      <c r="T83" s="25">
        <f>-660/Table2[[#This Row],[DENSITY]]*1000</f>
        <v>-1404.2553191489362</v>
      </c>
      <c r="U83" s="151">
        <f>(1.42+753)/Table2[[#This Row],[DENSITY]]*1000</f>
        <v>1605.1489361702127</v>
      </c>
      <c r="V83" s="101">
        <f t="shared" si="2"/>
        <v>1</v>
      </c>
      <c r="W83" s="160" cm="1">
        <f t="array" ref="W83">IF($V83&lt;&gt;0,
IF(AND(
                         S83&gt;=_xlfn.PERCENTILE.INC(_xlfn._xlws.FILTER($S$2:$S$148, ($J$2:$J$148=J83)*($V$2:$V$148=1)),0.1),
                         S83&lt;=_xlfn.PERCENTILE.INC(_xlfn._xlws.FILTER($S$2:$S$148, ($J$3:$J$149=J83)*($V$2:$V$148=1)),0.9)
               ),1,0),
0)</f>
        <v>1</v>
      </c>
      <c r="X83" s="167"/>
      <c r="Y83" s="2"/>
      <c r="Z83" s="70"/>
    </row>
    <row r="84" spans="1:26" customFormat="1" hidden="1" x14ac:dyDescent="0.25">
      <c r="A84" s="9" t="s">
        <v>262</v>
      </c>
      <c r="B84" s="106">
        <v>83</v>
      </c>
      <c r="C84" s="2" t="s">
        <v>260</v>
      </c>
      <c r="D84" s="3" t="s">
        <v>261</v>
      </c>
      <c r="E84" s="34">
        <v>44844</v>
      </c>
      <c r="F84" s="34">
        <v>46670</v>
      </c>
      <c r="G84" s="27" t="s">
        <v>299</v>
      </c>
      <c r="H84" s="113" t="s">
        <v>121</v>
      </c>
      <c r="I84" s="6" t="s">
        <v>341</v>
      </c>
      <c r="J84" s="2" t="s">
        <v>326</v>
      </c>
      <c r="K84" s="126" t="s">
        <v>334</v>
      </c>
      <c r="L84" s="118" t="s">
        <v>170</v>
      </c>
      <c r="M84" s="27" t="s">
        <v>122</v>
      </c>
      <c r="N84" s="27">
        <v>470</v>
      </c>
      <c r="O84" s="3" t="s">
        <v>435</v>
      </c>
      <c r="P84" s="3" t="s">
        <v>435</v>
      </c>
      <c r="Q84" s="3" t="s">
        <v>435</v>
      </c>
      <c r="R84" s="140" t="s">
        <v>435</v>
      </c>
      <c r="S84" s="134">
        <f>SUM(Table2[[#This Row],[A1toA3_GWP]:[C1toC4_GWP]])</f>
        <v>418.08510638297867</v>
      </c>
      <c r="T84" s="25">
        <f>(-1000+28+6)/Table2[[#This Row],[DENSITY]]*1000</f>
        <v>-2055.3191489361702</v>
      </c>
      <c r="U84" s="151">
        <f>(430+86+640+6.5)/Table2[[#This Row],[DENSITY]]*1000</f>
        <v>2473.4042553191489</v>
      </c>
      <c r="V84" s="101">
        <f t="shared" si="2"/>
        <v>1</v>
      </c>
      <c r="W84" s="160" cm="1">
        <f t="array" ref="W84">IF($V84&lt;&gt;0,
IF(AND(
                         S84&gt;=_xlfn.PERCENTILE.INC(_xlfn._xlws.FILTER($S$2:$S$148, ($J$2:$J$148=J84)*($V$2:$V$148=1)),0.1),
                         S84&lt;=_xlfn.PERCENTILE.INC(_xlfn._xlws.FILTER($S$2:$S$148, ($J$3:$J$149=J84)*($V$2:$V$148=1)),0.9)
               ),1,0),
0)</f>
        <v>1</v>
      </c>
      <c r="X84" s="167"/>
      <c r="Y84" s="2"/>
      <c r="Z84" s="70"/>
    </row>
    <row r="85" spans="1:26" customFormat="1" x14ac:dyDescent="0.25">
      <c r="A85" s="9" t="s">
        <v>263</v>
      </c>
      <c r="B85" s="106">
        <v>84</v>
      </c>
      <c r="C85" s="2" t="s">
        <v>264</v>
      </c>
      <c r="D85" s="3" t="s">
        <v>124</v>
      </c>
      <c r="E85" s="34"/>
      <c r="F85" s="34"/>
      <c r="G85" s="27"/>
      <c r="H85" s="113"/>
      <c r="I85" s="6" t="s">
        <v>341</v>
      </c>
      <c r="J85" s="2" t="s">
        <v>326</v>
      </c>
      <c r="K85" s="126" t="s">
        <v>334</v>
      </c>
      <c r="L85" s="118" t="s">
        <v>170</v>
      </c>
      <c r="M85" s="27" t="s">
        <v>122</v>
      </c>
      <c r="N85" s="27">
        <v>470</v>
      </c>
      <c r="O85" s="3" t="s">
        <v>435</v>
      </c>
      <c r="P85" s="3" t="s">
        <v>435</v>
      </c>
      <c r="Q85" s="3" t="s">
        <v>435</v>
      </c>
      <c r="R85" s="140" t="s">
        <v>435</v>
      </c>
      <c r="S85" s="134">
        <f>SUM(Table2[[#This Row],[A1toA3_GWP]:[C1toC4_GWP]])</f>
        <v>349.0042553191488</v>
      </c>
      <c r="T85" s="25">
        <f>(-699+7.56+97)/Table2[[#This Row],[DENSITY]]*1000</f>
        <v>-1264.7659574468087</v>
      </c>
      <c r="U85" s="151">
        <f>(0.472+758)/Table2[[#This Row],[DENSITY]]*1000</f>
        <v>1613.7702127659575</v>
      </c>
      <c r="V85" s="101">
        <f t="shared" si="2"/>
        <v>1</v>
      </c>
      <c r="W85" s="160" cm="1">
        <f t="array" ref="W85">IF($V85&lt;&gt;0,
IF(AND(
                         S85&gt;=_xlfn.PERCENTILE.INC(_xlfn._xlws.FILTER($S$2:$S$148, ($J$2:$J$148=J85)*($V$2:$V$148=1)),0.1),
                         S85&lt;=_xlfn.PERCENTILE.INC(_xlfn._xlws.FILTER($S$2:$S$148, ($J$3:$J$149=J85)*($V$2:$V$148=1)),0.9)
               ),1,0),
0)</f>
        <v>1</v>
      </c>
      <c r="X85" s="167"/>
      <c r="Y85" s="2"/>
      <c r="Z85" s="70"/>
    </row>
    <row r="86" spans="1:26" customFormat="1" hidden="1" x14ac:dyDescent="0.25">
      <c r="A86" s="9" t="s">
        <v>267</v>
      </c>
      <c r="B86" s="106">
        <v>85</v>
      </c>
      <c r="C86" s="22" t="s">
        <v>265</v>
      </c>
      <c r="D86" s="3" t="s">
        <v>266</v>
      </c>
      <c r="E86" s="34">
        <v>43914</v>
      </c>
      <c r="F86" s="34">
        <v>45740</v>
      </c>
      <c r="G86" s="27" t="s">
        <v>67</v>
      </c>
      <c r="H86" s="113" t="s">
        <v>121</v>
      </c>
      <c r="I86" s="6" t="s">
        <v>341</v>
      </c>
      <c r="J86" s="2" t="s">
        <v>326</v>
      </c>
      <c r="K86" s="126" t="s">
        <v>334</v>
      </c>
      <c r="L86" s="118" t="s">
        <v>170</v>
      </c>
      <c r="M86" s="27" t="s">
        <v>122</v>
      </c>
      <c r="N86" s="27">
        <v>424</v>
      </c>
      <c r="O86" s="3" t="s">
        <v>435</v>
      </c>
      <c r="P86" s="3" t="s">
        <v>435</v>
      </c>
      <c r="Q86" s="3" t="s">
        <v>435</v>
      </c>
      <c r="R86" s="140" t="s">
        <v>435</v>
      </c>
      <c r="S86" s="134">
        <f>SUM(Table2[[#This Row],[A1toA3_GWP]:[C1toC4_GWP]])</f>
        <v>244.19174528301892</v>
      </c>
      <c r="T86" s="25">
        <f>(-597)/Table2[[#This Row],[DENSITY]]*1000</f>
        <v>-1408.0188679245282</v>
      </c>
      <c r="U86" s="151">
        <f>(3.52+697+0.0173)/Table2[[#This Row],[DENSITY]]*1000</f>
        <v>1652.2106132075471</v>
      </c>
      <c r="V86" s="101">
        <f t="shared" si="2"/>
        <v>1</v>
      </c>
      <c r="W86" s="160" cm="1">
        <f t="array" ref="W86">IF($V86&lt;&gt;0,
IF(AND(
                         S86&gt;=_xlfn.PERCENTILE.INC(_xlfn._xlws.FILTER($S$2:$S$148, ($J$2:$J$148=J86)*($V$2:$V$148=1)),0.1),
                         S86&lt;=_xlfn.PERCENTILE.INC(_xlfn._xlws.FILTER($S$2:$S$148, ($J$3:$J$149=J86)*($V$2:$V$148=1)),0.9)
               ),1,0),
0)</f>
        <v>1</v>
      </c>
      <c r="X86" s="167"/>
      <c r="Y86" s="2"/>
      <c r="Z86" s="70"/>
    </row>
    <row r="87" spans="1:26" customFormat="1" hidden="1" x14ac:dyDescent="0.25">
      <c r="A87" s="9" t="s">
        <v>268</v>
      </c>
      <c r="B87" s="106">
        <v>86</v>
      </c>
      <c r="C87" s="22" t="s">
        <v>270</v>
      </c>
      <c r="D87" s="3" t="s">
        <v>269</v>
      </c>
      <c r="E87" s="34">
        <v>43451</v>
      </c>
      <c r="F87" s="34">
        <v>45271</v>
      </c>
      <c r="G87" s="27" t="s">
        <v>57</v>
      </c>
      <c r="H87" s="113" t="s">
        <v>121</v>
      </c>
      <c r="I87" s="6" t="s">
        <v>341</v>
      </c>
      <c r="J87" s="2" t="s">
        <v>326</v>
      </c>
      <c r="K87" s="126" t="s">
        <v>334</v>
      </c>
      <c r="L87" s="118" t="s">
        <v>170</v>
      </c>
      <c r="M87" s="27" t="s">
        <v>122</v>
      </c>
      <c r="N87" s="27">
        <v>400</v>
      </c>
      <c r="O87" s="3" t="s">
        <v>435</v>
      </c>
      <c r="P87" s="3" t="s">
        <v>435</v>
      </c>
      <c r="Q87" s="3" t="s">
        <v>435</v>
      </c>
      <c r="R87" s="140" t="s">
        <v>435</v>
      </c>
      <c r="S87" s="134">
        <f>SUM(Table2[[#This Row],[A1toA3_GWP]:[C1toC4_GWP]])</f>
        <v>400</v>
      </c>
      <c r="T87" s="25">
        <f>(160)/Table2[[#This Row],[DENSITY]]*1000</f>
        <v>400</v>
      </c>
      <c r="U87" s="151"/>
      <c r="V87" s="101">
        <f t="shared" si="2"/>
        <v>1</v>
      </c>
      <c r="W87" s="160" cm="1">
        <f t="array" ref="W87">IF($V87&lt;&gt;0,
IF(AND(
                         S87&gt;=_xlfn.PERCENTILE.INC(_xlfn._xlws.FILTER($S$2:$S$148, ($J$2:$J$148=J87)*($V$2:$V$148=1)),0.1),
                         S87&lt;=_xlfn.PERCENTILE.INC(_xlfn._xlws.FILTER($S$2:$S$148, ($J$3:$J$149=J87)*($V$2:$V$148=1)),0.9)
               ),1,0),
0)</f>
        <v>1</v>
      </c>
      <c r="X87" s="167"/>
      <c r="Y87" s="2"/>
      <c r="Z87" s="70"/>
    </row>
    <row r="88" spans="1:26" customFormat="1" hidden="1" x14ac:dyDescent="0.25">
      <c r="A88" s="9" t="s">
        <v>273</v>
      </c>
      <c r="B88" s="106">
        <v>87</v>
      </c>
      <c r="C88" s="22" t="s">
        <v>275</v>
      </c>
      <c r="D88" s="3" t="s">
        <v>274</v>
      </c>
      <c r="E88" s="34">
        <v>44628</v>
      </c>
      <c r="F88" s="34">
        <v>46454</v>
      </c>
      <c r="G88" s="27" t="s">
        <v>276</v>
      </c>
      <c r="H88" s="113" t="s">
        <v>121</v>
      </c>
      <c r="I88" s="6" t="s">
        <v>341</v>
      </c>
      <c r="J88" s="2" t="s">
        <v>326</v>
      </c>
      <c r="K88" s="126" t="s">
        <v>334</v>
      </c>
      <c r="L88" s="118" t="s">
        <v>170</v>
      </c>
      <c r="M88" s="27" t="s">
        <v>122</v>
      </c>
      <c r="N88" s="27">
        <v>470</v>
      </c>
      <c r="O88" s="3" t="s">
        <v>435</v>
      </c>
      <c r="P88" s="3" t="s">
        <v>435</v>
      </c>
      <c r="Q88" s="3" t="s">
        <v>435</v>
      </c>
      <c r="R88" s="140" t="s">
        <v>435</v>
      </c>
      <c r="S88" s="134">
        <f>SUM(Table2[[#This Row],[A1toA3_GWP]:[C1toC4_GWP]])</f>
        <v>207.063829787234</v>
      </c>
      <c r="T88" s="25">
        <f>(-690)/Table2[[#This Row],[DENSITY]]*1000</f>
        <v>-1468.0851063829787</v>
      </c>
      <c r="U88" s="151">
        <f>(1.32+786)/Table2[[#This Row],[DENSITY]]*1000</f>
        <v>1675.1489361702127</v>
      </c>
      <c r="V88" s="101">
        <f t="shared" si="2"/>
        <v>1</v>
      </c>
      <c r="W88" s="160" cm="1">
        <f t="array" ref="W88">IF($V88&lt;&gt;0,
IF(AND(
                         S88&gt;=_xlfn.PERCENTILE.INC(_xlfn._xlws.FILTER($S$2:$S$148, ($J$2:$J$148=J88)*($V$2:$V$148=1)),0.1),
                         S88&lt;=_xlfn.PERCENTILE.INC(_xlfn._xlws.FILTER($S$2:$S$148, ($J$3:$J$149=J88)*($V$2:$V$148=1)),0.9)
               ),1,0),
0)</f>
        <v>1</v>
      </c>
      <c r="X88" s="167"/>
      <c r="Y88" s="2"/>
      <c r="Z88" s="70"/>
    </row>
    <row r="89" spans="1:26" customFormat="1" x14ac:dyDescent="0.25">
      <c r="A89" s="9" t="s">
        <v>278</v>
      </c>
      <c r="B89" s="106">
        <v>88</v>
      </c>
      <c r="C89" s="22" t="s">
        <v>277</v>
      </c>
      <c r="D89" s="3" t="s">
        <v>246</v>
      </c>
      <c r="E89" s="34">
        <v>45454</v>
      </c>
      <c r="F89" s="34">
        <v>47280</v>
      </c>
      <c r="G89" s="27" t="s">
        <v>250</v>
      </c>
      <c r="H89" s="113" t="s">
        <v>105</v>
      </c>
      <c r="I89" s="6" t="s">
        <v>342</v>
      </c>
      <c r="J89" s="2" t="s">
        <v>326</v>
      </c>
      <c r="K89" s="126" t="s">
        <v>333</v>
      </c>
      <c r="L89" s="118" t="s">
        <v>170</v>
      </c>
      <c r="M89" s="27" t="s">
        <v>1</v>
      </c>
      <c r="N89" s="27">
        <v>463</v>
      </c>
      <c r="O89" s="3" t="s">
        <v>435</v>
      </c>
      <c r="P89" s="3" t="s">
        <v>435</v>
      </c>
      <c r="Q89" s="3" t="s">
        <v>435</v>
      </c>
      <c r="R89" s="140" t="s">
        <v>435</v>
      </c>
      <c r="S89" s="134">
        <f>SUM(Table2[[#This Row],[A1toA3_GWP]:[C1toC4_GWP]])</f>
        <v>116.63714902807783</v>
      </c>
      <c r="T89" s="25">
        <f>(-700)/Table2[[#This Row],[DENSITY]]*1000</f>
        <v>-1511.8790496760259</v>
      </c>
      <c r="U89" s="151">
        <f>(0.153+1.85+752)/Table2[[#This Row],[DENSITY]]*1000</f>
        <v>1628.5161987041038</v>
      </c>
      <c r="V89" s="101">
        <f t="shared" si="2"/>
        <v>1</v>
      </c>
      <c r="W89" s="160" cm="1">
        <f t="array" ref="W89">IF($V89&lt;&gt;0,
IF(AND(
                         S89&gt;=_xlfn.PERCENTILE.INC(_xlfn._xlws.FILTER($S$2:$S$148, ($J$2:$J$148=J89)*($V$2:$V$148=1)),0.1),
                         S89&lt;=_xlfn.PERCENTILE.INC(_xlfn._xlws.FILTER($S$2:$S$148, ($J$3:$J$149=J89)*($V$2:$V$148=1)),0.9)
               ),1,0),
0)</f>
        <v>1</v>
      </c>
      <c r="X89" s="167"/>
      <c r="Y89" s="2" t="s">
        <v>442</v>
      </c>
      <c r="Z89" s="70"/>
    </row>
    <row r="90" spans="1:26" customFormat="1" x14ac:dyDescent="0.25">
      <c r="A90" s="9" t="s">
        <v>280</v>
      </c>
      <c r="B90" s="106">
        <v>89</v>
      </c>
      <c r="C90" s="22" t="s">
        <v>279</v>
      </c>
      <c r="D90" s="3" t="s">
        <v>246</v>
      </c>
      <c r="E90" s="34">
        <v>43399</v>
      </c>
      <c r="F90" s="34">
        <v>45225</v>
      </c>
      <c r="G90" s="27" t="s">
        <v>250</v>
      </c>
      <c r="H90" s="113" t="s">
        <v>105</v>
      </c>
      <c r="I90" s="6" t="s">
        <v>342</v>
      </c>
      <c r="J90" s="2" t="s">
        <v>326</v>
      </c>
      <c r="K90" s="126" t="s">
        <v>333</v>
      </c>
      <c r="L90" s="118" t="s">
        <v>170</v>
      </c>
      <c r="M90" s="27" t="s">
        <v>1</v>
      </c>
      <c r="N90" s="27">
        <v>430</v>
      </c>
      <c r="O90" s="3" t="s">
        <v>435</v>
      </c>
      <c r="P90" s="3" t="s">
        <v>435</v>
      </c>
      <c r="Q90" s="3" t="s">
        <v>435</v>
      </c>
      <c r="R90" s="140" t="s">
        <v>435</v>
      </c>
      <c r="S90" s="177">
        <f>SUM(Table2[[#This Row],[A1toA3_GWP]:[C1toC4_GWP]])</f>
        <v>-1534.8837209302326</v>
      </c>
      <c r="T90" s="178">
        <f>(-660)/Table2[[#This Row],[DENSITY]]*1000</f>
        <v>-1534.8837209302326</v>
      </c>
      <c r="U90" s="179" t="s">
        <v>170</v>
      </c>
      <c r="V90" s="177">
        <f t="shared" si="2"/>
        <v>0</v>
      </c>
      <c r="W90" s="160" cm="1">
        <f t="array" ref="W90">IF($V90&lt;&gt;0,
IF(AND(
                         S90&gt;=_xlfn.PERCENTILE.INC(_xlfn._xlws.FILTER($S$2:$S$148, ($J$2:$J$148=J90)*($V$2:$V$148=1)),0.1),
                         S90&lt;=_xlfn.PERCENTILE.INC(_xlfn._xlws.FILTER($S$2:$S$148, ($J$3:$J$149=J90)*($V$2:$V$148=1)),0.9)
               ),1,0),
0)</f>
        <v>0</v>
      </c>
      <c r="X90" s="167"/>
      <c r="Y90" s="2" t="s">
        <v>440</v>
      </c>
      <c r="Z90" s="70"/>
    </row>
    <row r="91" spans="1:26" customFormat="1" x14ac:dyDescent="0.25">
      <c r="A91" s="9" t="s">
        <v>281</v>
      </c>
      <c r="B91" s="106">
        <v>90</v>
      </c>
      <c r="C91" s="22" t="s">
        <v>282</v>
      </c>
      <c r="D91" s="3" t="s">
        <v>283</v>
      </c>
      <c r="E91" s="34">
        <v>44830</v>
      </c>
      <c r="F91" s="34">
        <v>46655</v>
      </c>
      <c r="G91" s="27" t="s">
        <v>276</v>
      </c>
      <c r="H91" s="113" t="s">
        <v>105</v>
      </c>
      <c r="I91" s="6" t="s">
        <v>342</v>
      </c>
      <c r="J91" s="2" t="s">
        <v>326</v>
      </c>
      <c r="K91" s="126" t="s">
        <v>333</v>
      </c>
      <c r="L91" s="118" t="s">
        <v>170</v>
      </c>
      <c r="M91" s="27" t="s">
        <v>1</v>
      </c>
      <c r="N91" s="27">
        <v>480</v>
      </c>
      <c r="O91" s="3" t="s">
        <v>435</v>
      </c>
      <c r="P91" s="3" t="s">
        <v>435</v>
      </c>
      <c r="Q91" s="3" t="s">
        <v>435</v>
      </c>
      <c r="R91" s="140" t="s">
        <v>435</v>
      </c>
      <c r="S91" s="134">
        <f>SUM(Table2[[#This Row],[A1toA3_GWP]:[C1toC4_GWP]])</f>
        <v>291.03750000000014</v>
      </c>
      <c r="T91" s="25">
        <f>(-680+6.04+37.1)/Table2[[#This Row],[DENSITY]]*1000</f>
        <v>-1326.7916666666665</v>
      </c>
      <c r="U91" s="151">
        <f>(0.558+776)/Table2[[#This Row],[DENSITY]]*1000</f>
        <v>1617.8291666666667</v>
      </c>
      <c r="V91" s="101">
        <f t="shared" si="2"/>
        <v>1</v>
      </c>
      <c r="W91" s="160" cm="1">
        <f t="array" ref="W91">IF($V91&lt;&gt;0,
IF(AND(
                         S91&gt;=_xlfn.PERCENTILE.INC(_xlfn._xlws.FILTER($S$2:$S$148, ($J$2:$J$148=J91)*($V$2:$V$148=1)),0.1),
                         S91&lt;=_xlfn.PERCENTILE.INC(_xlfn._xlws.FILTER($S$2:$S$148, ($J$3:$J$149=J91)*($V$2:$V$148=1)),0.9)
               ),1,0),
0)</f>
        <v>1</v>
      </c>
      <c r="X91" s="167"/>
      <c r="Y91" s="2" t="s">
        <v>443</v>
      </c>
      <c r="Z91" s="70"/>
    </row>
    <row r="92" spans="1:26" customFormat="1" x14ac:dyDescent="0.25">
      <c r="A92" s="9" t="s">
        <v>285</v>
      </c>
      <c r="B92" s="106">
        <v>91</v>
      </c>
      <c r="C92" s="22" t="s">
        <v>284</v>
      </c>
      <c r="D92" s="3" t="s">
        <v>286</v>
      </c>
      <c r="E92" s="34">
        <v>44746</v>
      </c>
      <c r="F92" s="34">
        <v>46572</v>
      </c>
      <c r="G92" s="27" t="s">
        <v>287</v>
      </c>
      <c r="H92" s="113" t="s">
        <v>105</v>
      </c>
      <c r="I92" s="6" t="s">
        <v>342</v>
      </c>
      <c r="J92" s="2" t="s">
        <v>326</v>
      </c>
      <c r="K92" s="126" t="s">
        <v>333</v>
      </c>
      <c r="L92" s="118" t="s">
        <v>170</v>
      </c>
      <c r="M92" s="27" t="s">
        <v>1</v>
      </c>
      <c r="N92" s="27">
        <v>430</v>
      </c>
      <c r="O92" s="3" t="s">
        <v>435</v>
      </c>
      <c r="P92" s="3" t="s">
        <v>435</v>
      </c>
      <c r="Q92" s="3" t="s">
        <v>435</v>
      </c>
      <c r="R92" s="140" t="s">
        <v>435</v>
      </c>
      <c r="S92" s="134">
        <f>SUM(Table2[[#This Row],[A1toA3_GWP]:[C1toC4_GWP]])</f>
        <v>319.93023255813955</v>
      </c>
      <c r="T92" s="25">
        <f>(-556)/Table2[[#This Row],[DENSITY]]*1000</f>
        <v>-1293.0232558139535</v>
      </c>
      <c r="U92" s="151">
        <f>(2.57+691)/Table2[[#This Row],[DENSITY]]*1000</f>
        <v>1612.953488372093</v>
      </c>
      <c r="V92" s="101">
        <f t="shared" si="2"/>
        <v>1</v>
      </c>
      <c r="W92" s="160" cm="1">
        <f t="array" ref="W92">IF($V92&lt;&gt;0,
IF(AND(
                         S92&gt;=_xlfn.PERCENTILE.INC(_xlfn._xlws.FILTER($S$2:$S$148, ($J$2:$J$148=J92)*($V$2:$V$148=1)),0.1),
                         S92&lt;=_xlfn.PERCENTILE.INC(_xlfn._xlws.FILTER($S$2:$S$148, ($J$3:$J$149=J92)*($V$2:$V$148=1)),0.9)
               ),1,0),
0)</f>
        <v>1</v>
      </c>
      <c r="X92" s="167"/>
      <c r="Y92" s="2" t="s">
        <v>445</v>
      </c>
      <c r="Z92" s="70" t="s">
        <v>444</v>
      </c>
    </row>
    <row r="93" spans="1:26" customFormat="1" x14ac:dyDescent="0.25">
      <c r="A93" s="9" t="s">
        <v>288</v>
      </c>
      <c r="B93" s="106">
        <v>92</v>
      </c>
      <c r="C93" s="22" t="s">
        <v>289</v>
      </c>
      <c r="D93" s="3" t="s">
        <v>290</v>
      </c>
      <c r="E93" s="34" t="s">
        <v>291</v>
      </c>
      <c r="F93" s="34">
        <v>46659</v>
      </c>
      <c r="G93" s="27" t="s">
        <v>250</v>
      </c>
      <c r="H93" s="113" t="s">
        <v>105</v>
      </c>
      <c r="I93" s="6" t="s">
        <v>342</v>
      </c>
      <c r="J93" s="2" t="s">
        <v>326</v>
      </c>
      <c r="K93" s="126" t="s">
        <v>333</v>
      </c>
      <c r="L93" s="118" t="s">
        <v>170</v>
      </c>
      <c r="M93" s="27" t="s">
        <v>1</v>
      </c>
      <c r="N93" s="27">
        <v>462</v>
      </c>
      <c r="O93" s="3" t="s">
        <v>435</v>
      </c>
      <c r="P93" s="3" t="s">
        <v>435</v>
      </c>
      <c r="Q93" s="3" t="s">
        <v>435</v>
      </c>
      <c r="R93" s="140" t="s">
        <v>435</v>
      </c>
      <c r="S93" s="134">
        <f>SUM(Table2[[#This Row],[A1toA3_GWP]:[C1toC4_GWP]])</f>
        <v>169.16883116883105</v>
      </c>
      <c r="T93" s="25">
        <f>(-674)/Table2[[#This Row],[DENSITY]]*1000</f>
        <v>-1458.8744588744589</v>
      </c>
      <c r="U93" s="151">
        <f>(0.116+1.04+751)/Table2[[#This Row],[DENSITY]]*1000</f>
        <v>1628.04329004329</v>
      </c>
      <c r="V93" s="101">
        <f t="shared" si="2"/>
        <v>1</v>
      </c>
      <c r="W93" s="160" cm="1">
        <f t="array" ref="W93">IF($V93&lt;&gt;0,
IF(AND(
                         S93&gt;=_xlfn.PERCENTILE.INC(_xlfn._xlws.FILTER($S$2:$S$148, ($J$2:$J$148=J93)*($V$2:$V$148=1)),0.1),
                         S93&lt;=_xlfn.PERCENTILE.INC(_xlfn._xlws.FILTER($S$2:$S$148, ($J$3:$J$149=J93)*($V$2:$V$148=1)),0.9)
               ),1,0),
0)</f>
        <v>1</v>
      </c>
      <c r="X93" s="167"/>
      <c r="Y93" s="2" t="s">
        <v>442</v>
      </c>
      <c r="Z93" s="70"/>
    </row>
    <row r="94" spans="1:26" customFormat="1" x14ac:dyDescent="0.25">
      <c r="A94" s="9" t="s">
        <v>292</v>
      </c>
      <c r="B94" s="106">
        <v>93</v>
      </c>
      <c r="C94" s="22" t="s">
        <v>293</v>
      </c>
      <c r="D94" s="3" t="s">
        <v>294</v>
      </c>
      <c r="E94" s="34">
        <v>43325</v>
      </c>
      <c r="F94" s="34">
        <v>45334</v>
      </c>
      <c r="G94" s="27" t="s">
        <v>276</v>
      </c>
      <c r="H94" s="113" t="s">
        <v>105</v>
      </c>
      <c r="I94" s="6" t="s">
        <v>342</v>
      </c>
      <c r="J94" s="2" t="s">
        <v>326</v>
      </c>
      <c r="K94" s="126" t="s">
        <v>333</v>
      </c>
      <c r="L94" s="118" t="s">
        <v>170</v>
      </c>
      <c r="M94" s="27" t="s">
        <v>1</v>
      </c>
      <c r="N94" s="27">
        <v>483</v>
      </c>
      <c r="O94" s="3" t="s">
        <v>435</v>
      </c>
      <c r="P94" s="3" t="s">
        <v>435</v>
      </c>
      <c r="Q94" s="3" t="s">
        <v>435</v>
      </c>
      <c r="R94" s="140" t="s">
        <v>435</v>
      </c>
      <c r="S94" s="134">
        <f>SUM(Table2[[#This Row],[A1toA3_GWP]:[C1toC4_GWP]])</f>
        <v>264.56521739130449</v>
      </c>
      <c r="T94" s="25">
        <f>(-751+32.1+68.2)/Table2[[#This Row],[DENSITY]]*1000</f>
        <v>-1347.2049689440992</v>
      </c>
      <c r="U94" s="151">
        <f>(0.485+778)/Table2[[#This Row],[DENSITY]]*1000</f>
        <v>1611.7701863354037</v>
      </c>
      <c r="V94" s="101">
        <f t="shared" si="2"/>
        <v>1</v>
      </c>
      <c r="W94" s="160" cm="1">
        <f t="array" ref="W94">IF($V94&lt;&gt;0,
IF(AND(
                         S94&gt;=_xlfn.PERCENTILE.INC(_xlfn._xlws.FILTER($S$2:$S$148, ($J$2:$J$148=J94)*($V$2:$V$148=1)),0.1),
                         S94&lt;=_xlfn.PERCENTILE.INC(_xlfn._xlws.FILTER($S$2:$S$148, ($J$3:$J$149=J94)*($V$2:$V$148=1)),0.9)
               ),1,0),
0)</f>
        <v>1</v>
      </c>
      <c r="X94" s="167"/>
      <c r="Y94" s="2"/>
      <c r="Z94" s="70"/>
    </row>
    <row r="95" spans="1:26" customFormat="1" x14ac:dyDescent="0.25">
      <c r="A95" s="9" t="s">
        <v>296</v>
      </c>
      <c r="B95" s="106">
        <v>94</v>
      </c>
      <c r="C95" s="22" t="s">
        <v>295</v>
      </c>
      <c r="D95" s="3" t="s">
        <v>297</v>
      </c>
      <c r="E95" s="34">
        <v>44475</v>
      </c>
      <c r="F95" s="34">
        <v>6.1020260000000004</v>
      </c>
      <c r="G95" s="27" t="s">
        <v>299</v>
      </c>
      <c r="H95" s="113" t="s">
        <v>105</v>
      </c>
      <c r="I95" s="6" t="s">
        <v>342</v>
      </c>
      <c r="J95" s="2" t="s">
        <v>326</v>
      </c>
      <c r="K95" s="126" t="s">
        <v>333</v>
      </c>
      <c r="L95" s="118" t="s">
        <v>170</v>
      </c>
      <c r="M95" s="27" t="s">
        <v>1</v>
      </c>
      <c r="N95" s="27">
        <v>440</v>
      </c>
      <c r="O95" s="3" t="s">
        <v>435</v>
      </c>
      <c r="P95" s="3" t="s">
        <v>435</v>
      </c>
      <c r="Q95" s="3" t="s">
        <v>435</v>
      </c>
      <c r="R95" s="140" t="s">
        <v>435</v>
      </c>
      <c r="S95" s="134">
        <f>SUM(Table2[[#This Row],[A1toA3_GWP]:[C1toC4_GWP]])</f>
        <v>765.45454545454561</v>
      </c>
      <c r="T95" s="25">
        <f>(-371)/Table2[[#This Row],[DENSITY]]*1000</f>
        <v>-843.18181818181813</v>
      </c>
      <c r="U95" s="151">
        <f>(28.8+679)/Table2[[#This Row],[DENSITY]]*1000</f>
        <v>1608.6363636363637</v>
      </c>
      <c r="V95" s="101">
        <f t="shared" si="2"/>
        <v>1</v>
      </c>
      <c r="W95" s="160" cm="1">
        <f t="array" ref="W95">IF($V95&lt;&gt;0,
IF(AND(
                         S95&gt;=_xlfn.PERCENTILE.INC(_xlfn._xlws.FILTER($S$2:$S$148, ($J$2:$J$148=J95)*($V$2:$V$148=1)),0.1),
                         S95&lt;=_xlfn.PERCENTILE.INC(_xlfn._xlws.FILTER($S$2:$S$148, ($J$3:$J$149=J95)*($V$2:$V$148=1)),0.9)
               ),1,0),
0)</f>
        <v>0</v>
      </c>
      <c r="X95" s="167"/>
      <c r="Y95" s="2"/>
      <c r="Z95" s="70"/>
    </row>
    <row r="96" spans="1:26" customFormat="1" x14ac:dyDescent="0.25">
      <c r="A96" s="9" t="s">
        <v>302</v>
      </c>
      <c r="B96" s="106">
        <v>95</v>
      </c>
      <c r="C96" s="22" t="s">
        <v>300</v>
      </c>
      <c r="D96" s="3" t="s">
        <v>301</v>
      </c>
      <c r="E96" s="34">
        <v>44293</v>
      </c>
      <c r="F96" s="34">
        <v>46119</v>
      </c>
      <c r="G96" s="27" t="s">
        <v>298</v>
      </c>
      <c r="H96" s="113" t="s">
        <v>105</v>
      </c>
      <c r="I96" s="6" t="s">
        <v>342</v>
      </c>
      <c r="J96" s="2" t="s">
        <v>326</v>
      </c>
      <c r="K96" s="126" t="s">
        <v>333</v>
      </c>
      <c r="L96" s="118" t="s">
        <v>170</v>
      </c>
      <c r="M96" s="27" t="s">
        <v>1</v>
      </c>
      <c r="N96" s="27">
        <v>467</v>
      </c>
      <c r="O96" s="3" t="s">
        <v>435</v>
      </c>
      <c r="P96" s="3" t="s">
        <v>435</v>
      </c>
      <c r="Q96" s="3" t="s">
        <v>435</v>
      </c>
      <c r="R96" s="140" t="s">
        <v>435</v>
      </c>
      <c r="S96" s="177">
        <f>SUM(Table2[[#This Row],[A1toA3_GWP]:[C1toC4_GWP]])</f>
        <v>-220.42826552462543</v>
      </c>
      <c r="T96" s="178">
        <f>(-814)/Table2[[#This Row],[DENSITY]]*1000</f>
        <v>-1743.0406852248395</v>
      </c>
      <c r="U96" s="179">
        <f>(1.57+6.49+703)/Table2[[#This Row],[DENSITY]]*1000</f>
        <v>1522.6124197002141</v>
      </c>
      <c r="V96" s="177">
        <f t="shared" si="2"/>
        <v>0</v>
      </c>
      <c r="W96" s="160" cm="1">
        <f t="array" ref="W96">IF($V96&lt;&gt;0,
IF(AND(
                         S96&gt;=_xlfn.PERCENTILE.INC(_xlfn._xlws.FILTER($S$2:$S$148, ($J$2:$J$148=J96)*($V$2:$V$148=1)),0.1),
                         S96&lt;=_xlfn.PERCENTILE.INC(_xlfn._xlws.FILTER($S$2:$S$148, ($J$3:$J$149=J96)*($V$2:$V$148=1)),0.9)
               ),1,0),
0)</f>
        <v>0</v>
      </c>
      <c r="X96" s="167"/>
      <c r="Y96" s="2" t="s">
        <v>446</v>
      </c>
      <c r="Z96" s="70"/>
    </row>
    <row r="97" spans="1:26" customFormat="1" x14ac:dyDescent="0.25">
      <c r="A97" s="9" t="s">
        <v>308</v>
      </c>
      <c r="B97" s="106">
        <v>96</v>
      </c>
      <c r="C97" s="22" t="s">
        <v>307</v>
      </c>
      <c r="D97" s="3" t="s">
        <v>309</v>
      </c>
      <c r="E97" s="34">
        <v>44218</v>
      </c>
      <c r="F97" s="34">
        <v>46044</v>
      </c>
      <c r="G97" s="27" t="s">
        <v>250</v>
      </c>
      <c r="H97" s="113" t="s">
        <v>117</v>
      </c>
      <c r="I97" s="6" t="s">
        <v>343</v>
      </c>
      <c r="J97" s="2" t="s">
        <v>326</v>
      </c>
      <c r="K97" s="126" t="s">
        <v>335</v>
      </c>
      <c r="L97" s="118" t="s">
        <v>170</v>
      </c>
      <c r="M97" s="27" t="s">
        <v>122</v>
      </c>
      <c r="N97" s="27">
        <v>489</v>
      </c>
      <c r="O97" s="3" t="s">
        <v>435</v>
      </c>
      <c r="P97" s="3" t="s">
        <v>435</v>
      </c>
      <c r="Q97" s="3" t="s">
        <v>435</v>
      </c>
      <c r="R97" s="140" t="s">
        <v>435</v>
      </c>
      <c r="S97" s="134">
        <f>SUM(Table2[[#This Row],[A1toA3_GWP]:[C1toC4_GWP]])</f>
        <v>75.664621676891556</v>
      </c>
      <c r="T97" s="25">
        <f>(-744)/Table2[[#This Row],[DENSITY]]*1000</f>
        <v>-1521.4723926380368</v>
      </c>
      <c r="U97" s="151">
        <f>(781)/Table2[[#This Row],[DENSITY]]*1000</f>
        <v>1597.1370143149284</v>
      </c>
      <c r="V97" s="101">
        <f t="shared" si="2"/>
        <v>1</v>
      </c>
      <c r="W97" s="160" cm="1">
        <f t="array" ref="W97">IF($V97&lt;&gt;0,
IF(AND(
                         S97&gt;=_xlfn.PERCENTILE.INC(_xlfn._xlws.FILTER($S$2:$S$148, ($J$2:$J$148=J97)*($V$2:$V$148=1)),0.1),
                         S97&lt;=_xlfn.PERCENTILE.INC(_xlfn._xlws.FILTER($S$2:$S$148, ($J$3:$J$149=J97)*($V$2:$V$148=1)),0.9)
               ),1,0),
0)</f>
        <v>0</v>
      </c>
      <c r="X97" s="167"/>
      <c r="Y97" s="2" t="s">
        <v>425</v>
      </c>
      <c r="Z97" s="70"/>
    </row>
    <row r="98" spans="1:26" customFormat="1" x14ac:dyDescent="0.25">
      <c r="A98" s="9" t="s">
        <v>312</v>
      </c>
      <c r="B98" s="106">
        <v>97</v>
      </c>
      <c r="C98" s="22" t="s">
        <v>310</v>
      </c>
      <c r="D98" s="3" t="s">
        <v>290</v>
      </c>
      <c r="E98" s="34">
        <v>44158</v>
      </c>
      <c r="F98" s="34">
        <v>45984</v>
      </c>
      <c r="G98" s="34" t="s">
        <v>305</v>
      </c>
      <c r="H98" s="113" t="s">
        <v>117</v>
      </c>
      <c r="I98" s="6" t="s">
        <v>343</v>
      </c>
      <c r="J98" s="2" t="s">
        <v>326</v>
      </c>
      <c r="K98" s="126" t="s">
        <v>335</v>
      </c>
      <c r="L98" s="118" t="s">
        <v>170</v>
      </c>
      <c r="M98" s="27" t="s">
        <v>122</v>
      </c>
      <c r="N98" s="27">
        <v>508</v>
      </c>
      <c r="O98" s="3" t="s">
        <v>435</v>
      </c>
      <c r="P98" s="3" t="s">
        <v>435</v>
      </c>
      <c r="Q98" s="3" t="s">
        <v>435</v>
      </c>
      <c r="R98" s="140" t="s">
        <v>435</v>
      </c>
      <c r="S98" s="134">
        <f>SUM(Table2[[#This Row],[A1toA3_GWP]:[C1toC4_GWP]])</f>
        <v>140.61811023622022</v>
      </c>
      <c r="T98" s="25">
        <f>(-738)/Table2[[#This Row],[DENSITY]]*1000</f>
        <v>-1452.7559055118111</v>
      </c>
      <c r="U98" s="151">
        <f>(5.43+804+0.004)/Table2[[#This Row],[DENSITY]]*1000</f>
        <v>1593.3740157480313</v>
      </c>
      <c r="V98" s="101">
        <f t="shared" si="2"/>
        <v>1</v>
      </c>
      <c r="W98" s="160" cm="1">
        <f t="array" ref="W98">IF($V98&lt;&gt;0,
IF(AND(
                         S98&gt;=_xlfn.PERCENTILE.INC(_xlfn._xlws.FILTER($S$2:$S$148, ($J$2:$J$148=J98)*($V$2:$V$148=1)),0.1),
                         S98&lt;=_xlfn.PERCENTILE.INC(_xlfn._xlws.FILTER($S$2:$S$148, ($J$3:$J$149=J98)*($V$2:$V$148=1)),0.9)
               ),1,0),
0)</f>
        <v>1</v>
      </c>
      <c r="X98" s="167"/>
      <c r="Y98" s="2" t="s">
        <v>424</v>
      </c>
      <c r="Z98" s="70"/>
    </row>
    <row r="99" spans="1:26" customFormat="1" x14ac:dyDescent="0.25">
      <c r="A99" s="9" t="s">
        <v>313</v>
      </c>
      <c r="B99" s="106">
        <v>98</v>
      </c>
      <c r="C99" s="22" t="s">
        <v>311</v>
      </c>
      <c r="D99" s="3" t="s">
        <v>314</v>
      </c>
      <c r="E99" s="34">
        <v>44849</v>
      </c>
      <c r="F99" s="34">
        <v>46674</v>
      </c>
      <c r="G99" s="34" t="s">
        <v>71</v>
      </c>
      <c r="H99" s="113" t="s">
        <v>117</v>
      </c>
      <c r="I99" s="6" t="s">
        <v>343</v>
      </c>
      <c r="J99" s="2" t="s">
        <v>326</v>
      </c>
      <c r="K99" s="126" t="s">
        <v>335</v>
      </c>
      <c r="L99" s="118" t="s">
        <v>170</v>
      </c>
      <c r="M99" s="27" t="s">
        <v>122</v>
      </c>
      <c r="N99" s="27">
        <v>480</v>
      </c>
      <c r="O99" s="3" t="s">
        <v>435</v>
      </c>
      <c r="P99" s="3" t="s">
        <v>435</v>
      </c>
      <c r="Q99" s="3" t="s">
        <v>435</v>
      </c>
      <c r="R99" s="140" t="s">
        <v>435</v>
      </c>
      <c r="S99" s="134">
        <f>SUM(Table2[[#This Row],[A1toA3_GWP]:[C1toC4_GWP]])</f>
        <v>108.33333333333303</v>
      </c>
      <c r="T99" s="25">
        <f>(-697)/Table2[[#This Row],[DENSITY]]*1000</f>
        <v>-1452.0833333333335</v>
      </c>
      <c r="U99" s="151">
        <f>(0.42+2.58+746)/Table2[[#This Row],[DENSITY]]*1000</f>
        <v>1560.4166666666665</v>
      </c>
      <c r="V99" s="101">
        <f t="shared" si="2"/>
        <v>1</v>
      </c>
      <c r="W99" s="160" cm="1">
        <f t="array" ref="W99">IF($V99&lt;&gt;0,
IF(AND(
                         S99&gt;=_xlfn.PERCENTILE.INC(_xlfn._xlws.FILTER($S$2:$S$148, ($J$2:$J$148=J99)*($V$2:$V$148=1)),0.1),
                         S99&lt;=_xlfn.PERCENTILE.INC(_xlfn._xlws.FILTER($S$2:$S$148, ($J$3:$J$149=J99)*($V$2:$V$148=1)),0.9)
               ),1,0),
0)</f>
        <v>1</v>
      </c>
      <c r="X99" s="167"/>
      <c r="Y99" s="2" t="s">
        <v>428</v>
      </c>
      <c r="Z99" s="70"/>
    </row>
    <row r="100" spans="1:26" customFormat="1" x14ac:dyDescent="0.25">
      <c r="A100" s="9" t="s">
        <v>317</v>
      </c>
      <c r="B100" s="106">
        <v>99</v>
      </c>
      <c r="C100" s="22" t="s">
        <v>315</v>
      </c>
      <c r="D100" s="3" t="s">
        <v>316</v>
      </c>
      <c r="E100" s="34">
        <v>44406</v>
      </c>
      <c r="F100" s="34">
        <v>46151</v>
      </c>
      <c r="G100" s="34" t="s">
        <v>252</v>
      </c>
      <c r="H100" s="113" t="s">
        <v>117</v>
      </c>
      <c r="I100" s="6" t="s">
        <v>343</v>
      </c>
      <c r="J100" s="2" t="s">
        <v>326</v>
      </c>
      <c r="K100" s="126" t="s">
        <v>335</v>
      </c>
      <c r="L100" s="118" t="s">
        <v>170</v>
      </c>
      <c r="M100" s="27" t="s">
        <v>122</v>
      </c>
      <c r="N100" s="27">
        <v>503</v>
      </c>
      <c r="O100" s="3" t="s">
        <v>435</v>
      </c>
      <c r="P100" s="3" t="s">
        <v>435</v>
      </c>
      <c r="Q100" s="3" t="s">
        <v>435</v>
      </c>
      <c r="R100" s="140" t="s">
        <v>435</v>
      </c>
      <c r="S100" s="134">
        <f>SUM(Table2[[#This Row],[A1toA3_GWP]:[C1toC4_GWP]])</f>
        <v>221.63021868787291</v>
      </c>
      <c r="T100" s="25">
        <f>(-696)/Table2[[#This Row],[DENSITY]]*1000</f>
        <v>-1383.6978131212722</v>
      </c>
      <c r="U100" s="151">
        <f>(1.48+806)/Table2[[#This Row],[DENSITY]]*1000</f>
        <v>1605.3280318091452</v>
      </c>
      <c r="V100" s="101">
        <f t="shared" si="2"/>
        <v>1</v>
      </c>
      <c r="W100" s="160" cm="1">
        <f t="array" ref="W100">IF($V100&lt;&gt;0,
IF(AND(
                         S100&gt;=_xlfn.PERCENTILE.INC(_xlfn._xlws.FILTER($S$2:$S$148, ($J$2:$J$148=J100)*($V$2:$V$148=1)),0.1),
                         S100&lt;=_xlfn.PERCENTILE.INC(_xlfn._xlws.FILTER($S$2:$S$148, ($J$3:$J$149=J100)*($V$2:$V$148=1)),0.9)
               ),1,0),
0)</f>
        <v>1</v>
      </c>
      <c r="X100" s="167"/>
      <c r="Y100" s="2" t="s">
        <v>429</v>
      </c>
      <c r="Z100" s="70"/>
    </row>
    <row r="101" spans="1:26" customFormat="1" x14ac:dyDescent="0.25">
      <c r="A101" s="9" t="s">
        <v>319</v>
      </c>
      <c r="B101" s="106">
        <v>100</v>
      </c>
      <c r="C101" s="22" t="s">
        <v>318</v>
      </c>
      <c r="D101" s="3" t="s">
        <v>248</v>
      </c>
      <c r="E101" s="34">
        <v>44237</v>
      </c>
      <c r="F101" s="34">
        <v>46064</v>
      </c>
      <c r="G101" s="34" t="s">
        <v>320</v>
      </c>
      <c r="H101" s="113" t="s">
        <v>117</v>
      </c>
      <c r="I101" s="6" t="s">
        <v>343</v>
      </c>
      <c r="J101" s="2" t="s">
        <v>326</v>
      </c>
      <c r="K101" s="126" t="s">
        <v>335</v>
      </c>
      <c r="L101" s="118" t="s">
        <v>170</v>
      </c>
      <c r="M101" s="27" t="s">
        <v>122</v>
      </c>
      <c r="N101" s="27">
        <v>426</v>
      </c>
      <c r="O101" s="3" t="s">
        <v>435</v>
      </c>
      <c r="P101" s="3" t="s">
        <v>435</v>
      </c>
      <c r="Q101" s="3" t="s">
        <v>435</v>
      </c>
      <c r="R101" s="140" t="s">
        <v>435</v>
      </c>
      <c r="S101" s="134">
        <f>SUM(Table2[[#This Row],[A1toA3_GWP]:[C1toC4_GWP]])</f>
        <v>136.03286384976536</v>
      </c>
      <c r="T101" s="25">
        <f>(-698)/Table2[[#This Row],[DENSITY]]*1000</f>
        <v>-1638.4976525821596</v>
      </c>
      <c r="U101" s="151">
        <f>(1.95+754)/Table2[[#This Row],[DENSITY]]*1000</f>
        <v>1774.530516431925</v>
      </c>
      <c r="V101" s="101">
        <f t="shared" si="2"/>
        <v>1</v>
      </c>
      <c r="W101" s="160" cm="1">
        <f t="array" ref="W101">IF($V101&lt;&gt;0,
IF(AND(
                         S101&gt;=_xlfn.PERCENTILE.INC(_xlfn._xlws.FILTER($S$2:$S$148, ($J$2:$J$148=J101)*($V$2:$V$148=1)),0.1),
                         S101&lt;=_xlfn.PERCENTILE.INC(_xlfn._xlws.FILTER($S$2:$S$148, ($J$3:$J$149=J101)*($V$2:$V$148=1)),0.9)
               ),1,0),
0)</f>
        <v>1</v>
      </c>
      <c r="X101" s="167"/>
      <c r="Y101" s="2" t="s">
        <v>430</v>
      </c>
      <c r="Z101" s="70" t="s">
        <v>432</v>
      </c>
    </row>
    <row r="102" spans="1:26" customFormat="1" x14ac:dyDescent="0.25">
      <c r="A102" s="9" t="s">
        <v>321</v>
      </c>
      <c r="B102" s="106">
        <v>101</v>
      </c>
      <c r="C102" s="22" t="s">
        <v>322</v>
      </c>
      <c r="D102" s="3" t="s">
        <v>323</v>
      </c>
      <c r="E102" s="34">
        <v>44846</v>
      </c>
      <c r="F102" s="34">
        <v>46659</v>
      </c>
      <c r="G102" s="34" t="s">
        <v>324</v>
      </c>
      <c r="H102" s="113" t="s">
        <v>117</v>
      </c>
      <c r="I102" s="6" t="s">
        <v>343</v>
      </c>
      <c r="J102" s="2" t="s">
        <v>326</v>
      </c>
      <c r="K102" s="126" t="s">
        <v>335</v>
      </c>
      <c r="L102" s="118" t="s">
        <v>170</v>
      </c>
      <c r="M102" s="27" t="s">
        <v>122</v>
      </c>
      <c r="N102" s="27">
        <v>523</v>
      </c>
      <c r="O102" s="3" t="s">
        <v>435</v>
      </c>
      <c r="P102" s="3" t="s">
        <v>435</v>
      </c>
      <c r="Q102" s="3" t="s">
        <v>435</v>
      </c>
      <c r="R102" s="140" t="s">
        <v>435</v>
      </c>
      <c r="S102" s="134">
        <f>SUM(Table2[[#This Row],[A1toA3_GWP]:[C1toC4_GWP]])</f>
        <v>105.68068833651978</v>
      </c>
      <c r="T102" s="25">
        <f>(-752)/Table2[[#This Row],[DENSITY]]*1000</f>
        <v>-1437.8585086042067</v>
      </c>
      <c r="U102" s="151">
        <f>(0.341+6.93+800)/Table2[[#This Row],[DENSITY]]*1000</f>
        <v>1543.5391969407265</v>
      </c>
      <c r="V102" s="101">
        <f t="shared" si="2"/>
        <v>1</v>
      </c>
      <c r="W102" s="160" cm="1">
        <f t="array" ref="W102">IF($V102&lt;&gt;0,
IF(AND(
                         S102&gt;=_xlfn.PERCENTILE.INC(_xlfn._xlws.FILTER($S$2:$S$148, ($J$2:$J$148=J102)*($V$2:$V$148=1)),0.1),
                         S102&lt;=_xlfn.PERCENTILE.INC(_xlfn._xlws.FILTER($S$2:$S$148, ($J$3:$J$149=J102)*($V$2:$V$148=1)),0.9)
               ),1,0),
0)</f>
        <v>0</v>
      </c>
      <c r="X102" s="167"/>
      <c r="Y102" s="2" t="s">
        <v>434</v>
      </c>
      <c r="Z102" s="70" t="s">
        <v>433</v>
      </c>
    </row>
    <row r="103" spans="1:26" customFormat="1" ht="15.75" thickBot="1" x14ac:dyDescent="0.3">
      <c r="A103" s="10" t="s">
        <v>474</v>
      </c>
      <c r="B103" s="107">
        <v>102</v>
      </c>
      <c r="C103" s="40" t="s">
        <v>476</v>
      </c>
      <c r="D103" s="5" t="s">
        <v>477</v>
      </c>
      <c r="E103" s="37">
        <v>44312</v>
      </c>
      <c r="F103" s="37">
        <v>46138</v>
      </c>
      <c r="G103" s="37" t="s">
        <v>305</v>
      </c>
      <c r="H103" s="116" t="s">
        <v>105</v>
      </c>
      <c r="I103" s="7" t="s">
        <v>342</v>
      </c>
      <c r="J103" s="4" t="s">
        <v>326</v>
      </c>
      <c r="K103" s="127" t="s">
        <v>333</v>
      </c>
      <c r="L103" s="121" t="s">
        <v>170</v>
      </c>
      <c r="M103" s="30" t="s">
        <v>1</v>
      </c>
      <c r="N103" s="30">
        <v>468</v>
      </c>
      <c r="O103" s="5" t="s">
        <v>435</v>
      </c>
      <c r="P103" s="5" t="s">
        <v>435</v>
      </c>
      <c r="Q103" s="5" t="s">
        <v>435</v>
      </c>
      <c r="R103" s="143" t="s">
        <v>435</v>
      </c>
      <c r="S103" s="136">
        <f>SUM(Table2[[#This Row],[A1toA3_GWP]:[C1toC4_GWP]])</f>
        <v>80.555555555555657</v>
      </c>
      <c r="T103" s="24">
        <f>-726/Table2[[#This Row],[DENSITY]]*1000</f>
        <v>-1551.2820512820513</v>
      </c>
      <c r="U103" s="156">
        <f>(0.8+4.9+758)/Table2[[#This Row],[DENSITY]]*1000</f>
        <v>1631.8376068376069</v>
      </c>
      <c r="V103" s="146">
        <f>IF(OR($D103="Ecoinvent",$D103="Betonsortenrechner",$D103="KBOB",$S103&lt;=0),0,1)</f>
        <v>1</v>
      </c>
      <c r="W103" s="188" cm="1">
        <f t="array" ref="W103">IF($V103&lt;&gt;0,
IF(AND(
                         S103&gt;=_xlfn.PERCENTILE.INC(_xlfn._xlws.FILTER($S$2:$S$148, ($K$2:$K$148=K103)*($V$2:$V$148=1)),0.1),
                         S103&lt;=_xlfn.PERCENTILE.INC(_xlfn._xlws.FILTER($S$2:$S$148, ($K$2:$K$148=K103)*($V$2:$V$148=1)),0.9)
               ),1,0),
0)</f>
        <v>0</v>
      </c>
      <c r="X103" s="170"/>
      <c r="Y103" s="4" t="s">
        <v>475</v>
      </c>
      <c r="Z103" s="40"/>
    </row>
    <row r="104" spans="1:26" s="16" customFormat="1" hidden="1" x14ac:dyDescent="0.25">
      <c r="A104" s="9" t="s">
        <v>376</v>
      </c>
      <c r="B104" s="106">
        <v>103</v>
      </c>
      <c r="C104" s="17"/>
      <c r="D104" s="18" t="s">
        <v>4</v>
      </c>
      <c r="E104" s="39"/>
      <c r="F104" s="39"/>
      <c r="G104" s="32" t="s">
        <v>54</v>
      </c>
      <c r="H104" s="115" t="s">
        <v>138</v>
      </c>
      <c r="I104" s="21" t="s">
        <v>339</v>
      </c>
      <c r="J104" s="17" t="s">
        <v>329</v>
      </c>
      <c r="K104" s="128" t="s">
        <v>331</v>
      </c>
      <c r="L104" s="17" t="s">
        <v>435</v>
      </c>
      <c r="M104" s="32"/>
      <c r="N104" s="32">
        <v>7850</v>
      </c>
      <c r="O104" s="18" t="s">
        <v>435</v>
      </c>
      <c r="P104" s="18" t="s">
        <v>435</v>
      </c>
      <c r="Q104" s="18" t="s">
        <v>435</v>
      </c>
      <c r="R104" s="144" t="s">
        <v>435</v>
      </c>
      <c r="S104" s="137">
        <f>SUM(Table2[[#This Row],[A1toA3_GWP]:[C1toC4_GWP]])</f>
        <v>737</v>
      </c>
      <c r="T104" s="91">
        <f>0.73*1000</f>
        <v>730</v>
      </c>
      <c r="U104" s="155">
        <f>0.007*1000</f>
        <v>7</v>
      </c>
      <c r="V104" s="54">
        <f t="shared" si="2"/>
        <v>0</v>
      </c>
      <c r="W104" s="158" cm="1">
        <f t="array" ref="W104">IF($V104&lt;&gt;0,
IF(AND(
                         S104&gt;=_xlfn.PERCENTILE.INC(_xlfn._xlws.FILTER($S$2:$S$148, ($K$2:$K$148=K104)*($V$2:$V$148=1)),0.1),
                         S104&lt;=_xlfn.PERCENTILE.INC(_xlfn._xlws.FILTER($S$2:$S$148, ($K$2:$K$148=K104)*($V$2:$V$148=1)),0.9)
               ),1,0),
0)</f>
        <v>0</v>
      </c>
      <c r="X104" s="171"/>
      <c r="Y104" s="197" t="s">
        <v>502</v>
      </c>
      <c r="Z104" s="70"/>
    </row>
    <row r="105" spans="1:26" customFormat="1" hidden="1" x14ac:dyDescent="0.25">
      <c r="A105" s="9" t="s">
        <v>377</v>
      </c>
      <c r="B105" s="106">
        <v>104</v>
      </c>
      <c r="C105" s="2" t="s">
        <v>134</v>
      </c>
      <c r="D105" s="3" t="s">
        <v>135</v>
      </c>
      <c r="E105" s="34">
        <v>43398</v>
      </c>
      <c r="F105" s="34">
        <v>45223</v>
      </c>
      <c r="G105" s="27" t="s">
        <v>55</v>
      </c>
      <c r="H105" s="113" t="s">
        <v>138</v>
      </c>
      <c r="I105" s="6" t="s">
        <v>339</v>
      </c>
      <c r="J105" s="2" t="s">
        <v>329</v>
      </c>
      <c r="K105" s="126" t="s">
        <v>331</v>
      </c>
      <c r="L105" s="2" t="s">
        <v>435</v>
      </c>
      <c r="M105" s="27"/>
      <c r="N105" s="27">
        <v>7850</v>
      </c>
      <c r="O105" s="3" t="s">
        <v>435</v>
      </c>
      <c r="P105" s="3" t="s">
        <v>435</v>
      </c>
      <c r="Q105" s="3" t="s">
        <v>435</v>
      </c>
      <c r="R105" s="140" t="s">
        <v>435</v>
      </c>
      <c r="S105" s="92">
        <f>SUM(Table2[[#This Row],[A1toA3_GWP]:[C1toC4_GWP]])</f>
        <v>1131.8399999999999</v>
      </c>
      <c r="T105" s="93">
        <v>1130</v>
      </c>
      <c r="U105" s="151">
        <v>1.84</v>
      </c>
      <c r="V105" s="54">
        <f t="shared" si="2"/>
        <v>1</v>
      </c>
      <c r="W105" s="158" cm="1">
        <f t="array" ref="W105">IF($V105&lt;&gt;0,
IF(AND(
                         S105&gt;=_xlfn.PERCENTILE.INC(_xlfn._xlws.FILTER($S$2:$S$148, ($K$2:$K$148=K105)*($V$2:$V$148=1)),0.1),
                         S105&lt;=_xlfn.PERCENTILE.INC(_xlfn._xlws.FILTER($S$2:$S$148, ($K$2:$K$148=K105)*($V$2:$V$148=1)),0.9)
               ),1,0),
0)</f>
        <v>1</v>
      </c>
      <c r="X105" s="167"/>
      <c r="Y105" s="198" t="s">
        <v>502</v>
      </c>
      <c r="Z105" s="70"/>
    </row>
    <row r="106" spans="1:26" customFormat="1" hidden="1" x14ac:dyDescent="0.25">
      <c r="A106" s="9" t="s">
        <v>378</v>
      </c>
      <c r="B106" s="106">
        <v>105</v>
      </c>
      <c r="C106" s="2" t="s">
        <v>136</v>
      </c>
      <c r="D106" s="3" t="s">
        <v>137</v>
      </c>
      <c r="E106" s="34">
        <v>41803</v>
      </c>
      <c r="F106" s="34">
        <v>43628</v>
      </c>
      <c r="G106" s="27" t="s">
        <v>54</v>
      </c>
      <c r="H106" s="113" t="s">
        <v>138</v>
      </c>
      <c r="I106" s="6" t="s">
        <v>339</v>
      </c>
      <c r="J106" s="2" t="s">
        <v>329</v>
      </c>
      <c r="K106" s="126" t="s">
        <v>331</v>
      </c>
      <c r="L106" s="2" t="s">
        <v>435</v>
      </c>
      <c r="M106" s="27"/>
      <c r="N106" s="27">
        <v>7850</v>
      </c>
      <c r="O106" s="3" t="s">
        <v>435</v>
      </c>
      <c r="P106" s="3" t="s">
        <v>435</v>
      </c>
      <c r="Q106" s="3" t="s">
        <v>435</v>
      </c>
      <c r="R106" s="140" t="s">
        <v>435</v>
      </c>
      <c r="S106" s="92">
        <f>SUM(Table2[[#This Row],[A1toA3_GWP]:[C1toC4_GWP]])</f>
        <v>728</v>
      </c>
      <c r="T106" s="93">
        <f>0.728*1000</f>
        <v>728</v>
      </c>
      <c r="U106" s="151">
        <v>0</v>
      </c>
      <c r="V106" s="54">
        <f t="shared" si="2"/>
        <v>1</v>
      </c>
      <c r="W106" s="158" cm="1">
        <f t="array" ref="W106">IF($V106&lt;&gt;0,
IF(AND(
                         S106&gt;=_xlfn.PERCENTILE.INC(_xlfn._xlws.FILTER($S$2:$S$148, ($K$2:$K$148=K106)*($V$2:$V$148=1)),0.1),
                         S106&lt;=_xlfn.PERCENTILE.INC(_xlfn._xlws.FILTER($S$2:$S$148, ($K$2:$K$148=K106)*($V$2:$V$148=1)),0.9)
               ),1,0),
0)</f>
        <v>1</v>
      </c>
      <c r="X106" s="167"/>
      <c r="Y106" s="198" t="s">
        <v>502</v>
      </c>
      <c r="Z106" s="70"/>
    </row>
    <row r="107" spans="1:26" customFormat="1" hidden="1" x14ac:dyDescent="0.25">
      <c r="A107" s="9" t="s">
        <v>379</v>
      </c>
      <c r="B107" s="106">
        <v>106</v>
      </c>
      <c r="C107" s="2" t="s">
        <v>139</v>
      </c>
      <c r="D107" s="3" t="s">
        <v>140</v>
      </c>
      <c r="E107" s="34">
        <v>45362</v>
      </c>
      <c r="F107" s="34">
        <v>47190</v>
      </c>
      <c r="G107" s="27" t="s">
        <v>55</v>
      </c>
      <c r="H107" s="113" t="s">
        <v>145</v>
      </c>
      <c r="I107" s="6" t="s">
        <v>339</v>
      </c>
      <c r="J107" s="2" t="s">
        <v>329</v>
      </c>
      <c r="K107" s="126" t="s">
        <v>331</v>
      </c>
      <c r="L107" s="2" t="s">
        <v>435</v>
      </c>
      <c r="M107" s="27"/>
      <c r="N107" s="27">
        <v>7850</v>
      </c>
      <c r="O107" s="3" t="s">
        <v>435</v>
      </c>
      <c r="P107" s="3" t="s">
        <v>435</v>
      </c>
      <c r="Q107" s="3" t="s">
        <v>435</v>
      </c>
      <c r="R107" s="140" t="s">
        <v>435</v>
      </c>
      <c r="S107" s="92">
        <f>SUM(Table2[[#This Row],[A1toA3_GWP]:[C1toC4_GWP]])</f>
        <v>352.01</v>
      </c>
      <c r="T107" s="93">
        <v>335</v>
      </c>
      <c r="U107" s="151">
        <f>2.51+14.5</f>
        <v>17.009999999999998</v>
      </c>
      <c r="V107" s="54">
        <f t="shared" si="2"/>
        <v>1</v>
      </c>
      <c r="W107" s="158" cm="1">
        <f t="array" ref="W107">IF($V107&lt;&gt;0,
IF(AND(
                         S107&gt;=_xlfn.PERCENTILE.INC(_xlfn._xlws.FILTER($S$2:$S$148, ($K$2:$K$148=K107)*($V$2:$V$148=1)),0.1),
                         S107&lt;=_xlfn.PERCENTILE.INC(_xlfn._xlws.FILTER($S$2:$S$148, ($K$2:$K$148=K107)*($V$2:$V$148=1)),0.9)
               ),1,0),
0)</f>
        <v>1</v>
      </c>
      <c r="X107" s="167"/>
      <c r="Y107" s="198" t="s">
        <v>502</v>
      </c>
      <c r="Z107" s="70"/>
    </row>
    <row r="108" spans="1:26" customFormat="1" hidden="1" x14ac:dyDescent="0.25">
      <c r="A108" s="9" t="s">
        <v>380</v>
      </c>
      <c r="B108" s="106">
        <v>107</v>
      </c>
      <c r="C108" s="2" t="s">
        <v>141</v>
      </c>
      <c r="D108" s="3" t="s">
        <v>142</v>
      </c>
      <c r="E108" s="34">
        <v>44396</v>
      </c>
      <c r="F108" s="34">
        <v>46221</v>
      </c>
      <c r="G108" s="27" t="s">
        <v>143</v>
      </c>
      <c r="H108" s="113" t="s">
        <v>144</v>
      </c>
      <c r="I108" s="6" t="s">
        <v>339</v>
      </c>
      <c r="J108" s="2" t="s">
        <v>329</v>
      </c>
      <c r="K108" s="126" t="s">
        <v>331</v>
      </c>
      <c r="L108" s="2" t="s">
        <v>435</v>
      </c>
      <c r="M108" s="27"/>
      <c r="N108" s="27">
        <v>7850</v>
      </c>
      <c r="O108" s="3" t="s">
        <v>435</v>
      </c>
      <c r="P108" s="3" t="s">
        <v>435</v>
      </c>
      <c r="Q108" s="3" t="s">
        <v>435</v>
      </c>
      <c r="R108" s="140" t="s">
        <v>435</v>
      </c>
      <c r="S108" s="92">
        <f>SUM(Table2[[#This Row],[A1toA3_GWP]:[C1toC4_GWP]])</f>
        <v>348.9</v>
      </c>
      <c r="T108" s="93">
        <v>333</v>
      </c>
      <c r="U108" s="151">
        <f>1.6+14.3</f>
        <v>15.9</v>
      </c>
      <c r="V108" s="54">
        <f t="shared" si="2"/>
        <v>1</v>
      </c>
      <c r="W108" s="158" cm="1">
        <f t="array" ref="W108">IF($V108&lt;&gt;0,
IF(AND(
                         S108&gt;=_xlfn.PERCENTILE.INC(_xlfn._xlws.FILTER($S$2:$S$148, ($K$2:$K$148=K108)*($V$2:$V$148=1)),0.1),
                         S108&lt;=_xlfn.PERCENTILE.INC(_xlfn._xlws.FILTER($S$2:$S$148, ($K$2:$K$148=K108)*($V$2:$V$148=1)),0.9)
               ),1,0),
0)</f>
        <v>0</v>
      </c>
      <c r="X108" s="167"/>
      <c r="Y108" s="198" t="s">
        <v>502</v>
      </c>
      <c r="Z108" s="70"/>
    </row>
    <row r="109" spans="1:26" customFormat="1" hidden="1" x14ac:dyDescent="0.25">
      <c r="A109" s="9" t="s">
        <v>381</v>
      </c>
      <c r="B109" s="106">
        <v>108</v>
      </c>
      <c r="C109" s="2" t="s">
        <v>146</v>
      </c>
      <c r="D109" s="3" t="s">
        <v>147</v>
      </c>
      <c r="E109" s="34">
        <v>45205</v>
      </c>
      <c r="F109" s="34">
        <v>47031</v>
      </c>
      <c r="G109" s="27" t="s">
        <v>55</v>
      </c>
      <c r="H109" s="113" t="s">
        <v>138</v>
      </c>
      <c r="I109" s="6" t="s">
        <v>339</v>
      </c>
      <c r="J109" s="2" t="s">
        <v>329</v>
      </c>
      <c r="K109" s="126" t="s">
        <v>331</v>
      </c>
      <c r="L109" s="2" t="s">
        <v>435</v>
      </c>
      <c r="M109" s="27"/>
      <c r="N109" s="27">
        <v>7850</v>
      </c>
      <c r="O109" s="3" t="s">
        <v>435</v>
      </c>
      <c r="P109" s="3" t="s">
        <v>435</v>
      </c>
      <c r="Q109" s="3" t="s">
        <v>435</v>
      </c>
      <c r="R109" s="140" t="s">
        <v>435</v>
      </c>
      <c r="S109" s="92">
        <f>SUM(Table2[[#This Row],[A1toA3_GWP]:[C1toC4_GWP]])</f>
        <v>564.70000000000005</v>
      </c>
      <c r="T109" s="93">
        <v>560</v>
      </c>
      <c r="U109" s="151">
        <f>2.19+2.51</f>
        <v>4.6999999999999993</v>
      </c>
      <c r="V109" s="54">
        <f t="shared" si="2"/>
        <v>1</v>
      </c>
      <c r="W109" s="158" cm="1">
        <f t="array" ref="W109">IF($V109&lt;&gt;0,
IF(AND(
                         S109&gt;=_xlfn.PERCENTILE.INC(_xlfn._xlws.FILTER($S$2:$S$148, ($K$2:$K$148=K109)*($V$2:$V$148=1)),0.1),
                         S109&lt;=_xlfn.PERCENTILE.INC(_xlfn._xlws.FILTER($S$2:$S$148, ($K$2:$K$148=K109)*($V$2:$V$148=1)),0.9)
               ),1,0),
0)</f>
        <v>1</v>
      </c>
      <c r="X109" s="167"/>
      <c r="Y109" s="198" t="s">
        <v>502</v>
      </c>
      <c r="Z109" s="70"/>
    </row>
    <row r="110" spans="1:26" customFormat="1" hidden="1" x14ac:dyDescent="0.25">
      <c r="A110" s="9" t="s">
        <v>382</v>
      </c>
      <c r="B110" s="106">
        <v>109</v>
      </c>
      <c r="C110" s="2" t="s">
        <v>149</v>
      </c>
      <c r="D110" s="3" t="s">
        <v>148</v>
      </c>
      <c r="E110" s="34">
        <v>43455</v>
      </c>
      <c r="F110" s="34">
        <v>45280</v>
      </c>
      <c r="G110" s="27" t="s">
        <v>55</v>
      </c>
      <c r="H110" s="113" t="s">
        <v>150</v>
      </c>
      <c r="I110" s="6" t="s">
        <v>339</v>
      </c>
      <c r="J110" s="2" t="s">
        <v>329</v>
      </c>
      <c r="K110" s="126" t="s">
        <v>331</v>
      </c>
      <c r="L110" s="2" t="s">
        <v>435</v>
      </c>
      <c r="M110" s="27"/>
      <c r="N110" s="27">
        <v>7850</v>
      </c>
      <c r="O110" s="3" t="s">
        <v>435</v>
      </c>
      <c r="P110" s="3" t="s">
        <v>435</v>
      </c>
      <c r="Q110" s="3" t="s">
        <v>435</v>
      </c>
      <c r="R110" s="140" t="s">
        <v>435</v>
      </c>
      <c r="S110" s="92">
        <f>SUM(Table2[[#This Row],[A1toA3_GWP]:[C1toC4_GWP]])</f>
        <v>1322.21</v>
      </c>
      <c r="T110" s="93">
        <v>1320</v>
      </c>
      <c r="U110" s="151">
        <v>2.21</v>
      </c>
      <c r="V110" s="54">
        <f t="shared" si="2"/>
        <v>1</v>
      </c>
      <c r="W110" s="158" cm="1">
        <f t="array" ref="W110">IF($V110&lt;&gt;0,
IF(AND(
                         S110&gt;=_xlfn.PERCENTILE.INC(_xlfn._xlws.FILTER($S$2:$S$148, ($K$2:$K$148=K110)*($V$2:$V$148=1)),0.1),
                         S110&lt;=_xlfn.PERCENTILE.INC(_xlfn._xlws.FILTER($S$2:$S$148, ($K$2:$K$148=K110)*($V$2:$V$148=1)),0.9)
               ),1,0),
0)</f>
        <v>0</v>
      </c>
      <c r="X110" s="167"/>
      <c r="Y110" s="198" t="s">
        <v>502</v>
      </c>
      <c r="Z110" s="70"/>
    </row>
    <row r="111" spans="1:26" customFormat="1" hidden="1" x14ac:dyDescent="0.25">
      <c r="A111" s="187" t="s">
        <v>449</v>
      </c>
      <c r="B111" s="106">
        <v>110</v>
      </c>
      <c r="C111" s="2" t="s">
        <v>452</v>
      </c>
      <c r="D111" s="3" t="s">
        <v>450</v>
      </c>
      <c r="E111" s="34">
        <v>44498</v>
      </c>
      <c r="F111" s="34">
        <v>46323</v>
      </c>
      <c r="G111" s="27" t="s">
        <v>250</v>
      </c>
      <c r="H111" s="113" t="s">
        <v>138</v>
      </c>
      <c r="I111" s="6" t="s">
        <v>339</v>
      </c>
      <c r="J111" s="2" t="s">
        <v>451</v>
      </c>
      <c r="K111" s="126" t="s">
        <v>331</v>
      </c>
      <c r="L111" s="2" t="s">
        <v>435</v>
      </c>
      <c r="M111" s="27"/>
      <c r="N111" s="27">
        <v>7850</v>
      </c>
      <c r="O111" s="3" t="s">
        <v>435</v>
      </c>
      <c r="P111" s="3" t="s">
        <v>435</v>
      </c>
      <c r="Q111" s="3" t="s">
        <v>435</v>
      </c>
      <c r="R111" s="140" t="s">
        <v>435</v>
      </c>
      <c r="S111" s="92">
        <f>SUM(Table2[[#This Row],[A1toA3_GWP]:[C1toC4_GWP]])</f>
        <v>996.27</v>
      </c>
      <c r="T111" s="93">
        <f>0.964*1000</f>
        <v>964</v>
      </c>
      <c r="U111" s="151">
        <f>(0.003+0.00827+0.021)*1000</f>
        <v>32.270000000000003</v>
      </c>
      <c r="V111" s="54">
        <f t="shared" ref="V111:V117" si="3">IF(OR($D111="Ecoinvent",$D111="Betonsortenrechner",$D111="KBOB",$S111&lt;=0),0,1)</f>
        <v>1</v>
      </c>
      <c r="W111" s="158" cm="1">
        <f t="array" ref="W111">IF($V111&lt;&gt;0,
IF(AND(
                         S111&gt;=_xlfn.PERCENTILE.INC(_xlfn._xlws.FILTER($S$2:$S$148, ($K$2:$K$148=K111)*($V$2:$V$148=1)),0.1),
                         S111&lt;=_xlfn.PERCENTILE.INC(_xlfn._xlws.FILTER($S$2:$S$148, ($K$2:$K$148=K111)*($V$2:$V$148=1)),0.9)
               ),1,0),
0)</f>
        <v>1</v>
      </c>
      <c r="X111" s="167"/>
      <c r="Y111" s="198" t="s">
        <v>502</v>
      </c>
      <c r="Z111" s="70"/>
    </row>
    <row r="112" spans="1:26" customFormat="1" hidden="1" x14ac:dyDescent="0.25">
      <c r="A112" s="187" t="s">
        <v>453</v>
      </c>
      <c r="B112" s="106">
        <v>111</v>
      </c>
      <c r="C112" s="2" t="s">
        <v>146</v>
      </c>
      <c r="D112" s="3" t="s">
        <v>135</v>
      </c>
      <c r="E112" s="34">
        <v>45205</v>
      </c>
      <c r="F112" s="34">
        <v>47031</v>
      </c>
      <c r="G112" s="27" t="s">
        <v>55</v>
      </c>
      <c r="H112" s="113" t="s">
        <v>138</v>
      </c>
      <c r="I112" s="6" t="s">
        <v>339</v>
      </c>
      <c r="J112" s="2" t="s">
        <v>451</v>
      </c>
      <c r="K112" s="126" t="s">
        <v>331</v>
      </c>
      <c r="L112" s="2" t="s">
        <v>435</v>
      </c>
      <c r="M112" s="27"/>
      <c r="N112" s="27">
        <v>7850</v>
      </c>
      <c r="O112" s="3" t="s">
        <v>435</v>
      </c>
      <c r="P112" s="3" t="s">
        <v>435</v>
      </c>
      <c r="Q112" s="3" t="s">
        <v>435</v>
      </c>
      <c r="R112" s="140" t="s">
        <v>435</v>
      </c>
      <c r="S112" s="92">
        <f>SUM(Table2[[#This Row],[A1toA3_GWP]:[C1toC4_GWP]])</f>
        <v>560</v>
      </c>
      <c r="T112" s="93">
        <v>560</v>
      </c>
      <c r="U112" s="151">
        <v>0</v>
      </c>
      <c r="V112" s="54">
        <f t="shared" si="3"/>
        <v>1</v>
      </c>
      <c r="W112" s="158" cm="1">
        <f t="array" ref="W112">IF($V112&lt;&gt;0,
IF(AND(
                         S112&gt;=_xlfn.PERCENTILE.INC(_xlfn._xlws.FILTER($S$2:$S$148, ($K$2:$K$148=K112)*($V$2:$V$148=1)),0.1),
                         S112&lt;=_xlfn.PERCENTILE.INC(_xlfn._xlws.FILTER($S$2:$S$148, ($K$2:$K$148=K112)*($V$2:$V$148=1)),0.9)
               ),1,0),
0)</f>
        <v>1</v>
      </c>
      <c r="X112" s="167"/>
      <c r="Y112" s="198" t="s">
        <v>502</v>
      </c>
      <c r="Z112" s="70"/>
    </row>
    <row r="113" spans="1:26" customFormat="1" hidden="1" x14ac:dyDescent="0.25">
      <c r="A113" s="187" t="s">
        <v>456</v>
      </c>
      <c r="B113" s="106">
        <v>112</v>
      </c>
      <c r="C113" s="2" t="s">
        <v>454</v>
      </c>
      <c r="D113" s="3" t="s">
        <v>455</v>
      </c>
      <c r="E113" s="34">
        <v>43758</v>
      </c>
      <c r="F113" s="34">
        <v>45584</v>
      </c>
      <c r="G113" s="27" t="s">
        <v>57</v>
      </c>
      <c r="H113" s="113" t="s">
        <v>138</v>
      </c>
      <c r="I113" s="6" t="s">
        <v>339</v>
      </c>
      <c r="J113" s="2" t="s">
        <v>451</v>
      </c>
      <c r="K113" s="126" t="s">
        <v>331</v>
      </c>
      <c r="L113" s="2" t="s">
        <v>435</v>
      </c>
      <c r="M113" s="27"/>
      <c r="N113" s="27">
        <v>7850</v>
      </c>
      <c r="O113" s="3" t="s">
        <v>435</v>
      </c>
      <c r="P113" s="3" t="s">
        <v>435</v>
      </c>
      <c r="Q113" s="3" t="s">
        <v>435</v>
      </c>
      <c r="R113" s="140" t="s">
        <v>435</v>
      </c>
      <c r="S113" s="92">
        <f>SUM(Table2[[#This Row],[A1toA3_GWP]:[C1toC4_GWP]])</f>
        <v>780</v>
      </c>
      <c r="T113" s="93">
        <v>780</v>
      </c>
      <c r="U113" s="151" t="s">
        <v>306</v>
      </c>
      <c r="V113" s="54">
        <f t="shared" si="3"/>
        <v>1</v>
      </c>
      <c r="W113" s="158" cm="1">
        <f t="array" ref="W113">IF($V113&lt;&gt;0,
IF(AND(
                         S113&gt;=_xlfn.PERCENTILE.INC(_xlfn._xlws.FILTER($S$2:$S$148, ($K$2:$K$148=K113)*($V$2:$V$148=1)),0.1),
                         S113&lt;=_xlfn.PERCENTILE.INC(_xlfn._xlws.FILTER($S$2:$S$148, ($K$2:$K$148=K113)*($V$2:$V$148=1)),0.9)
               ),1,0),
0)</f>
        <v>1</v>
      </c>
      <c r="X113" s="167"/>
      <c r="Y113" s="198" t="s">
        <v>502</v>
      </c>
      <c r="Z113" s="70"/>
    </row>
    <row r="114" spans="1:26" customFormat="1" hidden="1" x14ac:dyDescent="0.25">
      <c r="A114" s="187" t="s">
        <v>457</v>
      </c>
      <c r="B114" s="106">
        <v>113</v>
      </c>
      <c r="C114" s="2" t="s">
        <v>459</v>
      </c>
      <c r="D114" s="3" t="s">
        <v>49</v>
      </c>
      <c r="E114" s="34">
        <v>44627</v>
      </c>
      <c r="F114" s="34">
        <v>46404</v>
      </c>
      <c r="G114" s="27" t="s">
        <v>54</v>
      </c>
      <c r="H114" s="113" t="s">
        <v>138</v>
      </c>
      <c r="I114" s="6" t="s">
        <v>339</v>
      </c>
      <c r="J114" s="2" t="s">
        <v>451</v>
      </c>
      <c r="K114" s="126" t="s">
        <v>331</v>
      </c>
      <c r="L114" s="2" t="s">
        <v>435</v>
      </c>
      <c r="M114" s="27"/>
      <c r="N114" s="27">
        <v>7850</v>
      </c>
      <c r="O114" s="3" t="s">
        <v>435</v>
      </c>
      <c r="P114" s="3" t="s">
        <v>435</v>
      </c>
      <c r="Q114" s="3" t="s">
        <v>435</v>
      </c>
      <c r="R114" s="140" t="s">
        <v>435</v>
      </c>
      <c r="S114" s="92">
        <f>SUM(Table2[[#This Row],[A1toA3_GWP]:[C1toC4_GWP]])</f>
        <v>614.54</v>
      </c>
      <c r="T114" s="93">
        <f>215+18.9+301</f>
        <v>534.9</v>
      </c>
      <c r="U114" s="151">
        <f>51+26+2.64</f>
        <v>79.64</v>
      </c>
      <c r="V114" s="54">
        <f t="shared" si="3"/>
        <v>1</v>
      </c>
      <c r="W114" s="158" cm="1">
        <f t="array" ref="W114">IF($V114&lt;&gt;0,
IF(AND(
                         S114&gt;=_xlfn.PERCENTILE.INC(_xlfn._xlws.FILTER($S$2:$S$148, ($K$2:$K$148=K114)*($V$2:$V$148=1)),0.1),
                         S114&lt;=_xlfn.PERCENTILE.INC(_xlfn._xlws.FILTER($S$2:$S$148, ($K$2:$K$148=K114)*($V$2:$V$148=1)),0.9)
               ),1,0),
0)</f>
        <v>1</v>
      </c>
      <c r="X114" s="167"/>
      <c r="Y114" s="198" t="s">
        <v>502</v>
      </c>
      <c r="Z114" s="70"/>
    </row>
    <row r="115" spans="1:26" customFormat="1" hidden="1" x14ac:dyDescent="0.25">
      <c r="A115" s="187" t="s">
        <v>458</v>
      </c>
      <c r="B115" s="106">
        <v>114</v>
      </c>
      <c r="C115" s="2" t="s">
        <v>461</v>
      </c>
      <c r="D115" s="3" t="s">
        <v>460</v>
      </c>
      <c r="E115" s="34">
        <v>45134</v>
      </c>
      <c r="F115" s="34">
        <v>46960</v>
      </c>
      <c r="G115" s="27" t="s">
        <v>55</v>
      </c>
      <c r="H115" s="113" t="s">
        <v>138</v>
      </c>
      <c r="I115" s="6" t="s">
        <v>339</v>
      </c>
      <c r="J115" s="2" t="s">
        <v>451</v>
      </c>
      <c r="K115" s="126" t="s">
        <v>331</v>
      </c>
      <c r="L115" s="2" t="s">
        <v>435</v>
      </c>
      <c r="M115" s="27"/>
      <c r="N115" s="27">
        <v>7850</v>
      </c>
      <c r="O115" s="3" t="s">
        <v>435</v>
      </c>
      <c r="P115" s="3" t="s">
        <v>435</v>
      </c>
      <c r="Q115" s="3" t="s">
        <v>435</v>
      </c>
      <c r="R115" s="140" t="s">
        <v>435</v>
      </c>
      <c r="S115" s="92">
        <f>SUM(Table2[[#This Row],[A1toA3_GWP]:[C1toC4_GWP]])</f>
        <v>838.41</v>
      </c>
      <c r="T115" s="93">
        <v>688</v>
      </c>
      <c r="U115" s="151">
        <f>5.41+145</f>
        <v>150.41</v>
      </c>
      <c r="V115" s="54">
        <f t="shared" si="3"/>
        <v>1</v>
      </c>
      <c r="W115" s="158" cm="1">
        <f t="array" ref="W115">IF($V115&lt;&gt;0,
IF(AND(
                         S115&gt;=_xlfn.PERCENTILE.INC(_xlfn._xlws.FILTER($S$2:$S$148, ($K$2:$K$148=K115)*($V$2:$V$148=1)),0.1),
                         S115&lt;=_xlfn.PERCENTILE.INC(_xlfn._xlws.FILTER($S$2:$S$148, ($K$2:$K$148=K115)*($V$2:$V$148=1)),0.9)
               ),1,0),
0)</f>
        <v>1</v>
      </c>
      <c r="X115" s="167"/>
      <c r="Y115" s="2" t="s">
        <v>502</v>
      </c>
      <c r="Z115" s="70"/>
    </row>
    <row r="116" spans="1:26" customFormat="1" hidden="1" x14ac:dyDescent="0.25">
      <c r="A116" s="187" t="s">
        <v>462</v>
      </c>
      <c r="B116" s="106">
        <v>115</v>
      </c>
      <c r="C116" s="2" t="s">
        <v>468</v>
      </c>
      <c r="D116" s="3" t="s">
        <v>467</v>
      </c>
      <c r="E116" s="34">
        <v>45133</v>
      </c>
      <c r="F116" s="34">
        <v>46228</v>
      </c>
      <c r="G116" s="27" t="s">
        <v>466</v>
      </c>
      <c r="H116" s="113" t="s">
        <v>138</v>
      </c>
      <c r="I116" s="6" t="s">
        <v>339</v>
      </c>
      <c r="J116" s="2" t="s">
        <v>451</v>
      </c>
      <c r="K116" s="126" t="s">
        <v>331</v>
      </c>
      <c r="L116" s="2" t="s">
        <v>435</v>
      </c>
      <c r="M116" s="27"/>
      <c r="N116" s="27">
        <v>7850</v>
      </c>
      <c r="O116" s="3" t="s">
        <v>435</v>
      </c>
      <c r="P116" s="3" t="s">
        <v>435</v>
      </c>
      <c r="Q116" s="3" t="s">
        <v>435</v>
      </c>
      <c r="R116" s="140" t="s">
        <v>435</v>
      </c>
      <c r="S116" s="92">
        <f>SUM(Table2[[#This Row],[A1toA3_GWP]:[C1toC4_GWP]])</f>
        <v>1201.78</v>
      </c>
      <c r="T116" s="93">
        <v>1160</v>
      </c>
      <c r="U116" s="151">
        <f>40.6+1.18</f>
        <v>41.78</v>
      </c>
      <c r="V116" s="54">
        <f t="shared" si="3"/>
        <v>1</v>
      </c>
      <c r="W116" s="158" cm="1">
        <f t="array" ref="W116">IF($V116&lt;&gt;0,
IF(AND(
                         S116&gt;=_xlfn.PERCENTILE.INC(_xlfn._xlws.FILTER($S$2:$S$148, ($K$2:$K$148=K116)*($V$2:$V$148=1)),0.1),
                         S116&lt;=_xlfn.PERCENTILE.INC(_xlfn._xlws.FILTER($S$2:$S$148, ($K$2:$K$148=K116)*($V$2:$V$148=1)),0.9)
               ),1,0),
0)</f>
        <v>1</v>
      </c>
      <c r="X116" s="167"/>
      <c r="Y116" s="2" t="s">
        <v>502</v>
      </c>
      <c r="Z116" s="70"/>
    </row>
    <row r="117" spans="1:26" customFormat="1" hidden="1" x14ac:dyDescent="0.25">
      <c r="A117" s="187" t="s">
        <v>463</v>
      </c>
      <c r="B117" s="106">
        <v>116</v>
      </c>
      <c r="C117" s="2" t="s">
        <v>471</v>
      </c>
      <c r="D117" s="3" t="s">
        <v>469</v>
      </c>
      <c r="E117" s="34">
        <v>45041</v>
      </c>
      <c r="F117" s="34">
        <v>46863</v>
      </c>
      <c r="G117" s="27" t="s">
        <v>470</v>
      </c>
      <c r="H117" s="113" t="s">
        <v>138</v>
      </c>
      <c r="I117" s="6" t="s">
        <v>339</v>
      </c>
      <c r="J117" s="2" t="s">
        <v>451</v>
      </c>
      <c r="K117" s="126" t="s">
        <v>331</v>
      </c>
      <c r="L117" s="2" t="s">
        <v>435</v>
      </c>
      <c r="M117" s="27"/>
      <c r="N117" s="27">
        <v>7850</v>
      </c>
      <c r="O117" s="3" t="s">
        <v>435</v>
      </c>
      <c r="P117" s="3" t="s">
        <v>435</v>
      </c>
      <c r="Q117" s="3" t="s">
        <v>435</v>
      </c>
      <c r="R117" s="140" t="s">
        <v>435</v>
      </c>
      <c r="S117" s="92">
        <f>SUM(Table2[[#This Row],[A1toA3_GWP]:[C1toC4_GWP]])</f>
        <v>293.67</v>
      </c>
      <c r="T117" s="93">
        <v>223</v>
      </c>
      <c r="U117" s="151">
        <f>61.9+8.32+0.45</f>
        <v>70.67</v>
      </c>
      <c r="V117" s="54">
        <f t="shared" si="3"/>
        <v>1</v>
      </c>
      <c r="W117" s="158" cm="1">
        <f t="array" ref="W117">IF($V117&lt;&gt;0,
IF(AND(
                         S117&gt;=_xlfn.PERCENTILE.INC(_xlfn._xlws.FILTER($S$2:$S$148, ($K$2:$K$148=K117)*($V$2:$V$148=1)),0.1),
                         S117&lt;=_xlfn.PERCENTILE.INC(_xlfn._xlws.FILTER($S$2:$S$148, ($K$2:$K$148=K117)*($V$2:$V$148=1)),0.9)
               ),1,0),
0)</f>
        <v>0</v>
      </c>
      <c r="X117" s="167"/>
      <c r="Y117" s="2" t="s">
        <v>503</v>
      </c>
      <c r="Z117" s="70"/>
    </row>
    <row r="118" spans="1:26" customFormat="1" hidden="1" x14ac:dyDescent="0.25">
      <c r="A118" s="187" t="s">
        <v>464</v>
      </c>
      <c r="B118" s="106">
        <v>117</v>
      </c>
      <c r="C118" s="2" t="s">
        <v>473</v>
      </c>
      <c r="D118" s="3" t="s">
        <v>472</v>
      </c>
      <c r="E118" s="34">
        <v>45209</v>
      </c>
      <c r="F118" s="34">
        <v>47036</v>
      </c>
      <c r="G118" s="27" t="s">
        <v>250</v>
      </c>
      <c r="H118" s="113" t="s">
        <v>138</v>
      </c>
      <c r="I118" s="6" t="s">
        <v>339</v>
      </c>
      <c r="J118" s="2" t="s">
        <v>451</v>
      </c>
      <c r="K118" s="126" t="s">
        <v>331</v>
      </c>
      <c r="L118" s="2" t="s">
        <v>435</v>
      </c>
      <c r="M118" s="27"/>
      <c r="N118" s="27">
        <v>7850</v>
      </c>
      <c r="O118" s="3" t="s">
        <v>435</v>
      </c>
      <c r="P118" s="3" t="s">
        <v>435</v>
      </c>
      <c r="Q118" s="3" t="s">
        <v>435</v>
      </c>
      <c r="R118" s="140" t="s">
        <v>435</v>
      </c>
      <c r="S118" s="92">
        <f>SUM(Table2[[#This Row],[A1toA3_GWP]:[C1toC4_GWP]])</f>
        <v>2447.48</v>
      </c>
      <c r="T118" s="93">
        <v>2410</v>
      </c>
      <c r="U118" s="151">
        <f>1.1+9.68+26.7</f>
        <v>37.479999999999997</v>
      </c>
      <c r="V118" s="54"/>
      <c r="W118" s="158" cm="1">
        <f t="array" ref="W118">IF($V118&lt;&gt;0,
IF(AND(
                         S118&gt;=_xlfn.PERCENTILE.INC(_xlfn._xlws.FILTER($S$2:$S$148, ($K$2:$K$148=K118)*($V$2:$V$148=1)),0.1),
                         S118&lt;=_xlfn.PERCENTILE.INC(_xlfn._xlws.FILTER($S$2:$S$148, ($K$2:$K$148=K118)*($V$2:$V$148=1)),0.9)
               ),1,0),
0)</f>
        <v>0</v>
      </c>
      <c r="X118" s="167"/>
      <c r="Y118" s="2" t="s">
        <v>504</v>
      </c>
      <c r="Z118" s="70"/>
    </row>
    <row r="119" spans="1:26" customFormat="1" hidden="1" x14ac:dyDescent="0.25">
      <c r="A119" s="187" t="s">
        <v>465</v>
      </c>
      <c r="B119" s="106">
        <v>118</v>
      </c>
      <c r="C119" s="22" t="s">
        <v>478</v>
      </c>
      <c r="D119" s="3" t="s">
        <v>479</v>
      </c>
      <c r="E119" s="34">
        <v>44249</v>
      </c>
      <c r="F119" s="34">
        <v>46075</v>
      </c>
      <c r="G119" s="34" t="s">
        <v>305</v>
      </c>
      <c r="H119" s="113" t="s">
        <v>138</v>
      </c>
      <c r="I119" s="6" t="s">
        <v>339</v>
      </c>
      <c r="J119" s="2" t="s">
        <v>451</v>
      </c>
      <c r="K119" s="126" t="s">
        <v>331</v>
      </c>
      <c r="L119" s="2" t="s">
        <v>435</v>
      </c>
      <c r="M119" s="27"/>
      <c r="N119" s="27">
        <v>7850</v>
      </c>
      <c r="O119" s="3" t="s">
        <v>435</v>
      </c>
      <c r="P119" s="3" t="s">
        <v>435</v>
      </c>
      <c r="Q119" s="3" t="s">
        <v>435</v>
      </c>
      <c r="R119" s="140" t="s">
        <v>435</v>
      </c>
      <c r="S119" s="92">
        <f>SUM(Table2[[#This Row],[A1toA3_GWP]:[C1toC4_GWP]])</f>
        <v>1380.1</v>
      </c>
      <c r="T119" s="93">
        <v>1290</v>
      </c>
      <c r="U119" s="151">
        <f>21.5+68.6</f>
        <v>90.1</v>
      </c>
      <c r="V119" s="54">
        <f>IF(OR($D119="Ecoinvent",$D119="Betonsortenrechner",$D119="KBOB",$S119&lt;=0),0,1)</f>
        <v>1</v>
      </c>
      <c r="W119" s="158" cm="1">
        <f t="array" ref="W119">IF($V119&lt;&gt;0,
IF(AND(
                         S119&gt;=_xlfn.PERCENTILE.INC(_xlfn._xlws.FILTER($S$2:$S$148, ($K$2:$K$148=K119)*($V$2:$V$148=1)),0.1),
                         S119&lt;=_xlfn.PERCENTILE.INC(_xlfn._xlws.FILTER($S$2:$S$148, ($K$2:$K$148=K119)*($V$2:$V$148=1)),0.9)
               ),1,0),
0)</f>
        <v>0</v>
      </c>
      <c r="X119" s="167"/>
      <c r="Y119" s="2" t="s">
        <v>502</v>
      </c>
      <c r="Z119" s="70"/>
    </row>
    <row r="120" spans="1:26" customFormat="1" hidden="1" x14ac:dyDescent="0.25">
      <c r="A120" s="187" t="s">
        <v>482</v>
      </c>
      <c r="B120" s="106">
        <v>119</v>
      </c>
      <c r="C120" s="2" t="s">
        <v>480</v>
      </c>
      <c r="D120" s="3" t="s">
        <v>481</v>
      </c>
      <c r="E120" s="34">
        <v>45239</v>
      </c>
      <c r="F120" s="34">
        <v>47066</v>
      </c>
      <c r="G120" s="27" t="s">
        <v>57</v>
      </c>
      <c r="H120" s="113" t="s">
        <v>138</v>
      </c>
      <c r="I120" s="6" t="s">
        <v>339</v>
      </c>
      <c r="J120" s="2" t="s">
        <v>451</v>
      </c>
      <c r="K120" s="126" t="s">
        <v>331</v>
      </c>
      <c r="L120" s="2" t="s">
        <v>435</v>
      </c>
      <c r="M120" s="27"/>
      <c r="N120" s="27">
        <v>7850</v>
      </c>
      <c r="O120" s="3" t="s">
        <v>435</v>
      </c>
      <c r="P120" s="3" t="s">
        <v>435</v>
      </c>
      <c r="Q120" s="3" t="s">
        <v>435</v>
      </c>
      <c r="R120" s="140" t="s">
        <v>435</v>
      </c>
      <c r="S120" s="92">
        <f>SUM(Table2[[#This Row],[A1toA3_GWP]:[C1toC4_GWP]])</f>
        <v>867.42</v>
      </c>
      <c r="T120" s="93">
        <v>854</v>
      </c>
      <c r="U120" s="151">
        <f>5.85+7.57</f>
        <v>13.42</v>
      </c>
      <c r="V120" s="54">
        <f>IF(OR($D120="Ecoinvent",$D120="Betonsortenrechner",$D120="KBOB",$S120&lt;=0),0,1)</f>
        <v>1</v>
      </c>
      <c r="W120" s="158" cm="1">
        <f t="array" ref="W120">IF($V120&lt;&gt;0,
IF(AND(
                         S120&gt;=_xlfn.PERCENTILE.INC(_xlfn._xlws.FILTER($S$2:$S$148, ($K$2:$K$148=K120)*($V$2:$V$148=1)),0.1),
                         S120&lt;=_xlfn.PERCENTILE.INC(_xlfn._xlws.FILTER($S$2:$S$148, ($K$2:$K$148=K120)*($V$2:$V$148=1)),0.9)
               ),1,0),
0)</f>
        <v>1</v>
      </c>
      <c r="X120" s="167"/>
      <c r="Y120" s="2" t="s">
        <v>502</v>
      </c>
      <c r="Z120" s="70"/>
    </row>
    <row r="121" spans="1:26" customFormat="1" ht="15.75" hidden="1" thickBot="1" x14ac:dyDescent="0.3">
      <c r="A121" s="189" t="s">
        <v>485</v>
      </c>
      <c r="B121" s="107">
        <v>120</v>
      </c>
      <c r="C121" s="4" t="s">
        <v>484</v>
      </c>
      <c r="D121" s="5" t="s">
        <v>483</v>
      </c>
      <c r="E121" s="37">
        <v>44158</v>
      </c>
      <c r="F121" s="37">
        <v>45981</v>
      </c>
      <c r="G121" s="30" t="s">
        <v>250</v>
      </c>
      <c r="H121" s="116" t="s">
        <v>138</v>
      </c>
      <c r="I121" s="7" t="s">
        <v>339</v>
      </c>
      <c r="J121" s="4" t="s">
        <v>451</v>
      </c>
      <c r="K121" s="127" t="s">
        <v>331</v>
      </c>
      <c r="L121" s="4" t="s">
        <v>435</v>
      </c>
      <c r="M121" s="30"/>
      <c r="N121" s="30">
        <v>7850</v>
      </c>
      <c r="O121" s="5" t="s">
        <v>435</v>
      </c>
      <c r="P121" s="5" t="s">
        <v>435</v>
      </c>
      <c r="Q121" s="5" t="s">
        <v>435</v>
      </c>
      <c r="R121" s="143" t="s">
        <v>435</v>
      </c>
      <c r="S121" s="94">
        <f>SUM(Table2[[#This Row],[A1toA3_GWP]:[C1toC4_GWP]])</f>
        <v>1070.46</v>
      </c>
      <c r="T121" s="95">
        <f>1.04*1000</f>
        <v>1040</v>
      </c>
      <c r="U121" s="156">
        <f>21.4+6.84+2.22</f>
        <v>30.459999999999997</v>
      </c>
      <c r="V121" s="147">
        <f>IF(OR($D121="Ecoinvent",$D121="Betonsortenrechner",$D121="KBOB",$S121&lt;=0),0,1)</f>
        <v>1</v>
      </c>
      <c r="W121" s="186" cm="1">
        <f t="array" ref="W121">IF($V121&lt;&gt;0,
IF(AND(
                         S121&gt;=_xlfn.PERCENTILE.INC(_xlfn._xlws.FILTER($S$2:$S$148, ($K$2:$K$148=K121)*($V$2:$V$148=1)),0.1),
                         S121&lt;=_xlfn.PERCENTILE.INC(_xlfn._xlws.FILTER($S$2:$S$148, ($K$2:$K$148=K121)*($V$2:$V$148=1)),0.9)
               ),1,0),
0)</f>
        <v>1</v>
      </c>
      <c r="X121" s="170"/>
      <c r="Y121" s="4" t="s">
        <v>502</v>
      </c>
      <c r="Z121" s="40"/>
    </row>
    <row r="122" spans="1:26" customFormat="1" hidden="1" x14ac:dyDescent="0.25">
      <c r="A122" s="9" t="s">
        <v>184</v>
      </c>
      <c r="B122" s="106">
        <v>121</v>
      </c>
      <c r="C122" s="2" t="s">
        <v>165</v>
      </c>
      <c r="D122" s="3" t="s">
        <v>164</v>
      </c>
      <c r="E122" s="34">
        <v>45483</v>
      </c>
      <c r="F122" s="34">
        <v>47309</v>
      </c>
      <c r="G122" s="27" t="s">
        <v>166</v>
      </c>
      <c r="H122" s="113" t="s">
        <v>167</v>
      </c>
      <c r="I122" s="2"/>
      <c r="J122" s="2"/>
      <c r="K122" s="126" t="s">
        <v>168</v>
      </c>
      <c r="L122" s="2" t="s">
        <v>435</v>
      </c>
      <c r="M122" s="27"/>
      <c r="N122" s="27"/>
      <c r="O122" s="3"/>
      <c r="P122" s="3"/>
      <c r="Q122" s="3"/>
      <c r="R122" s="140"/>
      <c r="S122" s="92">
        <f>SUM(Table2[[#This Row],[A1toA3_GWP]:[C1toC4_GWP]])</f>
        <v>1308.9564</v>
      </c>
      <c r="T122" s="93">
        <v>1280</v>
      </c>
      <c r="U122" s="151">
        <f>6.59+22.1+0.2664</f>
        <v>28.956400000000002</v>
      </c>
      <c r="V122" s="54">
        <f t="shared" si="2"/>
        <v>1</v>
      </c>
      <c r="W122" s="158" cm="1">
        <f t="array" ref="W122">IF($V122&lt;&gt;0,
IF(AND(
                         S122&gt;=_xlfn.PERCENTILE.INC(_xlfn._xlws.FILTER($S$2:$S$148, ($K$2:$K$148=K122)*($V$2:$V$148=1)),0.1),
                         S122&lt;=_xlfn.PERCENTILE.INC(_xlfn._xlws.FILTER($S$2:$S$148, ($K$2:$K$148=K122)*($V$2:$V$148=1)),0.9)
               ),1,0),
0)</f>
        <v>1</v>
      </c>
      <c r="X122" s="167"/>
      <c r="Y122" s="2" t="s">
        <v>174</v>
      </c>
      <c r="Z122" s="70"/>
    </row>
    <row r="123" spans="1:26" customFormat="1" hidden="1" x14ac:dyDescent="0.25">
      <c r="A123" s="9" t="s">
        <v>185</v>
      </c>
      <c r="B123" s="106">
        <v>122</v>
      </c>
      <c r="C123" s="2" t="s">
        <v>177</v>
      </c>
      <c r="D123" s="3" t="s">
        <v>164</v>
      </c>
      <c r="E123" s="34">
        <v>44578</v>
      </c>
      <c r="F123" s="34">
        <v>46404</v>
      </c>
      <c r="G123" s="27" t="s">
        <v>166</v>
      </c>
      <c r="H123" s="113" t="s">
        <v>167</v>
      </c>
      <c r="I123" s="2"/>
      <c r="J123" s="2"/>
      <c r="K123" s="126" t="s">
        <v>168</v>
      </c>
      <c r="L123" s="2" t="s">
        <v>435</v>
      </c>
      <c r="M123" s="27"/>
      <c r="N123" s="27"/>
      <c r="O123" s="3"/>
      <c r="P123" s="3"/>
      <c r="Q123" s="3"/>
      <c r="R123" s="140"/>
      <c r="S123" s="92">
        <f>SUM(Table2[[#This Row],[A1toA3_GWP]:[C1toC4_GWP]])</f>
        <v>1852.364</v>
      </c>
      <c r="T123" s="93">
        <v>1830</v>
      </c>
      <c r="U123" s="151">
        <f>22.1+0.264</f>
        <v>22.364000000000001</v>
      </c>
      <c r="V123" s="54">
        <f t="shared" si="2"/>
        <v>1</v>
      </c>
      <c r="W123" s="158" cm="1">
        <f t="array" ref="W123">IF($V123&lt;&gt;0,
IF(AND(
                         S123&gt;=_xlfn.PERCENTILE.INC(_xlfn._xlws.FILTER($S$2:$S$148, ($K$2:$K$148=K123)*($V$2:$V$148=1)),0.1),
                         S123&lt;=_xlfn.PERCENTILE.INC(_xlfn._xlws.FILTER($S$2:$S$148, ($K$2:$K$148=K123)*($V$2:$V$148=1)),0.9)
               ),1,0),
0)</f>
        <v>1</v>
      </c>
      <c r="X123" s="167"/>
      <c r="Y123" s="2"/>
      <c r="Z123" s="70"/>
    </row>
    <row r="124" spans="1:26" customFormat="1" hidden="1" x14ac:dyDescent="0.25">
      <c r="A124" s="9" t="s">
        <v>186</v>
      </c>
      <c r="B124" s="106">
        <v>123</v>
      </c>
      <c r="C124" s="2" t="s">
        <v>169</v>
      </c>
      <c r="D124" s="3" t="s">
        <v>229</v>
      </c>
      <c r="E124" s="34">
        <v>43941</v>
      </c>
      <c r="F124" s="34">
        <v>45766</v>
      </c>
      <c r="G124" s="27" t="s">
        <v>172</v>
      </c>
      <c r="H124" s="113" t="s">
        <v>167</v>
      </c>
      <c r="I124" s="2"/>
      <c r="J124" s="2"/>
      <c r="K124" s="126" t="s">
        <v>168</v>
      </c>
      <c r="L124" s="2" t="s">
        <v>435</v>
      </c>
      <c r="M124" s="27"/>
      <c r="N124" s="27"/>
      <c r="O124" s="3"/>
      <c r="P124" s="3"/>
      <c r="Q124" s="3"/>
      <c r="R124" s="140"/>
      <c r="S124" s="96">
        <f>SUM(Table2[[#This Row],[A1toA3_GWP]:[C1toC4_GWP]])</f>
        <v>2250</v>
      </c>
      <c r="T124" s="97">
        <f>2.25*1000</f>
        <v>2250</v>
      </c>
      <c r="U124" s="157" t="s">
        <v>170</v>
      </c>
      <c r="V124" s="54">
        <f t="shared" si="2"/>
        <v>1</v>
      </c>
      <c r="W124" s="158" cm="1">
        <f t="array" ref="W124">IF($V124&lt;&gt;0,
IF(AND(
                         S124&gt;=_xlfn.PERCENTILE.INC(_xlfn._xlws.FILTER($S$2:$S$148, ($K$2:$K$148=K124)*($V$2:$V$148=1)),0.1),
                         S124&lt;=_xlfn.PERCENTILE.INC(_xlfn._xlws.FILTER($S$2:$S$148, ($K$2:$K$148=K124)*($V$2:$V$148=1)),0.9)
               ),1,0),
0)</f>
        <v>0</v>
      </c>
      <c r="X124" s="167"/>
      <c r="Y124" s="2" t="s">
        <v>173</v>
      </c>
      <c r="Z124" s="70"/>
    </row>
    <row r="125" spans="1:26" customFormat="1" hidden="1" x14ac:dyDescent="0.25">
      <c r="A125" s="9" t="s">
        <v>187</v>
      </c>
      <c r="B125" s="106">
        <v>124</v>
      </c>
      <c r="C125" s="2" t="s">
        <v>171</v>
      </c>
      <c r="D125" s="3" t="s">
        <v>229</v>
      </c>
      <c r="E125" s="34">
        <v>45399</v>
      </c>
      <c r="F125" s="34">
        <v>47224</v>
      </c>
      <c r="G125" s="27" t="s">
        <v>172</v>
      </c>
      <c r="H125" s="113" t="s">
        <v>167</v>
      </c>
      <c r="I125" s="2"/>
      <c r="J125" s="2"/>
      <c r="K125" s="126" t="s">
        <v>168</v>
      </c>
      <c r="L125" s="2" t="s">
        <v>435</v>
      </c>
      <c r="M125" s="27"/>
      <c r="N125" s="27"/>
      <c r="O125" s="3"/>
      <c r="P125" s="3"/>
      <c r="Q125" s="3"/>
      <c r="R125" s="140"/>
      <c r="S125" s="92">
        <f>SUM(Table2[[#This Row],[A1toA3_GWP]:[C1toC4_GWP]])</f>
        <v>1014.65</v>
      </c>
      <c r="T125" s="86">
        <f>0.934*1000</f>
        <v>934</v>
      </c>
      <c r="U125" s="151">
        <f>(0.047+0.0321+0.00128+0.00027)*1000</f>
        <v>80.65000000000002</v>
      </c>
      <c r="V125" s="54">
        <f t="shared" si="2"/>
        <v>1</v>
      </c>
      <c r="W125" s="158" cm="1">
        <f t="array" ref="W125">IF($V125&lt;&gt;0,
IF(AND(
                         S125&gt;=_xlfn.PERCENTILE.INC(_xlfn._xlws.FILTER($S$2:$S$148, ($K$2:$K$148=K125)*($V$2:$V$148=1)),0.1),
                         S125&lt;=_xlfn.PERCENTILE.INC(_xlfn._xlws.FILTER($S$2:$S$148, ($K$2:$K$148=K125)*($V$2:$V$148=1)),0.9)
               ),1,0),
0)</f>
        <v>1</v>
      </c>
      <c r="X125" s="167"/>
      <c r="Y125" s="2" t="s">
        <v>173</v>
      </c>
      <c r="Z125" s="70"/>
    </row>
    <row r="126" spans="1:26" customFormat="1" hidden="1" x14ac:dyDescent="0.25">
      <c r="A126" s="9" t="s">
        <v>188</v>
      </c>
      <c r="B126" s="106">
        <v>125</v>
      </c>
      <c r="C126" s="2" t="s">
        <v>175</v>
      </c>
      <c r="D126" s="3" t="s">
        <v>176</v>
      </c>
      <c r="E126" s="34">
        <v>44181</v>
      </c>
      <c r="F126" s="34">
        <v>45993</v>
      </c>
      <c r="G126" s="27" t="s">
        <v>250</v>
      </c>
      <c r="H126" s="113" t="s">
        <v>167</v>
      </c>
      <c r="I126" s="2"/>
      <c r="J126" s="2"/>
      <c r="K126" s="126" t="s">
        <v>168</v>
      </c>
      <c r="L126" s="2" t="s">
        <v>435</v>
      </c>
      <c r="M126" s="27"/>
      <c r="N126" s="27"/>
      <c r="O126" s="3"/>
      <c r="P126" s="3"/>
      <c r="Q126" s="3"/>
      <c r="R126" s="140"/>
      <c r="S126" s="92">
        <f>SUM(Table2[[#This Row],[A1toA3_GWP]:[C1toC4_GWP]])</f>
        <v>616.83500000000004</v>
      </c>
      <c r="T126" s="98">
        <f>0.584*1000</f>
        <v>584</v>
      </c>
      <c r="U126" s="151">
        <f>(0.0055+0.00817+0.0185+0.000665)*1000</f>
        <v>32.834999999999994</v>
      </c>
      <c r="V126" s="54">
        <f t="shared" si="2"/>
        <v>1</v>
      </c>
      <c r="W126" s="158" cm="1">
        <f t="array" ref="W126">IF($V126&lt;&gt;0,
IF(AND(
                         S126&gt;=_xlfn.PERCENTILE.INC(_xlfn._xlws.FILTER($S$2:$S$148, ($K$2:$K$148=K126)*($V$2:$V$148=1)),0.1),
                         S126&lt;=_xlfn.PERCENTILE.INC(_xlfn._xlws.FILTER($S$2:$S$148, ($K$2:$K$148=K126)*($V$2:$V$148=1)),0.9)
               ),1,0),
0)</f>
        <v>1</v>
      </c>
      <c r="X126" s="167"/>
      <c r="Y126" s="2"/>
      <c r="Z126" s="70"/>
    </row>
    <row r="127" spans="1:26" customFormat="1" hidden="1" x14ac:dyDescent="0.25">
      <c r="A127" s="9" t="s">
        <v>189</v>
      </c>
      <c r="B127" s="106">
        <v>126</v>
      </c>
      <c r="C127" s="2" t="s">
        <v>183</v>
      </c>
      <c r="D127" s="3" t="s">
        <v>176</v>
      </c>
      <c r="E127" s="34">
        <v>44181</v>
      </c>
      <c r="F127" s="34">
        <v>45993</v>
      </c>
      <c r="G127" s="27" t="s">
        <v>250</v>
      </c>
      <c r="H127" s="113" t="s">
        <v>167</v>
      </c>
      <c r="I127" s="2"/>
      <c r="J127" s="2"/>
      <c r="K127" s="126" t="s">
        <v>168</v>
      </c>
      <c r="L127" s="2" t="s">
        <v>435</v>
      </c>
      <c r="M127" s="27"/>
      <c r="N127" s="27"/>
      <c r="O127" s="3"/>
      <c r="P127" s="3"/>
      <c r="Q127" s="3"/>
      <c r="R127" s="140"/>
      <c r="S127" s="92">
        <f>SUM(Table2[[#This Row],[A1toA3_GWP]:[C1toC4_GWP]])</f>
        <v>1866.032835</v>
      </c>
      <c r="T127" s="98">
        <f>1.866*1000</f>
        <v>1866</v>
      </c>
      <c r="U127" s="151">
        <f>(0.0055+0.00817+0.0185+0.000665)</f>
        <v>3.2834999999999996E-2</v>
      </c>
      <c r="V127" s="54">
        <f t="shared" si="2"/>
        <v>1</v>
      </c>
      <c r="W127" s="158" cm="1">
        <f t="array" ref="W127">IF($V127&lt;&gt;0,
IF(AND(
                         S127&gt;=_xlfn.PERCENTILE.INC(_xlfn._xlws.FILTER($S$2:$S$148, ($K$2:$K$148=K127)*($V$2:$V$148=1)),0.1),
                         S127&lt;=_xlfn.PERCENTILE.INC(_xlfn._xlws.FILTER($S$2:$S$148, ($K$2:$K$148=K127)*($V$2:$V$148=1)),0.9)
               ),1,0),
0)</f>
        <v>1</v>
      </c>
      <c r="X127" s="167"/>
      <c r="Y127" s="2"/>
      <c r="Z127" s="70"/>
    </row>
    <row r="128" spans="1:26" customFormat="1" hidden="1" x14ac:dyDescent="0.25">
      <c r="A128" s="9" t="s">
        <v>190</v>
      </c>
      <c r="B128" s="106">
        <v>127</v>
      </c>
      <c r="C128" s="2"/>
      <c r="D128" s="3" t="s">
        <v>178</v>
      </c>
      <c r="E128" s="34">
        <v>42370</v>
      </c>
      <c r="F128" s="34">
        <v>43831</v>
      </c>
      <c r="G128" s="27" t="s">
        <v>250</v>
      </c>
      <c r="H128" s="113" t="s">
        <v>167</v>
      </c>
      <c r="I128" s="2"/>
      <c r="J128" s="2"/>
      <c r="K128" s="126" t="s">
        <v>168</v>
      </c>
      <c r="L128" s="2" t="s">
        <v>435</v>
      </c>
      <c r="M128" s="27"/>
      <c r="N128" s="27"/>
      <c r="O128" s="3"/>
      <c r="P128" s="3"/>
      <c r="Q128" s="3"/>
      <c r="R128" s="140"/>
      <c r="S128" s="96">
        <f>SUM(Table2[[#This Row],[A1toA3_GWP]:[C1toC4_GWP]])</f>
        <v>1042</v>
      </c>
      <c r="T128" s="97">
        <f>1.042*1000</f>
        <v>1042</v>
      </c>
      <c r="U128" s="157" t="s">
        <v>170</v>
      </c>
      <c r="V128" s="54">
        <f t="shared" si="2"/>
        <v>1</v>
      </c>
      <c r="W128" s="158" cm="1">
        <f t="array" ref="W128">IF($V128&lt;&gt;0,
IF(AND(
                         S128&gt;=_xlfn.PERCENTILE.INC(_xlfn._xlws.FILTER($S$2:$S$148, ($K$2:$K$148=K128)*($V$2:$V$148=1)),0.1),
                         S128&lt;=_xlfn.PERCENTILE.INC(_xlfn._xlws.FILTER($S$2:$S$148, ($K$2:$K$148=K128)*($V$2:$V$148=1)),0.9)
               ),1,0),
0)</f>
        <v>1</v>
      </c>
      <c r="X128" s="167"/>
      <c r="Y128" s="2"/>
      <c r="Z128" s="70"/>
    </row>
    <row r="129" spans="1:26" customFormat="1" hidden="1" x14ac:dyDescent="0.25">
      <c r="A129" s="9" t="s">
        <v>191</v>
      </c>
      <c r="B129" s="106">
        <v>128</v>
      </c>
      <c r="C129" s="2" t="s">
        <v>182</v>
      </c>
      <c r="D129" s="3" t="s">
        <v>179</v>
      </c>
      <c r="E129" s="34">
        <v>44826</v>
      </c>
      <c r="F129" s="34">
        <v>46651</v>
      </c>
      <c r="G129" s="27" t="s">
        <v>181</v>
      </c>
      <c r="H129" s="113" t="s">
        <v>167</v>
      </c>
      <c r="I129" s="2"/>
      <c r="J129" s="2"/>
      <c r="K129" s="126" t="s">
        <v>168</v>
      </c>
      <c r="L129" s="2" t="s">
        <v>435</v>
      </c>
      <c r="M129" s="27"/>
      <c r="N129" s="27"/>
      <c r="O129" s="3"/>
      <c r="P129" s="3"/>
      <c r="Q129" s="3"/>
      <c r="R129" s="140"/>
      <c r="S129" s="92">
        <f>SUM(Table2[[#This Row],[A1toA3_GWP]:[C1toC4_GWP]])</f>
        <v>587.99519999999995</v>
      </c>
      <c r="T129" s="86">
        <v>584</v>
      </c>
      <c r="U129" s="151">
        <f>3.59+0.0792+0.326</f>
        <v>3.9952000000000001</v>
      </c>
      <c r="V129" s="54">
        <f t="shared" si="2"/>
        <v>1</v>
      </c>
      <c r="W129" s="158" cm="1">
        <f t="array" ref="W129">IF($V129&lt;&gt;0,
IF(AND(
                         S129&gt;=_xlfn.PERCENTILE.INC(_xlfn._xlws.FILTER($S$2:$S$148, ($K$2:$K$148=K129)*($V$2:$V$148=1)),0.1),
                         S129&lt;=_xlfn.PERCENTILE.INC(_xlfn._xlws.FILTER($S$2:$S$148, ($K$2:$K$148=K129)*($V$2:$V$148=1)),0.9)
               ),1,0),
0)</f>
        <v>1</v>
      </c>
      <c r="X129" s="167"/>
      <c r="Y129" s="2"/>
      <c r="Z129" s="70"/>
    </row>
    <row r="130" spans="1:26" customFormat="1" ht="15.75" hidden="1" thickBot="1" x14ac:dyDescent="0.3">
      <c r="A130" s="10" t="s">
        <v>192</v>
      </c>
      <c r="B130" s="107">
        <v>129</v>
      </c>
      <c r="C130" s="4" t="s">
        <v>180</v>
      </c>
      <c r="D130" s="5" t="s">
        <v>179</v>
      </c>
      <c r="E130" s="37">
        <v>44826</v>
      </c>
      <c r="F130" s="37">
        <v>46651</v>
      </c>
      <c r="G130" s="30" t="s">
        <v>181</v>
      </c>
      <c r="H130" s="116" t="s">
        <v>167</v>
      </c>
      <c r="I130" s="4"/>
      <c r="J130" s="4"/>
      <c r="K130" s="127" t="s">
        <v>168</v>
      </c>
      <c r="L130" s="4" t="s">
        <v>435</v>
      </c>
      <c r="M130" s="30"/>
      <c r="N130" s="30"/>
      <c r="O130" s="5"/>
      <c r="P130" s="5"/>
      <c r="Q130" s="5"/>
      <c r="R130" s="143"/>
      <c r="S130" s="94">
        <f>SUM(Table2[[#This Row],[A1toA3_GWP]:[C1toC4_GWP]])</f>
        <v>388.99520000000001</v>
      </c>
      <c r="T130" s="88">
        <v>385</v>
      </c>
      <c r="U130" s="156">
        <f>3.59+0.0792+0.326</f>
        <v>3.9952000000000001</v>
      </c>
      <c r="V130" s="147">
        <f t="shared" si="2"/>
        <v>1</v>
      </c>
      <c r="W130" s="162" cm="1">
        <f t="array" ref="W130">IF($V130&lt;&gt;0,
IF(AND(
                         S130&gt;=_xlfn.PERCENTILE.INC(_xlfn._xlws.FILTER($S$2:$S$148, ($K$2:$K$148=K130)*($V$2:$V$148=1)),0.1),
                         S130&lt;=_xlfn.PERCENTILE.INC(_xlfn._xlws.FILTER($S$2:$S$148, ($K$2:$K$148=K130)*($V$2:$V$148=1)),0.9)
               ),1,0),
0)</f>
        <v>0</v>
      </c>
      <c r="X130" s="170"/>
      <c r="Y130" s="4"/>
      <c r="Z130" s="70"/>
    </row>
    <row r="131" spans="1:26" customFormat="1" hidden="1" x14ac:dyDescent="0.25">
      <c r="A131" s="9" t="s">
        <v>193</v>
      </c>
      <c r="B131" s="106">
        <v>130</v>
      </c>
      <c r="C131" s="2" t="s">
        <v>198</v>
      </c>
      <c r="D131" s="3" t="s">
        <v>195</v>
      </c>
      <c r="E131" s="27"/>
      <c r="F131" s="27"/>
      <c r="G131" s="27" t="s">
        <v>55</v>
      </c>
      <c r="H131" s="113" t="s">
        <v>501</v>
      </c>
      <c r="I131" s="2"/>
      <c r="J131" s="2"/>
      <c r="K131" s="126" t="s">
        <v>200</v>
      </c>
      <c r="L131" s="2"/>
      <c r="M131" s="27"/>
      <c r="N131" s="27">
        <f>95.6/0.04</f>
        <v>2390</v>
      </c>
      <c r="O131" s="3"/>
      <c r="P131" s="3"/>
      <c r="Q131" s="3"/>
      <c r="R131" s="140"/>
      <c r="S131" s="92">
        <f>SUM(Table2[[#This Row],[A1toA3_GWP]:[C1toC4_GWP]])</f>
        <v>303.49372384937237</v>
      </c>
      <c r="T131" s="25">
        <f>27.4/0.04/Table2[[#This Row],[DENSITY]]*1000</f>
        <v>286.61087866108784</v>
      </c>
      <c r="U131" s="151">
        <f>(0.488+0.312+0.814)/0.04/Table2[[#This Row],[DENSITY]]*1000</f>
        <v>16.882845188284517</v>
      </c>
      <c r="V131" s="54">
        <f t="shared" si="2"/>
        <v>1</v>
      </c>
      <c r="W131" s="158" cm="1">
        <f t="array" ref="W131">IF($V131&lt;&gt;0,
IF(AND(
                         S131&gt;=_xlfn.PERCENTILE.INC(_xlfn._xlws.FILTER($S$2:$S$148, ($K$2:$K$148=K131)*($V$2:$V$148=1)),0.1),
                         S131&lt;=_xlfn.PERCENTILE.INC(_xlfn._xlws.FILTER($S$2:$S$148, ($K$2:$K$148=K131)*($V$2:$V$148=1)),0.9)
               ),1,0),
0)</f>
        <v>0</v>
      </c>
      <c r="X131" s="167"/>
      <c r="Y131" s="2" t="s">
        <v>196</v>
      </c>
      <c r="Z131" s="70"/>
    </row>
    <row r="132" spans="1:26" customFormat="1" hidden="1" x14ac:dyDescent="0.25">
      <c r="A132" s="9" t="s">
        <v>194</v>
      </c>
      <c r="B132" s="106">
        <v>131</v>
      </c>
      <c r="C132" s="2" t="s">
        <v>199</v>
      </c>
      <c r="D132" s="3" t="s">
        <v>195</v>
      </c>
      <c r="E132" s="27"/>
      <c r="F132" s="27"/>
      <c r="G132" s="27" t="s">
        <v>55</v>
      </c>
      <c r="H132" s="113" t="s">
        <v>501</v>
      </c>
      <c r="I132" s="2"/>
      <c r="J132" s="2"/>
      <c r="K132" s="126" t="s">
        <v>200</v>
      </c>
      <c r="L132" s="2"/>
      <c r="M132" s="27"/>
      <c r="N132" s="33">
        <f>167/0.07</f>
        <v>2385.7142857142853</v>
      </c>
      <c r="O132" s="3"/>
      <c r="P132" s="3"/>
      <c r="Q132" s="3"/>
      <c r="R132" s="140"/>
      <c r="S132" s="92">
        <f>SUM(Table2[[#This Row],[A1toA3_GWP]:[C1toC4_GWP]])</f>
        <v>325.34730538922162</v>
      </c>
      <c r="T132" s="25">
        <f>51.5/0.07/Table2[[#This Row],[DENSITY]]*1000</f>
        <v>308.38323353293418</v>
      </c>
      <c r="U132" s="151">
        <f>(0.856+0.547+1.43)/0.07/Table2[[#This Row],[DENSITY]]*1000</f>
        <v>16.964071856287426</v>
      </c>
      <c r="V132" s="54">
        <f t="shared" si="2"/>
        <v>1</v>
      </c>
      <c r="W132" s="158" cm="1">
        <f t="array" ref="W132">IF($V132&lt;&gt;0,
IF(AND(
                         S132&gt;=_xlfn.PERCENTILE.INC(_xlfn._xlws.FILTER($S$2:$S$148, ($K$2:$K$148=K132)*($V$2:$V$148=1)),0.1),
                         S132&lt;=_xlfn.PERCENTILE.INC(_xlfn._xlws.FILTER($S$2:$S$148, ($K$2:$K$148=K132)*($V$2:$V$148=1)),0.9)
               ),1,0),
0)</f>
        <v>0</v>
      </c>
      <c r="X132" s="167"/>
      <c r="Y132" s="2" t="s">
        <v>197</v>
      </c>
      <c r="Z132" s="70"/>
    </row>
  </sheetData>
  <phoneticPr fontId="2" type="noConversion"/>
  <conditionalFormatting sqref="W1:W121">
    <cfRule type="cellIs" dxfId="1" priority="1" operator="equal">
      <formula>1</formula>
    </cfRule>
  </conditionalFormatting>
  <conditionalFormatting sqref="W122:W1048576">
    <cfRule type="cellIs" dxfId="0" priority="3" operator="equal">
      <formula>1</formula>
    </cfRule>
  </conditionalFormatting>
  <pageMargins left="0.7" right="0.7" top="0.75" bottom="0.75" header="0.3" footer="0.3"/>
  <pageSetup orientation="portrait" r:id="rId1"/>
  <ignoredErrors>
    <ignoredError sqref="T40:U53 T37 T56:T61 T2:U6 T13:T26 U13:U30 T12:U12 T67:U74 T64:T65 U56:U65 T78:U89 T77 T91:U92 U90 T76:U76 U75 T94:U94 T93 T28:T29" calculatedColumn="1"/>
    <ignoredError sqref="C53:C54" numberStoredAsText="1"/>
  </ignoredError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AEC17-54D0-422B-913B-12777967F81E}">
  <dimension ref="A1:I8"/>
  <sheetViews>
    <sheetView workbookViewId="0">
      <selection activeCell="A2" sqref="A2:A8"/>
    </sheetView>
  </sheetViews>
  <sheetFormatPr defaultColWidth="9.140625" defaultRowHeight="15" x14ac:dyDescent="0.25"/>
  <cols>
    <col min="1" max="1" width="14.85546875" bestFit="1" customWidth="1"/>
    <col min="2" max="2" width="11.140625" customWidth="1"/>
    <col min="3" max="3" width="27.28515625" bestFit="1" customWidth="1"/>
    <col min="4" max="5" width="27.28515625" customWidth="1"/>
    <col min="6" max="6" width="26.85546875" bestFit="1" customWidth="1"/>
    <col min="7" max="7" width="28.5703125" bestFit="1" customWidth="1"/>
    <col min="8" max="8" width="23.85546875" bestFit="1" customWidth="1"/>
    <col min="9" max="9" width="11.85546875" customWidth="1"/>
  </cols>
  <sheetData>
    <row r="1" spans="1:9" x14ac:dyDescent="0.25">
      <c r="A1" s="65" t="s">
        <v>422</v>
      </c>
      <c r="B1" s="65" t="s">
        <v>414</v>
      </c>
      <c r="C1" s="65" t="s">
        <v>415</v>
      </c>
      <c r="D1" s="65" t="s">
        <v>416</v>
      </c>
      <c r="E1" s="65" t="s">
        <v>417</v>
      </c>
      <c r="F1" s="65" t="s">
        <v>418</v>
      </c>
      <c r="G1" s="65" t="s">
        <v>419</v>
      </c>
      <c r="H1" s="65" t="s">
        <v>420</v>
      </c>
      <c r="I1" s="65" t="s">
        <v>421</v>
      </c>
    </row>
    <row r="2" spans="1:9" x14ac:dyDescent="0.25">
      <c r="A2" s="66">
        <v>1</v>
      </c>
      <c r="B2" s="66" t="s">
        <v>30</v>
      </c>
      <c r="C2" s="66">
        <v>20000000</v>
      </c>
      <c r="D2" s="66">
        <v>2300000</v>
      </c>
      <c r="E2" s="66"/>
      <c r="F2" s="66"/>
      <c r="G2" s="66">
        <v>30000000000</v>
      </c>
      <c r="H2" s="66">
        <v>25000</v>
      </c>
      <c r="I2" s="66"/>
    </row>
    <row r="3" spans="1:9" x14ac:dyDescent="0.25">
      <c r="A3" s="66">
        <v>2</v>
      </c>
      <c r="B3" s="66" t="s">
        <v>9</v>
      </c>
      <c r="C3" s="66">
        <v>25000000</v>
      </c>
      <c r="D3" s="66">
        <v>2600000</v>
      </c>
      <c r="E3" s="66"/>
      <c r="F3" s="66"/>
      <c r="G3" s="66">
        <v>32000000000</v>
      </c>
      <c r="H3" s="66">
        <v>25000</v>
      </c>
      <c r="I3" s="66"/>
    </row>
    <row r="4" spans="1:9" x14ac:dyDescent="0.25">
      <c r="A4" s="66">
        <v>3</v>
      </c>
      <c r="B4" s="66" t="s">
        <v>14</v>
      </c>
      <c r="C4" s="66">
        <v>25000000</v>
      </c>
      <c r="D4" s="66">
        <v>2900000</v>
      </c>
      <c r="E4" s="66"/>
      <c r="F4" s="66"/>
      <c r="G4" s="66">
        <v>34000000000</v>
      </c>
      <c r="H4" s="66">
        <v>25000</v>
      </c>
      <c r="I4" s="66"/>
    </row>
    <row r="5" spans="1:9" x14ac:dyDescent="0.25">
      <c r="A5" s="66">
        <v>4</v>
      </c>
      <c r="B5" s="66" t="s">
        <v>0</v>
      </c>
      <c r="C5" s="66">
        <v>500000000</v>
      </c>
      <c r="D5" s="66">
        <v>500000000</v>
      </c>
      <c r="E5" s="66"/>
      <c r="F5" s="66"/>
      <c r="G5" s="66">
        <v>205000000000</v>
      </c>
      <c r="H5" s="66"/>
      <c r="I5" s="66"/>
    </row>
    <row r="6" spans="1:9" x14ac:dyDescent="0.25">
      <c r="A6" s="66">
        <v>5</v>
      </c>
      <c r="B6" s="66" t="s">
        <v>1</v>
      </c>
      <c r="C6" s="66"/>
      <c r="D6" s="66"/>
      <c r="E6" s="66">
        <v>24000000</v>
      </c>
      <c r="F6" s="66">
        <v>1800000</v>
      </c>
      <c r="G6" s="66">
        <v>11500000000</v>
      </c>
      <c r="H6" s="66">
        <v>5000</v>
      </c>
      <c r="I6" s="66">
        <v>6.9999999999999999E-4</v>
      </c>
    </row>
    <row r="7" spans="1:9" x14ac:dyDescent="0.25">
      <c r="A7" s="66">
        <v>6</v>
      </c>
      <c r="B7" s="66" t="s">
        <v>413</v>
      </c>
      <c r="C7" s="66"/>
      <c r="D7" s="66"/>
      <c r="E7" s="66">
        <v>16000000</v>
      </c>
      <c r="F7" s="66">
        <v>1500000</v>
      </c>
      <c r="G7" s="66">
        <v>8000000000</v>
      </c>
      <c r="H7" s="66">
        <v>5000</v>
      </c>
      <c r="I7" s="66">
        <v>8.0000000000000004E-4</v>
      </c>
    </row>
    <row r="8" spans="1:9" x14ac:dyDescent="0.25">
      <c r="A8" s="67">
        <v>7</v>
      </c>
      <c r="B8" s="67" t="s">
        <v>122</v>
      </c>
      <c r="C8" s="67"/>
      <c r="D8" s="67"/>
      <c r="E8" s="67">
        <v>24000000</v>
      </c>
      <c r="F8" s="67">
        <v>1500000</v>
      </c>
      <c r="G8" s="67">
        <v>11000000000</v>
      </c>
      <c r="H8" s="67">
        <v>5000</v>
      </c>
      <c r="I8" s="67">
        <v>8.0000000000000004E-4</v>
      </c>
    </row>
  </sheetData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0A30-8D92-49EC-964A-A8F2973B4787}">
  <dimension ref="A1:G7"/>
  <sheetViews>
    <sheetView workbookViewId="0">
      <selection activeCell="G12" sqref="G12"/>
    </sheetView>
  </sheetViews>
  <sheetFormatPr defaultColWidth="10.7109375" defaultRowHeight="15" x14ac:dyDescent="0.25"/>
  <sheetData>
    <row r="1" spans="1:7" x14ac:dyDescent="0.25">
      <c r="A1" s="1" t="s">
        <v>10</v>
      </c>
      <c r="B1" s="1" t="s">
        <v>11</v>
      </c>
      <c r="C1" s="1" t="s">
        <v>402</v>
      </c>
      <c r="D1" s="1" t="s">
        <v>403</v>
      </c>
      <c r="E1" s="1" t="s">
        <v>404</v>
      </c>
      <c r="F1" s="1" t="s">
        <v>405</v>
      </c>
      <c r="G1" s="1" t="s">
        <v>406</v>
      </c>
    </row>
    <row r="2" spans="1:7" x14ac:dyDescent="0.25">
      <c r="A2" s="56"/>
      <c r="B2" s="56" t="s">
        <v>407</v>
      </c>
      <c r="C2" s="56">
        <v>1.0999999999999999E-2</v>
      </c>
      <c r="D2" s="56" t="s">
        <v>8</v>
      </c>
      <c r="E2" s="57">
        <f>6.1/C2</f>
        <v>554.5454545454545</v>
      </c>
      <c r="F2" s="58">
        <v>8000</v>
      </c>
      <c r="G2" s="59">
        <f>7.8/C2/(E2)</f>
        <v>1.278688524590164</v>
      </c>
    </row>
    <row r="3" spans="1:7" x14ac:dyDescent="0.25">
      <c r="A3" s="60"/>
      <c r="B3" s="60" t="s">
        <v>408</v>
      </c>
      <c r="C3" s="60">
        <v>8.5000000000000006E-2</v>
      </c>
      <c r="D3" s="61">
        <v>21000000000</v>
      </c>
      <c r="E3" s="60">
        <v>1850</v>
      </c>
      <c r="F3" s="62">
        <v>22000</v>
      </c>
      <c r="G3" s="63">
        <v>0.12</v>
      </c>
    </row>
    <row r="4" spans="1:7" x14ac:dyDescent="0.25">
      <c r="A4" s="56"/>
      <c r="B4" s="56" t="s">
        <v>409</v>
      </c>
      <c r="C4" s="56" t="s">
        <v>8</v>
      </c>
      <c r="D4" s="56" t="s">
        <v>8</v>
      </c>
      <c r="E4" s="57">
        <v>80</v>
      </c>
      <c r="F4" s="58">
        <v>800</v>
      </c>
      <c r="G4" s="59">
        <f>1.1</f>
        <v>1.1000000000000001</v>
      </c>
    </row>
    <row r="5" spans="1:7" x14ac:dyDescent="0.25">
      <c r="A5" s="60"/>
      <c r="B5" s="60" t="s">
        <v>410</v>
      </c>
      <c r="C5" s="60" t="s">
        <v>8</v>
      </c>
      <c r="D5" s="60" t="s">
        <v>8</v>
      </c>
      <c r="E5" s="60">
        <v>2000</v>
      </c>
      <c r="F5" s="62">
        <v>20000</v>
      </c>
      <c r="G5" s="60">
        <v>1.7999999999999999E-2</v>
      </c>
    </row>
    <row r="6" spans="1:7" x14ac:dyDescent="0.25">
      <c r="B6" t="s">
        <v>411</v>
      </c>
      <c r="C6" t="s">
        <v>8</v>
      </c>
      <c r="D6" t="s">
        <v>8</v>
      </c>
      <c r="E6">
        <v>38</v>
      </c>
      <c r="F6" s="64">
        <v>380</v>
      </c>
      <c r="G6">
        <v>0.81599999999999995</v>
      </c>
    </row>
    <row r="7" spans="1:7" x14ac:dyDescent="0.25">
      <c r="B7" t="s">
        <v>412</v>
      </c>
      <c r="C7" t="s">
        <v>8</v>
      </c>
      <c r="D7" t="s">
        <v>8</v>
      </c>
      <c r="E7">
        <v>1200</v>
      </c>
      <c r="F7" s="64">
        <v>12000</v>
      </c>
      <c r="G7">
        <v>0.55200000000000005</v>
      </c>
    </row>
  </sheetData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material_prop</vt:lpstr>
      <vt:lpstr>floor_struc_prop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Buss  Christian</dc:creator>
  <cp:lastModifiedBy>Hodel  Anna</cp:lastModifiedBy>
  <dcterms:created xsi:type="dcterms:W3CDTF">2024-07-01T08:56:09Z</dcterms:created>
  <dcterms:modified xsi:type="dcterms:W3CDTF">2026-01-14T15:14:44Z</dcterms:modified>
</cp:coreProperties>
</file>